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ervesolmaz/Downloads/"/>
    </mc:Choice>
  </mc:AlternateContent>
  <xr:revisionPtr revIDLastSave="0" documentId="13_ncr:1_{46D7AF9A-276C-034B-A219-2DE553933576}" xr6:coauthVersionLast="47" xr6:coauthVersionMax="47" xr10:uidLastSave="{00000000-0000-0000-0000-000000000000}"/>
  <bookViews>
    <workbookView xWindow="0" yWindow="500" windowWidth="28800" windowHeight="15760" activeTab="7" xr2:uid="{00000000-000D-0000-FFFF-FFFF00000000}"/>
  </bookViews>
  <sheets>
    <sheet name="Instagram Ads Raw Data" sheetId="1" r:id="rId1"/>
    <sheet name="TikTok Ads Raw Data" sheetId="2" r:id="rId2"/>
    <sheet name="Instagram Ads Performance Metri" sheetId="3" r:id="rId3"/>
    <sheet name="Tiktok Ads Performance Metrics" sheetId="5" r:id="rId4"/>
    <sheet name="Tiktok Ads Monthly" sheetId="6" r:id="rId5"/>
    <sheet name="Instagram Ads Monthly" sheetId="7" r:id="rId6"/>
    <sheet name="Pivot Tables" sheetId="8" r:id="rId7"/>
    <sheet name="Summary" sheetId="9" r:id="rId8"/>
    <sheet name="Graphs" sheetId="10" r:id="rId9"/>
  </sheets>
  <calcPr calcId="191029"/>
  <pivotCaches>
    <pivotCache cacheId="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8" l="1" a="1"/>
  <c r="D39" i="8" s="1"/>
  <c r="D38" i="8" a="1"/>
  <c r="D38" i="8" s="1"/>
  <c r="D37" i="8" a="1"/>
  <c r="D37" i="8" s="1"/>
  <c r="L366" i="3"/>
  <c r="J366" i="3"/>
  <c r="I366" i="3" s="1"/>
  <c r="H366" i="3"/>
  <c r="N366" i="3" s="1"/>
  <c r="G366" i="3"/>
  <c r="F366" i="3"/>
  <c r="E366" i="3"/>
  <c r="C366" i="3"/>
  <c r="D366" i="3" s="1"/>
  <c r="B366" i="3"/>
  <c r="A366" i="3"/>
  <c r="L365" i="3"/>
  <c r="J365" i="3"/>
  <c r="H365" i="3"/>
  <c r="G365" i="3" s="1"/>
  <c r="E365" i="3"/>
  <c r="F365" i="3" s="1"/>
  <c r="D365" i="3"/>
  <c r="C365" i="3"/>
  <c r="A365" i="3"/>
  <c r="B365" i="3" s="1"/>
  <c r="L364" i="3"/>
  <c r="M364" i="3" s="1"/>
  <c r="K364" i="3"/>
  <c r="J364" i="3"/>
  <c r="I364" i="3" s="1"/>
  <c r="H364" i="3"/>
  <c r="E364" i="3"/>
  <c r="C364" i="3"/>
  <c r="G364" i="3" s="1"/>
  <c r="B364" i="3"/>
  <c r="A364" i="3"/>
  <c r="L363" i="3"/>
  <c r="J363" i="3"/>
  <c r="I363" i="3"/>
  <c r="H363" i="3"/>
  <c r="E363" i="3"/>
  <c r="D363" i="3" s="1"/>
  <c r="C363" i="3"/>
  <c r="A363" i="3"/>
  <c r="B363" i="3" s="1"/>
  <c r="N362" i="3"/>
  <c r="L362" i="3"/>
  <c r="M362" i="3" s="1"/>
  <c r="J362" i="3"/>
  <c r="I362" i="3" s="1"/>
  <c r="H362" i="3"/>
  <c r="E362" i="3"/>
  <c r="C362" i="3"/>
  <c r="D362" i="3" s="1"/>
  <c r="B362" i="3"/>
  <c r="A362" i="3"/>
  <c r="L361" i="3"/>
  <c r="J361" i="3"/>
  <c r="N361" i="3" s="1"/>
  <c r="I361" i="3"/>
  <c r="H361" i="3"/>
  <c r="G361" i="3" s="1"/>
  <c r="F361" i="3"/>
  <c r="E361" i="3"/>
  <c r="D361" i="3"/>
  <c r="C361" i="3"/>
  <c r="A361" i="3"/>
  <c r="B361" i="3" s="1"/>
  <c r="L360" i="3"/>
  <c r="M360" i="3" s="1"/>
  <c r="K360" i="3"/>
  <c r="J360" i="3"/>
  <c r="I360" i="3" s="1"/>
  <c r="H360" i="3"/>
  <c r="E360" i="3"/>
  <c r="C360" i="3"/>
  <c r="D360" i="3" s="1"/>
  <c r="B360" i="3"/>
  <c r="A360" i="3"/>
  <c r="N359" i="3"/>
  <c r="L359" i="3"/>
  <c r="K359" i="3" s="1"/>
  <c r="J359" i="3"/>
  <c r="H359" i="3"/>
  <c r="G359" i="3" s="1"/>
  <c r="E359" i="3"/>
  <c r="C359" i="3"/>
  <c r="A359" i="3"/>
  <c r="B359" i="3" s="1"/>
  <c r="L358" i="3"/>
  <c r="K358" i="3"/>
  <c r="J358" i="3"/>
  <c r="I358" i="3" s="1"/>
  <c r="H358" i="3"/>
  <c r="G358" i="3"/>
  <c r="E358" i="3"/>
  <c r="C358" i="3"/>
  <c r="D358" i="3" s="1"/>
  <c r="B358" i="3"/>
  <c r="A358" i="3"/>
  <c r="N357" i="3"/>
  <c r="M357" i="3"/>
  <c r="L357" i="3"/>
  <c r="J357" i="3"/>
  <c r="I357" i="3" s="1"/>
  <c r="H357" i="3"/>
  <c r="G357" i="3" s="1"/>
  <c r="E357" i="3"/>
  <c r="F357" i="3" s="1"/>
  <c r="D357" i="3"/>
  <c r="C357" i="3"/>
  <c r="A357" i="3"/>
  <c r="B357" i="3" s="1"/>
  <c r="L356" i="3"/>
  <c r="J356" i="3"/>
  <c r="I356" i="3" s="1"/>
  <c r="H356" i="3"/>
  <c r="G356" i="3"/>
  <c r="E356" i="3"/>
  <c r="C356" i="3"/>
  <c r="D356" i="3" s="1"/>
  <c r="B356" i="3"/>
  <c r="A356" i="3"/>
  <c r="M355" i="3"/>
  <c r="L355" i="3"/>
  <c r="J355" i="3"/>
  <c r="H355" i="3"/>
  <c r="G355" i="3" s="1"/>
  <c r="E355" i="3"/>
  <c r="D355" i="3" s="1"/>
  <c r="C355" i="3"/>
  <c r="A355" i="3"/>
  <c r="B355" i="3" s="1"/>
  <c r="N354" i="3"/>
  <c r="L354" i="3"/>
  <c r="M354" i="3" s="1"/>
  <c r="K354" i="3"/>
  <c r="J354" i="3"/>
  <c r="I354" i="3" s="1"/>
  <c r="H354" i="3"/>
  <c r="G354" i="3"/>
  <c r="F354" i="3"/>
  <c r="E354" i="3"/>
  <c r="D354" i="3"/>
  <c r="C354" i="3"/>
  <c r="B354" i="3"/>
  <c r="A354" i="3"/>
  <c r="L353" i="3"/>
  <c r="J353" i="3"/>
  <c r="N353" i="3" s="1"/>
  <c r="H353" i="3"/>
  <c r="G353" i="3" s="1"/>
  <c r="F353" i="3"/>
  <c r="E353" i="3"/>
  <c r="D353" i="3"/>
  <c r="C353" i="3"/>
  <c r="A353" i="3"/>
  <c r="B353" i="3" s="1"/>
  <c r="L352" i="3"/>
  <c r="J352" i="3"/>
  <c r="I352" i="3" s="1"/>
  <c r="H352" i="3"/>
  <c r="E352" i="3"/>
  <c r="C352" i="3"/>
  <c r="B352" i="3"/>
  <c r="A352" i="3"/>
  <c r="L351" i="3"/>
  <c r="J351" i="3"/>
  <c r="I351" i="3"/>
  <c r="H351" i="3"/>
  <c r="F351" i="3" s="1"/>
  <c r="E351" i="3"/>
  <c r="D351" i="3" s="1"/>
  <c r="C351" i="3"/>
  <c r="A351" i="3"/>
  <c r="B351" i="3" s="1"/>
  <c r="N350" i="3"/>
  <c r="L350" i="3"/>
  <c r="M350" i="3" s="1"/>
  <c r="K350" i="3"/>
  <c r="J350" i="3"/>
  <c r="I350" i="3" s="1"/>
  <c r="H350" i="3"/>
  <c r="F350" i="3" s="1"/>
  <c r="E350" i="3"/>
  <c r="C350" i="3"/>
  <c r="D350" i="3" s="1"/>
  <c r="B350" i="3"/>
  <c r="A350" i="3"/>
  <c r="N349" i="3"/>
  <c r="M349" i="3"/>
  <c r="L349" i="3"/>
  <c r="J349" i="3"/>
  <c r="H349" i="3"/>
  <c r="G349" i="3" s="1"/>
  <c r="E349" i="3"/>
  <c r="C349" i="3"/>
  <c r="A349" i="3"/>
  <c r="B349" i="3" s="1"/>
  <c r="L348" i="3"/>
  <c r="J348" i="3"/>
  <c r="H348" i="3"/>
  <c r="E348" i="3"/>
  <c r="C348" i="3"/>
  <c r="D348" i="3" s="1"/>
  <c r="B348" i="3"/>
  <c r="A348" i="3"/>
  <c r="N347" i="3"/>
  <c r="M347" i="3"/>
  <c r="L347" i="3"/>
  <c r="J347" i="3"/>
  <c r="I347" i="3" s="1"/>
  <c r="H347" i="3"/>
  <c r="G347" i="3" s="1"/>
  <c r="E347" i="3"/>
  <c r="D347" i="3" s="1"/>
  <c r="C347" i="3"/>
  <c r="B347" i="3"/>
  <c r="A347" i="3"/>
  <c r="L346" i="3"/>
  <c r="K346" i="3"/>
  <c r="J346" i="3"/>
  <c r="I346" i="3" s="1"/>
  <c r="H346" i="3"/>
  <c r="N346" i="3" s="1"/>
  <c r="G346" i="3"/>
  <c r="F346" i="3"/>
  <c r="E346" i="3"/>
  <c r="D346" i="3"/>
  <c r="C346" i="3"/>
  <c r="B346" i="3"/>
  <c r="A346" i="3"/>
  <c r="N345" i="3"/>
  <c r="L345" i="3"/>
  <c r="K345" i="3" s="1"/>
  <c r="J345" i="3"/>
  <c r="H345" i="3"/>
  <c r="G345" i="3" s="1"/>
  <c r="E345" i="3"/>
  <c r="F345" i="3" s="1"/>
  <c r="D345" i="3"/>
  <c r="C345" i="3"/>
  <c r="B345" i="3"/>
  <c r="A345" i="3"/>
  <c r="L344" i="3"/>
  <c r="J344" i="3"/>
  <c r="I344" i="3" s="1"/>
  <c r="H344" i="3"/>
  <c r="G344" i="3"/>
  <c r="E344" i="3"/>
  <c r="D344" i="3"/>
  <c r="C344" i="3"/>
  <c r="B344" i="3"/>
  <c r="A344" i="3"/>
  <c r="M343" i="3"/>
  <c r="L343" i="3"/>
  <c r="J343" i="3"/>
  <c r="I343" i="3"/>
  <c r="H343" i="3"/>
  <c r="G343" i="3" s="1"/>
  <c r="F343" i="3"/>
  <c r="E343" i="3"/>
  <c r="D343" i="3" s="1"/>
  <c r="C343" i="3"/>
  <c r="A343" i="3"/>
  <c r="B343" i="3" s="1"/>
  <c r="N342" i="3"/>
  <c r="L342" i="3"/>
  <c r="J342" i="3"/>
  <c r="I342" i="3" s="1"/>
  <c r="H342" i="3"/>
  <c r="F342" i="3"/>
  <c r="E342" i="3"/>
  <c r="C342" i="3"/>
  <c r="G342" i="3" s="1"/>
  <c r="B342" i="3"/>
  <c r="A342" i="3"/>
  <c r="L341" i="3"/>
  <c r="J341" i="3"/>
  <c r="N341" i="3" s="1"/>
  <c r="I341" i="3"/>
  <c r="H341" i="3"/>
  <c r="G341" i="3" s="1"/>
  <c r="E341" i="3"/>
  <c r="D341" i="3" s="1"/>
  <c r="C341" i="3"/>
  <c r="A341" i="3"/>
  <c r="B341" i="3" s="1"/>
  <c r="L340" i="3"/>
  <c r="M340" i="3" s="1"/>
  <c r="K340" i="3"/>
  <c r="J340" i="3"/>
  <c r="I340" i="3" s="1"/>
  <c r="H340" i="3"/>
  <c r="E340" i="3"/>
  <c r="C340" i="3"/>
  <c r="D340" i="3" s="1"/>
  <c r="B340" i="3"/>
  <c r="A340" i="3"/>
  <c r="L339" i="3"/>
  <c r="J339" i="3"/>
  <c r="H339" i="3"/>
  <c r="G339" i="3" s="1"/>
  <c r="F339" i="3"/>
  <c r="E339" i="3"/>
  <c r="C339" i="3"/>
  <c r="B339" i="3"/>
  <c r="A339" i="3"/>
  <c r="L338" i="3"/>
  <c r="K338" i="3"/>
  <c r="J338" i="3"/>
  <c r="I338" i="3" s="1"/>
  <c r="H338" i="3"/>
  <c r="E338" i="3"/>
  <c r="C338" i="3"/>
  <c r="D338" i="3" s="1"/>
  <c r="B338" i="3"/>
  <c r="A338" i="3"/>
  <c r="N337" i="3"/>
  <c r="L337" i="3"/>
  <c r="K337" i="3" s="1"/>
  <c r="J337" i="3"/>
  <c r="H337" i="3"/>
  <c r="G337" i="3" s="1"/>
  <c r="E337" i="3"/>
  <c r="D337" i="3"/>
  <c r="C337" i="3"/>
  <c r="B337" i="3"/>
  <c r="A337" i="3"/>
  <c r="L336" i="3"/>
  <c r="J336" i="3"/>
  <c r="I336" i="3" s="1"/>
  <c r="H336" i="3"/>
  <c r="E336" i="3"/>
  <c r="D336" i="3"/>
  <c r="C336" i="3"/>
  <c r="B336" i="3"/>
  <c r="A336" i="3"/>
  <c r="N335" i="3"/>
  <c r="M335" i="3"/>
  <c r="L335" i="3"/>
  <c r="K335" i="3" s="1"/>
  <c r="J335" i="3"/>
  <c r="H335" i="3"/>
  <c r="G335" i="3" s="1"/>
  <c r="E335" i="3"/>
  <c r="D335" i="3" s="1"/>
  <c r="C335" i="3"/>
  <c r="B335" i="3"/>
  <c r="A335" i="3"/>
  <c r="L334" i="3"/>
  <c r="J334" i="3"/>
  <c r="I334" i="3" s="1"/>
  <c r="H334" i="3"/>
  <c r="N334" i="3" s="1"/>
  <c r="G334" i="3"/>
  <c r="F334" i="3"/>
  <c r="E334" i="3"/>
  <c r="C334" i="3"/>
  <c r="D334" i="3" s="1"/>
  <c r="B334" i="3"/>
  <c r="A334" i="3"/>
  <c r="L333" i="3"/>
  <c r="J333" i="3"/>
  <c r="H333" i="3"/>
  <c r="G333" i="3" s="1"/>
  <c r="E333" i="3"/>
  <c r="F333" i="3" s="1"/>
  <c r="D333" i="3"/>
  <c r="C333" i="3"/>
  <c r="B333" i="3"/>
  <c r="A333" i="3"/>
  <c r="L332" i="3"/>
  <c r="M332" i="3" s="1"/>
  <c r="K332" i="3"/>
  <c r="J332" i="3"/>
  <c r="I332" i="3" s="1"/>
  <c r="H332" i="3"/>
  <c r="E332" i="3"/>
  <c r="C332" i="3"/>
  <c r="G332" i="3" s="1"/>
  <c r="B332" i="3"/>
  <c r="A332" i="3"/>
  <c r="L331" i="3"/>
  <c r="J331" i="3"/>
  <c r="I331" i="3" s="1"/>
  <c r="H331" i="3"/>
  <c r="E331" i="3"/>
  <c r="D331" i="3" s="1"/>
  <c r="C331" i="3"/>
  <c r="A331" i="3"/>
  <c r="B331" i="3" s="1"/>
  <c r="N330" i="3"/>
  <c r="L330" i="3"/>
  <c r="M330" i="3" s="1"/>
  <c r="K330" i="3"/>
  <c r="J330" i="3"/>
  <c r="I330" i="3" s="1"/>
  <c r="H330" i="3"/>
  <c r="G330" i="3" s="1"/>
  <c r="E330" i="3"/>
  <c r="D330" i="3"/>
  <c r="C330" i="3"/>
  <c r="B330" i="3"/>
  <c r="A330" i="3"/>
  <c r="L329" i="3"/>
  <c r="J329" i="3"/>
  <c r="N329" i="3" s="1"/>
  <c r="I329" i="3"/>
  <c r="H329" i="3"/>
  <c r="G329" i="3" s="1"/>
  <c r="F329" i="3"/>
  <c r="E329" i="3"/>
  <c r="D329" i="3"/>
  <c r="C329" i="3"/>
  <c r="A329" i="3"/>
  <c r="B329" i="3" s="1"/>
  <c r="L328" i="3"/>
  <c r="M328" i="3" s="1"/>
  <c r="K328" i="3"/>
  <c r="J328" i="3"/>
  <c r="I328" i="3" s="1"/>
  <c r="H328" i="3"/>
  <c r="E328" i="3"/>
  <c r="C328" i="3"/>
  <c r="B328" i="3"/>
  <c r="A328" i="3"/>
  <c r="N327" i="3"/>
  <c r="L327" i="3"/>
  <c r="K327" i="3" s="1"/>
  <c r="J327" i="3"/>
  <c r="H327" i="3"/>
  <c r="E327" i="3"/>
  <c r="C327" i="3"/>
  <c r="A327" i="3"/>
  <c r="B327" i="3" s="1"/>
  <c r="L326" i="3"/>
  <c r="K326" i="3"/>
  <c r="J326" i="3"/>
  <c r="I326" i="3" s="1"/>
  <c r="H326" i="3"/>
  <c r="E326" i="3"/>
  <c r="C326" i="3"/>
  <c r="D326" i="3" s="1"/>
  <c r="B326" i="3"/>
  <c r="A326" i="3"/>
  <c r="N325" i="3"/>
  <c r="M325" i="3"/>
  <c r="L325" i="3"/>
  <c r="J325" i="3"/>
  <c r="H325" i="3"/>
  <c r="G325" i="3" s="1"/>
  <c r="E325" i="3"/>
  <c r="F325" i="3" s="1"/>
  <c r="C325" i="3"/>
  <c r="A325" i="3"/>
  <c r="B325" i="3" s="1"/>
  <c r="L324" i="3"/>
  <c r="J324" i="3"/>
  <c r="H324" i="3"/>
  <c r="G324" i="3"/>
  <c r="E324" i="3"/>
  <c r="C324" i="3"/>
  <c r="D324" i="3" s="1"/>
  <c r="B324" i="3"/>
  <c r="A324" i="3"/>
  <c r="M323" i="3"/>
  <c r="L323" i="3"/>
  <c r="J323" i="3"/>
  <c r="I323" i="3" s="1"/>
  <c r="H323" i="3"/>
  <c r="G323" i="3" s="1"/>
  <c r="E323" i="3"/>
  <c r="D323" i="3" s="1"/>
  <c r="C323" i="3"/>
  <c r="A323" i="3"/>
  <c r="B323" i="3" s="1"/>
  <c r="N322" i="3"/>
  <c r="L322" i="3"/>
  <c r="M322" i="3" s="1"/>
  <c r="K322" i="3"/>
  <c r="J322" i="3"/>
  <c r="I322" i="3" s="1"/>
  <c r="H322" i="3"/>
  <c r="G322" i="3"/>
  <c r="F322" i="3"/>
  <c r="E322" i="3"/>
  <c r="D322" i="3"/>
  <c r="C322" i="3"/>
  <c r="B322" i="3"/>
  <c r="A322" i="3"/>
  <c r="L321" i="3"/>
  <c r="K321" i="3" s="1"/>
  <c r="J321" i="3"/>
  <c r="N321" i="3" s="1"/>
  <c r="I321" i="3"/>
  <c r="H321" i="3"/>
  <c r="G321" i="3" s="1"/>
  <c r="F321" i="3"/>
  <c r="E321" i="3"/>
  <c r="D321" i="3"/>
  <c r="C321" i="3"/>
  <c r="B321" i="3"/>
  <c r="A321" i="3"/>
  <c r="L320" i="3"/>
  <c r="J320" i="3"/>
  <c r="I320" i="3" s="1"/>
  <c r="H320" i="3"/>
  <c r="E320" i="3"/>
  <c r="D320" i="3"/>
  <c r="C320" i="3"/>
  <c r="G320" i="3" s="1"/>
  <c r="B320" i="3"/>
  <c r="A320" i="3"/>
  <c r="L319" i="3"/>
  <c r="J319" i="3"/>
  <c r="I319" i="3"/>
  <c r="H319" i="3"/>
  <c r="F319" i="3"/>
  <c r="E319" i="3"/>
  <c r="D319" i="3" s="1"/>
  <c r="C319" i="3"/>
  <c r="A319" i="3"/>
  <c r="B319" i="3" s="1"/>
  <c r="N318" i="3"/>
  <c r="L318" i="3"/>
  <c r="M318" i="3" s="1"/>
  <c r="K318" i="3"/>
  <c r="J318" i="3"/>
  <c r="I318" i="3" s="1"/>
  <c r="H318" i="3"/>
  <c r="F318" i="3" s="1"/>
  <c r="E318" i="3"/>
  <c r="D318" i="3"/>
  <c r="C318" i="3"/>
  <c r="G318" i="3" s="1"/>
  <c r="B318" i="3"/>
  <c r="A318" i="3"/>
  <c r="N317" i="3"/>
  <c r="M317" i="3"/>
  <c r="L317" i="3"/>
  <c r="J317" i="3"/>
  <c r="I317" i="3"/>
  <c r="H317" i="3"/>
  <c r="G317" i="3" s="1"/>
  <c r="F317" i="3"/>
  <c r="E317" i="3"/>
  <c r="D317" i="3" s="1"/>
  <c r="C317" i="3"/>
  <c r="A317" i="3"/>
  <c r="B317" i="3" s="1"/>
  <c r="L316" i="3"/>
  <c r="M316" i="3" s="1"/>
  <c r="J316" i="3"/>
  <c r="I316" i="3" s="1"/>
  <c r="H316" i="3"/>
  <c r="E316" i="3"/>
  <c r="C316" i="3"/>
  <c r="D316" i="3" s="1"/>
  <c r="B316" i="3"/>
  <c r="A316" i="3"/>
  <c r="N315" i="3"/>
  <c r="M315" i="3"/>
  <c r="L315" i="3"/>
  <c r="J315" i="3"/>
  <c r="I315" i="3" s="1"/>
  <c r="H315" i="3"/>
  <c r="G315" i="3" s="1"/>
  <c r="E315" i="3"/>
  <c r="D315" i="3" s="1"/>
  <c r="C315" i="3"/>
  <c r="B315" i="3"/>
  <c r="A315" i="3"/>
  <c r="L314" i="3"/>
  <c r="K314" i="3"/>
  <c r="J314" i="3"/>
  <c r="I314" i="3" s="1"/>
  <c r="H314" i="3"/>
  <c r="N314" i="3" s="1"/>
  <c r="G314" i="3"/>
  <c r="F314" i="3"/>
  <c r="E314" i="3"/>
  <c r="D314" i="3"/>
  <c r="C314" i="3"/>
  <c r="B314" i="3"/>
  <c r="A314" i="3"/>
  <c r="N313" i="3"/>
  <c r="L313" i="3"/>
  <c r="K313" i="3" s="1"/>
  <c r="J313" i="3"/>
  <c r="H313" i="3"/>
  <c r="G313" i="3" s="1"/>
  <c r="E313" i="3"/>
  <c r="D313" i="3" s="1"/>
  <c r="C313" i="3"/>
  <c r="B313" i="3"/>
  <c r="A313" i="3"/>
  <c r="L312" i="3"/>
  <c r="J312" i="3"/>
  <c r="I312" i="3" s="1"/>
  <c r="H312" i="3"/>
  <c r="G312" i="3"/>
  <c r="E312" i="3"/>
  <c r="D312" i="3"/>
  <c r="C312" i="3"/>
  <c r="B312" i="3"/>
  <c r="A312" i="3"/>
  <c r="M311" i="3"/>
  <c r="L311" i="3"/>
  <c r="J311" i="3"/>
  <c r="I311" i="3" s="1"/>
  <c r="H311" i="3"/>
  <c r="G311" i="3" s="1"/>
  <c r="F311" i="3"/>
  <c r="E311" i="3"/>
  <c r="D311" i="3" s="1"/>
  <c r="C311" i="3"/>
  <c r="B311" i="3"/>
  <c r="A311" i="3"/>
  <c r="N310" i="3"/>
  <c r="L310" i="3"/>
  <c r="J310" i="3"/>
  <c r="I310" i="3" s="1"/>
  <c r="H310" i="3"/>
  <c r="F310" i="3"/>
  <c r="E310" i="3"/>
  <c r="D310" i="3"/>
  <c r="C310" i="3"/>
  <c r="G310" i="3" s="1"/>
  <c r="B310" i="3"/>
  <c r="A310" i="3"/>
  <c r="L309" i="3"/>
  <c r="J309" i="3"/>
  <c r="N309" i="3" s="1"/>
  <c r="I309" i="3"/>
  <c r="H309" i="3"/>
  <c r="G309" i="3" s="1"/>
  <c r="E309" i="3"/>
  <c r="D309" i="3" s="1"/>
  <c r="C309" i="3"/>
  <c r="B309" i="3"/>
  <c r="A309" i="3"/>
  <c r="L308" i="3"/>
  <c r="M308" i="3" s="1"/>
  <c r="J308" i="3"/>
  <c r="I308" i="3" s="1"/>
  <c r="H308" i="3"/>
  <c r="E308" i="3"/>
  <c r="C308" i="3"/>
  <c r="D308" i="3" s="1"/>
  <c r="B308" i="3"/>
  <c r="A308" i="3"/>
  <c r="L307" i="3"/>
  <c r="J307" i="3"/>
  <c r="I307" i="3"/>
  <c r="H307" i="3"/>
  <c r="F307" i="3" s="1"/>
  <c r="E307" i="3"/>
  <c r="D307" i="3" s="1"/>
  <c r="C307" i="3"/>
  <c r="B307" i="3"/>
  <c r="A307" i="3"/>
  <c r="L306" i="3"/>
  <c r="K306" i="3"/>
  <c r="J306" i="3"/>
  <c r="I306" i="3" s="1"/>
  <c r="H306" i="3"/>
  <c r="E306" i="3"/>
  <c r="C306" i="3"/>
  <c r="D306" i="3" s="1"/>
  <c r="B306" i="3"/>
  <c r="A306" i="3"/>
  <c r="N305" i="3"/>
  <c r="L305" i="3"/>
  <c r="K305" i="3" s="1"/>
  <c r="J305" i="3"/>
  <c r="H305" i="3"/>
  <c r="G305" i="3" s="1"/>
  <c r="F305" i="3"/>
  <c r="E305" i="3"/>
  <c r="I305" i="3" s="1"/>
  <c r="D305" i="3"/>
  <c r="C305" i="3"/>
  <c r="B305" i="3"/>
  <c r="A305" i="3"/>
  <c r="L304" i="3"/>
  <c r="J304" i="3"/>
  <c r="I304" i="3" s="1"/>
  <c r="H304" i="3"/>
  <c r="G304" i="3"/>
  <c r="E304" i="3"/>
  <c r="D304" i="3"/>
  <c r="C304" i="3"/>
  <c r="B304" i="3"/>
  <c r="A304" i="3"/>
  <c r="N303" i="3"/>
  <c r="M303" i="3"/>
  <c r="L303" i="3"/>
  <c r="K303" i="3" s="1"/>
  <c r="J303" i="3"/>
  <c r="H303" i="3"/>
  <c r="G303" i="3" s="1"/>
  <c r="E303" i="3"/>
  <c r="C303" i="3"/>
  <c r="A303" i="3"/>
  <c r="B303" i="3" s="1"/>
  <c r="L302" i="3"/>
  <c r="J302" i="3"/>
  <c r="I302" i="3" s="1"/>
  <c r="H302" i="3"/>
  <c r="N302" i="3" s="1"/>
  <c r="G302" i="3"/>
  <c r="F302" i="3"/>
  <c r="E302" i="3"/>
  <c r="C302" i="3"/>
  <c r="D302" i="3" s="1"/>
  <c r="B302" i="3"/>
  <c r="A302" i="3"/>
  <c r="L301" i="3"/>
  <c r="J301" i="3"/>
  <c r="I301" i="3" s="1"/>
  <c r="H301" i="3"/>
  <c r="G301" i="3" s="1"/>
  <c r="E301" i="3"/>
  <c r="F301" i="3" s="1"/>
  <c r="D301" i="3"/>
  <c r="C301" i="3"/>
  <c r="B301" i="3"/>
  <c r="A301" i="3"/>
  <c r="L300" i="3"/>
  <c r="M300" i="3" s="1"/>
  <c r="K300" i="3"/>
  <c r="J300" i="3"/>
  <c r="I300" i="3" s="1"/>
  <c r="H300" i="3"/>
  <c r="G300" i="3"/>
  <c r="E300" i="3"/>
  <c r="D300" i="3"/>
  <c r="C300" i="3"/>
  <c r="B300" i="3"/>
  <c r="A300" i="3"/>
  <c r="L299" i="3"/>
  <c r="K299" i="3" s="1"/>
  <c r="J299" i="3"/>
  <c r="I299" i="3"/>
  <c r="H299" i="3"/>
  <c r="E299" i="3"/>
  <c r="D299" i="3" s="1"/>
  <c r="C299" i="3"/>
  <c r="A299" i="3"/>
  <c r="B299" i="3" s="1"/>
  <c r="N298" i="3"/>
  <c r="L298" i="3"/>
  <c r="M298" i="3" s="1"/>
  <c r="J298" i="3"/>
  <c r="I298" i="3" s="1"/>
  <c r="H298" i="3"/>
  <c r="G298" i="3" s="1"/>
  <c r="E298" i="3"/>
  <c r="C298" i="3"/>
  <c r="D298" i="3" s="1"/>
  <c r="B298" i="3"/>
  <c r="A298" i="3"/>
  <c r="L297" i="3"/>
  <c r="J297" i="3"/>
  <c r="N297" i="3" s="1"/>
  <c r="H297" i="3"/>
  <c r="G297" i="3" s="1"/>
  <c r="F297" i="3"/>
  <c r="E297" i="3"/>
  <c r="D297" i="3"/>
  <c r="C297" i="3"/>
  <c r="A297" i="3"/>
  <c r="B297" i="3" s="1"/>
  <c r="L296" i="3"/>
  <c r="M296" i="3" s="1"/>
  <c r="J296" i="3"/>
  <c r="I296" i="3" s="1"/>
  <c r="H296" i="3"/>
  <c r="E296" i="3"/>
  <c r="C296" i="3"/>
  <c r="B296" i="3"/>
  <c r="A296" i="3"/>
  <c r="N295" i="3"/>
  <c r="L295" i="3"/>
  <c r="K295" i="3" s="1"/>
  <c r="J295" i="3"/>
  <c r="H295" i="3"/>
  <c r="E295" i="3"/>
  <c r="C295" i="3"/>
  <c r="A295" i="3"/>
  <c r="B295" i="3" s="1"/>
  <c r="L294" i="3"/>
  <c r="K294" i="3"/>
  <c r="J294" i="3"/>
  <c r="I294" i="3" s="1"/>
  <c r="H294" i="3"/>
  <c r="G294" i="3"/>
  <c r="E294" i="3"/>
  <c r="C294" i="3"/>
  <c r="D294" i="3" s="1"/>
  <c r="B294" i="3"/>
  <c r="A294" i="3"/>
  <c r="N293" i="3"/>
  <c r="M293" i="3"/>
  <c r="L293" i="3"/>
  <c r="J293" i="3"/>
  <c r="H293" i="3"/>
  <c r="G293" i="3" s="1"/>
  <c r="F293" i="3"/>
  <c r="E293" i="3"/>
  <c r="D293" i="3"/>
  <c r="C293" i="3"/>
  <c r="A293" i="3"/>
  <c r="B293" i="3" s="1"/>
  <c r="L292" i="3"/>
  <c r="J292" i="3"/>
  <c r="H292" i="3"/>
  <c r="G292" i="3"/>
  <c r="E292" i="3"/>
  <c r="C292" i="3"/>
  <c r="D292" i="3" s="1"/>
  <c r="B292" i="3"/>
  <c r="A292" i="3"/>
  <c r="M291" i="3"/>
  <c r="L291" i="3"/>
  <c r="J291" i="3"/>
  <c r="I291" i="3" s="1"/>
  <c r="H291" i="3"/>
  <c r="G291" i="3" s="1"/>
  <c r="E291" i="3"/>
  <c r="D291" i="3" s="1"/>
  <c r="C291" i="3"/>
  <c r="B291" i="3"/>
  <c r="A291" i="3"/>
  <c r="N290" i="3"/>
  <c r="L290" i="3"/>
  <c r="M290" i="3" s="1"/>
  <c r="K290" i="3"/>
  <c r="J290" i="3"/>
  <c r="I290" i="3" s="1"/>
  <c r="H290" i="3"/>
  <c r="G290" i="3"/>
  <c r="F290" i="3"/>
  <c r="E290" i="3"/>
  <c r="D290" i="3"/>
  <c r="C290" i="3"/>
  <c r="B290" i="3"/>
  <c r="A290" i="3"/>
  <c r="M289" i="3"/>
  <c r="L289" i="3"/>
  <c r="J289" i="3"/>
  <c r="N289" i="3" s="1"/>
  <c r="H289" i="3"/>
  <c r="G289" i="3" s="1"/>
  <c r="F289" i="3"/>
  <c r="E289" i="3"/>
  <c r="D289" i="3"/>
  <c r="C289" i="3"/>
  <c r="A289" i="3"/>
  <c r="B289" i="3" s="1"/>
  <c r="L288" i="3"/>
  <c r="J288" i="3"/>
  <c r="I288" i="3" s="1"/>
  <c r="H288" i="3"/>
  <c r="E288" i="3"/>
  <c r="C288" i="3"/>
  <c r="G288" i="3" s="1"/>
  <c r="B288" i="3"/>
  <c r="A288" i="3"/>
  <c r="L287" i="3"/>
  <c r="J287" i="3"/>
  <c r="I287" i="3"/>
  <c r="H287" i="3"/>
  <c r="F287" i="3" s="1"/>
  <c r="E287" i="3"/>
  <c r="D287" i="3" s="1"/>
  <c r="C287" i="3"/>
  <c r="A287" i="3"/>
  <c r="B287" i="3" s="1"/>
  <c r="N286" i="3"/>
  <c r="L286" i="3"/>
  <c r="M286" i="3" s="1"/>
  <c r="K286" i="3"/>
  <c r="J286" i="3"/>
  <c r="I286" i="3" s="1"/>
  <c r="H286" i="3"/>
  <c r="F286" i="3" s="1"/>
  <c r="E286" i="3"/>
  <c r="C286" i="3"/>
  <c r="G286" i="3" s="1"/>
  <c r="B286" i="3"/>
  <c r="A286" i="3"/>
  <c r="N285" i="3"/>
  <c r="M285" i="3"/>
  <c r="L285" i="3"/>
  <c r="J285" i="3"/>
  <c r="I285" i="3"/>
  <c r="H285" i="3"/>
  <c r="G285" i="3" s="1"/>
  <c r="E285" i="3"/>
  <c r="D285" i="3" s="1"/>
  <c r="C285" i="3"/>
  <c r="A285" i="3"/>
  <c r="B285" i="3" s="1"/>
  <c r="L284" i="3"/>
  <c r="M284" i="3" s="1"/>
  <c r="K284" i="3"/>
  <c r="J284" i="3"/>
  <c r="I284" i="3" s="1"/>
  <c r="H284" i="3"/>
  <c r="E284" i="3"/>
  <c r="C284" i="3"/>
  <c r="D284" i="3" s="1"/>
  <c r="B284" i="3"/>
  <c r="A284" i="3"/>
  <c r="N283" i="3"/>
  <c r="M283" i="3"/>
  <c r="L283" i="3"/>
  <c r="J283" i="3"/>
  <c r="H283" i="3"/>
  <c r="G283" i="3" s="1"/>
  <c r="E283" i="3"/>
  <c r="D283" i="3" s="1"/>
  <c r="C283" i="3"/>
  <c r="B283" i="3"/>
  <c r="A283" i="3"/>
  <c r="L282" i="3"/>
  <c r="K282" i="3"/>
  <c r="J282" i="3"/>
  <c r="I282" i="3" s="1"/>
  <c r="H282" i="3"/>
  <c r="N282" i="3" s="1"/>
  <c r="G282" i="3"/>
  <c r="F282" i="3"/>
  <c r="E282" i="3"/>
  <c r="D282" i="3"/>
  <c r="C282" i="3"/>
  <c r="B282" i="3"/>
  <c r="A282" i="3"/>
  <c r="N281" i="3"/>
  <c r="L281" i="3"/>
  <c r="K281" i="3" s="1"/>
  <c r="J281" i="3"/>
  <c r="H281" i="3"/>
  <c r="G281" i="3" s="1"/>
  <c r="E281" i="3"/>
  <c r="D281" i="3"/>
  <c r="C281" i="3"/>
  <c r="B281" i="3"/>
  <c r="A281" i="3"/>
  <c r="L280" i="3"/>
  <c r="J280" i="3"/>
  <c r="I280" i="3" s="1"/>
  <c r="H280" i="3"/>
  <c r="G280" i="3" s="1"/>
  <c r="E280" i="3"/>
  <c r="D280" i="3"/>
  <c r="C280" i="3"/>
  <c r="B280" i="3"/>
  <c r="A280" i="3"/>
  <c r="M279" i="3"/>
  <c r="L279" i="3"/>
  <c r="K279" i="3" s="1"/>
  <c r="J279" i="3"/>
  <c r="I279" i="3"/>
  <c r="H279" i="3"/>
  <c r="G279" i="3" s="1"/>
  <c r="F279" i="3"/>
  <c r="E279" i="3"/>
  <c r="D279" i="3" s="1"/>
  <c r="C279" i="3"/>
  <c r="A279" i="3"/>
  <c r="B279" i="3" s="1"/>
  <c r="N278" i="3"/>
  <c r="L278" i="3"/>
  <c r="J278" i="3"/>
  <c r="I278" i="3" s="1"/>
  <c r="H278" i="3"/>
  <c r="F278" i="3"/>
  <c r="E278" i="3"/>
  <c r="C278" i="3"/>
  <c r="G278" i="3" s="1"/>
  <c r="B278" i="3"/>
  <c r="A278" i="3"/>
  <c r="L277" i="3"/>
  <c r="J277" i="3"/>
  <c r="N277" i="3" s="1"/>
  <c r="I277" i="3"/>
  <c r="H277" i="3"/>
  <c r="G277" i="3" s="1"/>
  <c r="E277" i="3"/>
  <c r="D277" i="3" s="1"/>
  <c r="C277" i="3"/>
  <c r="A277" i="3"/>
  <c r="B277" i="3" s="1"/>
  <c r="L276" i="3"/>
  <c r="M276" i="3" s="1"/>
  <c r="K276" i="3"/>
  <c r="J276" i="3"/>
  <c r="I276" i="3" s="1"/>
  <c r="H276" i="3"/>
  <c r="E276" i="3"/>
  <c r="D276" i="3"/>
  <c r="C276" i="3"/>
  <c r="B276" i="3"/>
  <c r="A276" i="3"/>
  <c r="L275" i="3"/>
  <c r="J275" i="3"/>
  <c r="I275" i="3"/>
  <c r="H275" i="3"/>
  <c r="F275" i="3"/>
  <c r="E275" i="3"/>
  <c r="D275" i="3" s="1"/>
  <c r="C275" i="3"/>
  <c r="B275" i="3"/>
  <c r="A275" i="3"/>
  <c r="L274" i="3"/>
  <c r="K274" i="3"/>
  <c r="J274" i="3"/>
  <c r="I274" i="3" s="1"/>
  <c r="H274" i="3"/>
  <c r="E274" i="3"/>
  <c r="C274" i="3"/>
  <c r="D274" i="3" s="1"/>
  <c r="B274" i="3"/>
  <c r="A274" i="3"/>
  <c r="N273" i="3"/>
  <c r="L273" i="3"/>
  <c r="K273" i="3" s="1"/>
  <c r="J273" i="3"/>
  <c r="H273" i="3"/>
  <c r="G273" i="3" s="1"/>
  <c r="E273" i="3"/>
  <c r="I273" i="3" s="1"/>
  <c r="C273" i="3"/>
  <c r="B273" i="3"/>
  <c r="A273" i="3"/>
  <c r="L272" i="3"/>
  <c r="K272" i="3"/>
  <c r="J272" i="3"/>
  <c r="I272" i="3" s="1"/>
  <c r="H272" i="3"/>
  <c r="E272" i="3"/>
  <c r="D272" i="3"/>
  <c r="C272" i="3"/>
  <c r="B272" i="3"/>
  <c r="A272" i="3"/>
  <c r="N271" i="3"/>
  <c r="M271" i="3"/>
  <c r="L271" i="3"/>
  <c r="K271" i="3" s="1"/>
  <c r="J271" i="3"/>
  <c r="H271" i="3"/>
  <c r="G271" i="3" s="1"/>
  <c r="E271" i="3"/>
  <c r="C271" i="3"/>
  <c r="B271" i="3"/>
  <c r="A271" i="3"/>
  <c r="L270" i="3"/>
  <c r="J270" i="3"/>
  <c r="I270" i="3" s="1"/>
  <c r="H270" i="3"/>
  <c r="N270" i="3" s="1"/>
  <c r="G270" i="3"/>
  <c r="F270" i="3"/>
  <c r="E270" i="3"/>
  <c r="C270" i="3"/>
  <c r="D270" i="3" s="1"/>
  <c r="B270" i="3"/>
  <c r="A270" i="3"/>
  <c r="L269" i="3"/>
  <c r="J269" i="3"/>
  <c r="I269" i="3" s="1"/>
  <c r="H269" i="3"/>
  <c r="G269" i="3" s="1"/>
  <c r="E269" i="3"/>
  <c r="F269" i="3" s="1"/>
  <c r="D269" i="3"/>
  <c r="C269" i="3"/>
  <c r="A269" i="3"/>
  <c r="B269" i="3" s="1"/>
  <c r="L268" i="3"/>
  <c r="M268" i="3" s="1"/>
  <c r="K268" i="3"/>
  <c r="J268" i="3"/>
  <c r="I268" i="3" s="1"/>
  <c r="H268" i="3"/>
  <c r="G268" i="3"/>
  <c r="E268" i="3"/>
  <c r="C268" i="3"/>
  <c r="D268" i="3" s="1"/>
  <c r="B268" i="3"/>
  <c r="A268" i="3"/>
  <c r="L267" i="3"/>
  <c r="J267" i="3"/>
  <c r="I267" i="3" s="1"/>
  <c r="H267" i="3"/>
  <c r="E267" i="3"/>
  <c r="D267" i="3" s="1"/>
  <c r="C267" i="3"/>
  <c r="A267" i="3"/>
  <c r="B267" i="3" s="1"/>
  <c r="N266" i="3"/>
  <c r="L266" i="3"/>
  <c r="M266" i="3" s="1"/>
  <c r="K266" i="3"/>
  <c r="J266" i="3"/>
  <c r="I266" i="3" s="1"/>
  <c r="H266" i="3"/>
  <c r="E266" i="3"/>
  <c r="C266" i="3"/>
  <c r="D266" i="3" s="1"/>
  <c r="B266" i="3"/>
  <c r="A266" i="3"/>
  <c r="L265" i="3"/>
  <c r="J265" i="3"/>
  <c r="N265" i="3" s="1"/>
  <c r="I265" i="3"/>
  <c r="H265" i="3"/>
  <c r="G265" i="3" s="1"/>
  <c r="F265" i="3"/>
  <c r="E265" i="3"/>
  <c r="D265" i="3"/>
  <c r="C265" i="3"/>
  <c r="A265" i="3"/>
  <c r="B265" i="3" s="1"/>
  <c r="L264" i="3"/>
  <c r="M264" i="3" s="1"/>
  <c r="K264" i="3"/>
  <c r="J264" i="3"/>
  <c r="I264" i="3" s="1"/>
  <c r="H264" i="3"/>
  <c r="E264" i="3"/>
  <c r="C264" i="3"/>
  <c r="B264" i="3"/>
  <c r="A264" i="3"/>
  <c r="N263" i="3"/>
  <c r="L263" i="3"/>
  <c r="K263" i="3" s="1"/>
  <c r="J263" i="3"/>
  <c r="H263" i="3"/>
  <c r="E263" i="3"/>
  <c r="C263" i="3"/>
  <c r="A263" i="3"/>
  <c r="B263" i="3" s="1"/>
  <c r="L262" i="3"/>
  <c r="K262" i="3"/>
  <c r="J262" i="3"/>
  <c r="I262" i="3" s="1"/>
  <c r="H262" i="3"/>
  <c r="G262" i="3"/>
  <c r="E262" i="3"/>
  <c r="C262" i="3"/>
  <c r="D262" i="3" s="1"/>
  <c r="B262" i="3"/>
  <c r="A262" i="3"/>
  <c r="N261" i="3"/>
  <c r="M261" i="3"/>
  <c r="L261" i="3"/>
  <c r="J261" i="3"/>
  <c r="H261" i="3"/>
  <c r="G261" i="3" s="1"/>
  <c r="E261" i="3"/>
  <c r="F261" i="3" s="1"/>
  <c r="C261" i="3"/>
  <c r="A261" i="3"/>
  <c r="B261" i="3" s="1"/>
  <c r="L260" i="3"/>
  <c r="J260" i="3"/>
  <c r="H260" i="3"/>
  <c r="G260" i="3" s="1"/>
  <c r="E260" i="3"/>
  <c r="C260" i="3"/>
  <c r="D260" i="3" s="1"/>
  <c r="B260" i="3"/>
  <c r="A260" i="3"/>
  <c r="M259" i="3"/>
  <c r="L259" i="3"/>
  <c r="K259" i="3" s="1"/>
  <c r="J259" i="3"/>
  <c r="I259" i="3" s="1"/>
  <c r="H259" i="3"/>
  <c r="G259" i="3" s="1"/>
  <c r="E259" i="3"/>
  <c r="D259" i="3" s="1"/>
  <c r="C259" i="3"/>
  <c r="A259" i="3"/>
  <c r="B259" i="3" s="1"/>
  <c r="N258" i="3"/>
  <c r="L258" i="3"/>
  <c r="M258" i="3" s="1"/>
  <c r="K258" i="3"/>
  <c r="J258" i="3"/>
  <c r="I258" i="3" s="1"/>
  <c r="H258" i="3"/>
  <c r="G258" i="3"/>
  <c r="F258" i="3"/>
  <c r="E258" i="3"/>
  <c r="D258" i="3"/>
  <c r="C258" i="3"/>
  <c r="B258" i="3"/>
  <c r="A258" i="3"/>
  <c r="L257" i="3"/>
  <c r="K257" i="3" s="1"/>
  <c r="J257" i="3"/>
  <c r="N257" i="3" s="1"/>
  <c r="I257" i="3"/>
  <c r="H257" i="3"/>
  <c r="G257" i="3" s="1"/>
  <c r="F257" i="3"/>
  <c r="E257" i="3"/>
  <c r="D257" i="3"/>
  <c r="C257" i="3"/>
  <c r="B257" i="3"/>
  <c r="A257" i="3"/>
  <c r="L256" i="3"/>
  <c r="J256" i="3"/>
  <c r="I256" i="3" s="1"/>
  <c r="H256" i="3"/>
  <c r="E256" i="3"/>
  <c r="D256" i="3"/>
  <c r="C256" i="3"/>
  <c r="G256" i="3" s="1"/>
  <c r="B256" i="3"/>
  <c r="A256" i="3"/>
  <c r="L255" i="3"/>
  <c r="J255" i="3"/>
  <c r="I255" i="3"/>
  <c r="H255" i="3"/>
  <c r="F255" i="3"/>
  <c r="E255" i="3"/>
  <c r="D255" i="3" s="1"/>
  <c r="C255" i="3"/>
  <c r="A255" i="3"/>
  <c r="B255" i="3" s="1"/>
  <c r="N254" i="3"/>
  <c r="L254" i="3"/>
  <c r="M254" i="3" s="1"/>
  <c r="K254" i="3"/>
  <c r="J254" i="3"/>
  <c r="I254" i="3" s="1"/>
  <c r="H254" i="3"/>
  <c r="F254" i="3" s="1"/>
  <c r="E254" i="3"/>
  <c r="D254" i="3"/>
  <c r="C254" i="3"/>
  <c r="G254" i="3" s="1"/>
  <c r="B254" i="3"/>
  <c r="A254" i="3"/>
  <c r="N253" i="3"/>
  <c r="M253" i="3"/>
  <c r="L253" i="3"/>
  <c r="J253" i="3"/>
  <c r="H253" i="3"/>
  <c r="G253" i="3" s="1"/>
  <c r="E253" i="3"/>
  <c r="D253" i="3" s="1"/>
  <c r="C253" i="3"/>
  <c r="A253" i="3"/>
  <c r="B253" i="3" s="1"/>
  <c r="L252" i="3"/>
  <c r="M252" i="3" s="1"/>
  <c r="J252" i="3"/>
  <c r="I252" i="3" s="1"/>
  <c r="H252" i="3"/>
  <c r="E252" i="3"/>
  <c r="C252" i="3"/>
  <c r="D252" i="3" s="1"/>
  <c r="B252" i="3"/>
  <c r="A252" i="3"/>
  <c r="N251" i="3"/>
  <c r="L251" i="3"/>
  <c r="K251" i="3" s="1"/>
  <c r="J251" i="3"/>
  <c r="H251" i="3"/>
  <c r="G251" i="3" s="1"/>
  <c r="E251" i="3"/>
  <c r="I251" i="3" s="1"/>
  <c r="D251" i="3"/>
  <c r="C251" i="3"/>
  <c r="B251" i="3"/>
  <c r="A251" i="3"/>
  <c r="L250" i="3"/>
  <c r="J250" i="3"/>
  <c r="I250" i="3" s="1"/>
  <c r="H250" i="3"/>
  <c r="E250" i="3"/>
  <c r="C250" i="3"/>
  <c r="D250" i="3" s="1"/>
  <c r="B250" i="3"/>
  <c r="A250" i="3"/>
  <c r="L249" i="3"/>
  <c r="K249" i="3" s="1"/>
  <c r="J249" i="3"/>
  <c r="H249" i="3"/>
  <c r="G249" i="3" s="1"/>
  <c r="F249" i="3"/>
  <c r="E249" i="3"/>
  <c r="I249" i="3" s="1"/>
  <c r="D249" i="3"/>
  <c r="C249" i="3"/>
  <c r="B249" i="3"/>
  <c r="A249" i="3"/>
  <c r="L248" i="3"/>
  <c r="J248" i="3"/>
  <c r="I248" i="3" s="1"/>
  <c r="H248" i="3"/>
  <c r="E248" i="3"/>
  <c r="C248" i="3"/>
  <c r="D248" i="3" s="1"/>
  <c r="B248" i="3"/>
  <c r="A248" i="3"/>
  <c r="L247" i="3"/>
  <c r="K247" i="3" s="1"/>
  <c r="J247" i="3"/>
  <c r="H247" i="3"/>
  <c r="G247" i="3" s="1"/>
  <c r="F247" i="3"/>
  <c r="E247" i="3"/>
  <c r="I247" i="3" s="1"/>
  <c r="D247" i="3"/>
  <c r="C247" i="3"/>
  <c r="B247" i="3"/>
  <c r="A247" i="3"/>
  <c r="L246" i="3"/>
  <c r="M246" i="3" s="1"/>
  <c r="J246" i="3"/>
  <c r="I246" i="3" s="1"/>
  <c r="H246" i="3"/>
  <c r="E246" i="3"/>
  <c r="C246" i="3"/>
  <c r="D246" i="3" s="1"/>
  <c r="B246" i="3"/>
  <c r="A246" i="3"/>
  <c r="N245" i="3"/>
  <c r="L245" i="3"/>
  <c r="K245" i="3" s="1"/>
  <c r="J245" i="3"/>
  <c r="H245" i="3"/>
  <c r="G245" i="3" s="1"/>
  <c r="F245" i="3"/>
  <c r="E245" i="3"/>
  <c r="I245" i="3" s="1"/>
  <c r="D245" i="3"/>
  <c r="C245" i="3"/>
  <c r="B245" i="3"/>
  <c r="A245" i="3"/>
  <c r="L244" i="3"/>
  <c r="M244" i="3" s="1"/>
  <c r="J244" i="3"/>
  <c r="I244" i="3" s="1"/>
  <c r="H244" i="3"/>
  <c r="E244" i="3"/>
  <c r="C244" i="3"/>
  <c r="D244" i="3" s="1"/>
  <c r="B244" i="3"/>
  <c r="A244" i="3"/>
  <c r="N243" i="3"/>
  <c r="L243" i="3"/>
  <c r="K243" i="3" s="1"/>
  <c r="J243" i="3"/>
  <c r="H243" i="3"/>
  <c r="G243" i="3" s="1"/>
  <c r="E243" i="3"/>
  <c r="I243" i="3" s="1"/>
  <c r="D243" i="3"/>
  <c r="C243" i="3"/>
  <c r="B243" i="3"/>
  <c r="A243" i="3"/>
  <c r="L242" i="3"/>
  <c r="M242" i="3" s="1"/>
  <c r="J242" i="3"/>
  <c r="I242" i="3" s="1"/>
  <c r="H242" i="3"/>
  <c r="E242" i="3"/>
  <c r="C242" i="3"/>
  <c r="D242" i="3" s="1"/>
  <c r="B242" i="3"/>
  <c r="A242" i="3"/>
  <c r="N241" i="3"/>
  <c r="L241" i="3"/>
  <c r="K241" i="3" s="1"/>
  <c r="J241" i="3"/>
  <c r="H241" i="3"/>
  <c r="G241" i="3" s="1"/>
  <c r="F241" i="3"/>
  <c r="E241" i="3"/>
  <c r="I241" i="3" s="1"/>
  <c r="D241" i="3"/>
  <c r="C241" i="3"/>
  <c r="B241" i="3"/>
  <c r="A241" i="3"/>
  <c r="L240" i="3"/>
  <c r="J240" i="3"/>
  <c r="I240" i="3" s="1"/>
  <c r="H240" i="3"/>
  <c r="E240" i="3"/>
  <c r="C240" i="3"/>
  <c r="D240" i="3" s="1"/>
  <c r="B240" i="3"/>
  <c r="A240" i="3"/>
  <c r="L239" i="3"/>
  <c r="K239" i="3" s="1"/>
  <c r="J239" i="3"/>
  <c r="H239" i="3"/>
  <c r="G239" i="3" s="1"/>
  <c r="F239" i="3"/>
  <c r="E239" i="3"/>
  <c r="I239" i="3" s="1"/>
  <c r="D239" i="3"/>
  <c r="C239" i="3"/>
  <c r="B239" i="3"/>
  <c r="A239" i="3"/>
  <c r="L238" i="3"/>
  <c r="M238" i="3" s="1"/>
  <c r="J238" i="3"/>
  <c r="I238" i="3" s="1"/>
  <c r="H238" i="3"/>
  <c r="E238" i="3"/>
  <c r="C238" i="3"/>
  <c r="D238" i="3" s="1"/>
  <c r="B238" i="3"/>
  <c r="A238" i="3"/>
  <c r="N237" i="3"/>
  <c r="L237" i="3"/>
  <c r="K237" i="3" s="1"/>
  <c r="J237" i="3"/>
  <c r="H237" i="3"/>
  <c r="G237" i="3" s="1"/>
  <c r="F237" i="3"/>
  <c r="E237" i="3"/>
  <c r="I237" i="3" s="1"/>
  <c r="D237" i="3"/>
  <c r="C237" i="3"/>
  <c r="B237" i="3"/>
  <c r="A237" i="3"/>
  <c r="L236" i="3"/>
  <c r="M236" i="3" s="1"/>
  <c r="J236" i="3"/>
  <c r="I236" i="3" s="1"/>
  <c r="H236" i="3"/>
  <c r="E236" i="3"/>
  <c r="C236" i="3"/>
  <c r="D236" i="3" s="1"/>
  <c r="B236" i="3"/>
  <c r="A236" i="3"/>
  <c r="N235" i="3"/>
  <c r="L235" i="3"/>
  <c r="K235" i="3" s="1"/>
  <c r="J235" i="3"/>
  <c r="H235" i="3"/>
  <c r="G235" i="3" s="1"/>
  <c r="E235" i="3"/>
  <c r="I235" i="3" s="1"/>
  <c r="D235" i="3"/>
  <c r="C235" i="3"/>
  <c r="B235" i="3"/>
  <c r="A235" i="3"/>
  <c r="L234" i="3"/>
  <c r="M234" i="3" s="1"/>
  <c r="J234" i="3"/>
  <c r="I234" i="3" s="1"/>
  <c r="H234" i="3"/>
  <c r="E234" i="3"/>
  <c r="C234" i="3"/>
  <c r="D234" i="3" s="1"/>
  <c r="B234" i="3"/>
  <c r="A234" i="3"/>
  <c r="N233" i="3"/>
  <c r="L233" i="3"/>
  <c r="K233" i="3" s="1"/>
  <c r="J233" i="3"/>
  <c r="H233" i="3"/>
  <c r="G233" i="3" s="1"/>
  <c r="F233" i="3"/>
  <c r="E233" i="3"/>
  <c r="I233" i="3" s="1"/>
  <c r="D233" i="3"/>
  <c r="C233" i="3"/>
  <c r="B233" i="3"/>
  <c r="A233" i="3"/>
  <c r="L232" i="3"/>
  <c r="J232" i="3"/>
  <c r="I232" i="3" s="1"/>
  <c r="H232" i="3"/>
  <c r="E232" i="3"/>
  <c r="C232" i="3"/>
  <c r="D232" i="3" s="1"/>
  <c r="B232" i="3"/>
  <c r="A232" i="3"/>
  <c r="L231" i="3"/>
  <c r="K231" i="3" s="1"/>
  <c r="J231" i="3"/>
  <c r="H231" i="3"/>
  <c r="G231" i="3" s="1"/>
  <c r="F231" i="3"/>
  <c r="E231" i="3"/>
  <c r="I231" i="3" s="1"/>
  <c r="D231" i="3"/>
  <c r="C231" i="3"/>
  <c r="B231" i="3"/>
  <c r="A231" i="3"/>
  <c r="L230" i="3"/>
  <c r="M230" i="3" s="1"/>
  <c r="J230" i="3"/>
  <c r="I230" i="3" s="1"/>
  <c r="H230" i="3"/>
  <c r="E230" i="3"/>
  <c r="C230" i="3"/>
  <c r="D230" i="3" s="1"/>
  <c r="B230" i="3"/>
  <c r="A230" i="3"/>
  <c r="N229" i="3"/>
  <c r="L229" i="3"/>
  <c r="K229" i="3" s="1"/>
  <c r="J229" i="3"/>
  <c r="H229" i="3"/>
  <c r="G229" i="3" s="1"/>
  <c r="F229" i="3"/>
  <c r="E229" i="3"/>
  <c r="I229" i="3" s="1"/>
  <c r="D229" i="3"/>
  <c r="C229" i="3"/>
  <c r="B229" i="3"/>
  <c r="A229" i="3"/>
  <c r="L228" i="3"/>
  <c r="M228" i="3" s="1"/>
  <c r="J228" i="3"/>
  <c r="I228" i="3" s="1"/>
  <c r="H228" i="3"/>
  <c r="F228" i="3" s="1"/>
  <c r="E228" i="3"/>
  <c r="D228" i="3"/>
  <c r="C228" i="3"/>
  <c r="G228" i="3" s="1"/>
  <c r="B228" i="3"/>
  <c r="A228" i="3"/>
  <c r="L227" i="3"/>
  <c r="J227" i="3"/>
  <c r="I227" i="3"/>
  <c r="H227" i="3"/>
  <c r="G227" i="3"/>
  <c r="F227" i="3"/>
  <c r="E227" i="3"/>
  <c r="D227" i="3"/>
  <c r="C227" i="3"/>
  <c r="A227" i="3"/>
  <c r="B227" i="3" s="1"/>
  <c r="N226" i="3"/>
  <c r="L226" i="3"/>
  <c r="K226" i="3" s="1"/>
  <c r="J226" i="3"/>
  <c r="H226" i="3"/>
  <c r="E226" i="3"/>
  <c r="D226" i="3" s="1"/>
  <c r="C226" i="3"/>
  <c r="G226" i="3" s="1"/>
  <c r="A226" i="3"/>
  <c r="B226" i="3" s="1"/>
  <c r="L225" i="3"/>
  <c r="M225" i="3" s="1"/>
  <c r="J225" i="3"/>
  <c r="I225" i="3" s="1"/>
  <c r="H225" i="3"/>
  <c r="E225" i="3"/>
  <c r="C225" i="3"/>
  <c r="G225" i="3" s="1"/>
  <c r="B225" i="3"/>
  <c r="A225" i="3"/>
  <c r="L224" i="3"/>
  <c r="J224" i="3"/>
  <c r="K224" i="3" s="1"/>
  <c r="I224" i="3"/>
  <c r="H224" i="3"/>
  <c r="G224" i="3"/>
  <c r="E224" i="3"/>
  <c r="D224" i="3" s="1"/>
  <c r="C224" i="3"/>
  <c r="A224" i="3"/>
  <c r="B224" i="3" s="1"/>
  <c r="L223" i="3"/>
  <c r="K223" i="3"/>
  <c r="J223" i="3"/>
  <c r="H223" i="3"/>
  <c r="G223" i="3" s="1"/>
  <c r="E223" i="3"/>
  <c r="C223" i="3"/>
  <c r="A223" i="3"/>
  <c r="B223" i="3" s="1"/>
  <c r="N222" i="3"/>
  <c r="L222" i="3"/>
  <c r="M222" i="3" s="1"/>
  <c r="J222" i="3"/>
  <c r="H222" i="3"/>
  <c r="F222" i="3"/>
  <c r="E222" i="3"/>
  <c r="I222" i="3" s="1"/>
  <c r="C222" i="3"/>
  <c r="G222" i="3" s="1"/>
  <c r="A222" i="3"/>
  <c r="B222" i="3" s="1"/>
  <c r="L221" i="3"/>
  <c r="M221" i="3" s="1"/>
  <c r="K221" i="3"/>
  <c r="J221" i="3"/>
  <c r="I221" i="3"/>
  <c r="H221" i="3"/>
  <c r="E221" i="3"/>
  <c r="C221" i="3"/>
  <c r="G221" i="3" s="1"/>
  <c r="A221" i="3"/>
  <c r="B221" i="3" s="1"/>
  <c r="L220" i="3"/>
  <c r="J220" i="3"/>
  <c r="K220" i="3" s="1"/>
  <c r="H220" i="3"/>
  <c r="G220" i="3"/>
  <c r="E220" i="3"/>
  <c r="D220" i="3" s="1"/>
  <c r="C220" i="3"/>
  <c r="B220" i="3"/>
  <c r="A220" i="3"/>
  <c r="L219" i="3"/>
  <c r="K219" i="3"/>
  <c r="J219" i="3"/>
  <c r="H219" i="3"/>
  <c r="M219" i="3" s="1"/>
  <c r="G219" i="3"/>
  <c r="E219" i="3"/>
  <c r="C219" i="3"/>
  <c r="A219" i="3"/>
  <c r="B219" i="3" s="1"/>
  <c r="N218" i="3"/>
  <c r="M218" i="3"/>
  <c r="L218" i="3"/>
  <c r="K218" i="3"/>
  <c r="J218" i="3"/>
  <c r="H218" i="3"/>
  <c r="E218" i="3"/>
  <c r="I218" i="3" s="1"/>
  <c r="C218" i="3"/>
  <c r="G218" i="3" s="1"/>
  <c r="A218" i="3"/>
  <c r="B218" i="3" s="1"/>
  <c r="L217" i="3"/>
  <c r="M217" i="3" s="1"/>
  <c r="J217" i="3"/>
  <c r="I217" i="3" s="1"/>
  <c r="H217" i="3"/>
  <c r="E217" i="3"/>
  <c r="D217" i="3"/>
  <c r="C217" i="3"/>
  <c r="G217" i="3" s="1"/>
  <c r="B217" i="3"/>
  <c r="A217" i="3"/>
  <c r="L216" i="3"/>
  <c r="J216" i="3"/>
  <c r="K216" i="3" s="1"/>
  <c r="I216" i="3"/>
  <c r="H216" i="3"/>
  <c r="G216" i="3"/>
  <c r="E216" i="3"/>
  <c r="D216" i="3" s="1"/>
  <c r="C216" i="3"/>
  <c r="A216" i="3"/>
  <c r="B216" i="3" s="1"/>
  <c r="L215" i="3"/>
  <c r="K215" i="3"/>
  <c r="J215" i="3"/>
  <c r="H215" i="3"/>
  <c r="N215" i="3" s="1"/>
  <c r="E215" i="3"/>
  <c r="C215" i="3"/>
  <c r="A215" i="3"/>
  <c r="B215" i="3" s="1"/>
  <c r="N214" i="3"/>
  <c r="L214" i="3"/>
  <c r="M214" i="3" s="1"/>
  <c r="J214" i="3"/>
  <c r="H214" i="3"/>
  <c r="E214" i="3"/>
  <c r="I214" i="3" s="1"/>
  <c r="D214" i="3"/>
  <c r="C214" i="3"/>
  <c r="G214" i="3" s="1"/>
  <c r="A214" i="3"/>
  <c r="B214" i="3" s="1"/>
  <c r="L213" i="3"/>
  <c r="M213" i="3" s="1"/>
  <c r="K213" i="3"/>
  <c r="J213" i="3"/>
  <c r="I213" i="3"/>
  <c r="H213" i="3"/>
  <c r="N213" i="3" s="1"/>
  <c r="E213" i="3"/>
  <c r="C213" i="3"/>
  <c r="G213" i="3" s="1"/>
  <c r="A213" i="3"/>
  <c r="B213" i="3" s="1"/>
  <c r="L212" i="3"/>
  <c r="J212" i="3"/>
  <c r="K212" i="3" s="1"/>
  <c r="I212" i="3"/>
  <c r="H212" i="3"/>
  <c r="G212" i="3" s="1"/>
  <c r="E212" i="3"/>
  <c r="D212" i="3" s="1"/>
  <c r="C212" i="3"/>
  <c r="B212" i="3"/>
  <c r="A212" i="3"/>
  <c r="M211" i="3"/>
  <c r="L211" i="3"/>
  <c r="K211" i="3"/>
  <c r="J211" i="3"/>
  <c r="H211" i="3"/>
  <c r="F211" i="3" s="1"/>
  <c r="G211" i="3"/>
  <c r="E211" i="3"/>
  <c r="C211" i="3"/>
  <c r="A211" i="3"/>
  <c r="B211" i="3" s="1"/>
  <c r="N210" i="3"/>
  <c r="M210" i="3"/>
  <c r="L210" i="3"/>
  <c r="K210" i="3"/>
  <c r="J210" i="3"/>
  <c r="H210" i="3"/>
  <c r="E210" i="3"/>
  <c r="I210" i="3" s="1"/>
  <c r="C210" i="3"/>
  <c r="G210" i="3" s="1"/>
  <c r="A210" i="3"/>
  <c r="B210" i="3" s="1"/>
  <c r="L209" i="3"/>
  <c r="M209" i="3" s="1"/>
  <c r="J209" i="3"/>
  <c r="I209" i="3"/>
  <c r="H209" i="3"/>
  <c r="N209" i="3" s="1"/>
  <c r="E209" i="3"/>
  <c r="D209" i="3"/>
  <c r="C209" i="3"/>
  <c r="G209" i="3" s="1"/>
  <c r="B209" i="3"/>
  <c r="A209" i="3"/>
  <c r="L208" i="3"/>
  <c r="J208" i="3"/>
  <c r="K208" i="3" s="1"/>
  <c r="I208" i="3"/>
  <c r="H208" i="3"/>
  <c r="G208" i="3"/>
  <c r="E208" i="3"/>
  <c r="D208" i="3" s="1"/>
  <c r="C208" i="3"/>
  <c r="A208" i="3"/>
  <c r="B208" i="3" s="1"/>
  <c r="M207" i="3"/>
  <c r="L207" i="3"/>
  <c r="K207" i="3"/>
  <c r="J207" i="3"/>
  <c r="H207" i="3"/>
  <c r="G207" i="3" s="1"/>
  <c r="E207" i="3"/>
  <c r="C207" i="3"/>
  <c r="A207" i="3"/>
  <c r="B207" i="3" s="1"/>
  <c r="N206" i="3"/>
  <c r="L206" i="3"/>
  <c r="K206" i="3" s="1"/>
  <c r="J206" i="3"/>
  <c r="H206" i="3"/>
  <c r="F206" i="3"/>
  <c r="E206" i="3"/>
  <c r="I206" i="3" s="1"/>
  <c r="D206" i="3"/>
  <c r="C206" i="3"/>
  <c r="G206" i="3" s="1"/>
  <c r="A206" i="3"/>
  <c r="B206" i="3" s="1"/>
  <c r="L205" i="3"/>
  <c r="M205" i="3" s="1"/>
  <c r="J205" i="3"/>
  <c r="K205" i="3" s="1"/>
  <c r="I205" i="3"/>
  <c r="H205" i="3"/>
  <c r="N205" i="3" s="1"/>
  <c r="E205" i="3"/>
  <c r="C205" i="3"/>
  <c r="G205" i="3" s="1"/>
  <c r="A205" i="3"/>
  <c r="B205" i="3" s="1"/>
  <c r="L204" i="3"/>
  <c r="J204" i="3"/>
  <c r="K204" i="3" s="1"/>
  <c r="H204" i="3"/>
  <c r="G204" i="3" s="1"/>
  <c r="E204" i="3"/>
  <c r="D204" i="3" s="1"/>
  <c r="C204" i="3"/>
  <c r="A204" i="3"/>
  <c r="B204" i="3" s="1"/>
  <c r="N203" i="3"/>
  <c r="M203" i="3"/>
  <c r="L203" i="3"/>
  <c r="K203" i="3"/>
  <c r="J203" i="3"/>
  <c r="H203" i="3"/>
  <c r="G203" i="3"/>
  <c r="E203" i="3"/>
  <c r="C203" i="3"/>
  <c r="A203" i="3"/>
  <c r="B203" i="3" s="1"/>
  <c r="N202" i="3"/>
  <c r="M202" i="3"/>
  <c r="L202" i="3"/>
  <c r="K202" i="3"/>
  <c r="J202" i="3"/>
  <c r="H202" i="3"/>
  <c r="E202" i="3"/>
  <c r="I202" i="3" s="1"/>
  <c r="C202" i="3"/>
  <c r="G202" i="3" s="1"/>
  <c r="A202" i="3"/>
  <c r="B202" i="3" s="1"/>
  <c r="L201" i="3"/>
  <c r="M201" i="3" s="1"/>
  <c r="J201" i="3"/>
  <c r="K201" i="3" s="1"/>
  <c r="H201" i="3"/>
  <c r="E201" i="3"/>
  <c r="D201" i="3"/>
  <c r="C201" i="3"/>
  <c r="G201" i="3" s="1"/>
  <c r="A201" i="3"/>
  <c r="B201" i="3" s="1"/>
  <c r="L200" i="3"/>
  <c r="J200" i="3"/>
  <c r="K200" i="3" s="1"/>
  <c r="I200" i="3"/>
  <c r="H200" i="3"/>
  <c r="G200" i="3"/>
  <c r="E200" i="3"/>
  <c r="D200" i="3" s="1"/>
  <c r="C200" i="3"/>
  <c r="A200" i="3"/>
  <c r="B200" i="3" s="1"/>
  <c r="N199" i="3"/>
  <c r="M199" i="3"/>
  <c r="L199" i="3"/>
  <c r="K199" i="3"/>
  <c r="J199" i="3"/>
  <c r="H199" i="3"/>
  <c r="G199" i="3"/>
  <c r="F199" i="3"/>
  <c r="E199" i="3"/>
  <c r="C199" i="3"/>
  <c r="A199" i="3"/>
  <c r="B199" i="3" s="1"/>
  <c r="N198" i="3"/>
  <c r="L198" i="3"/>
  <c r="M198" i="3" s="1"/>
  <c r="K198" i="3"/>
  <c r="J198" i="3"/>
  <c r="H198" i="3"/>
  <c r="F198" i="3"/>
  <c r="E198" i="3"/>
  <c r="I198" i="3" s="1"/>
  <c r="D198" i="3"/>
  <c r="C198" i="3"/>
  <c r="G198" i="3" s="1"/>
  <c r="A198" i="3"/>
  <c r="B198" i="3" s="1"/>
  <c r="L197" i="3"/>
  <c r="M197" i="3" s="1"/>
  <c r="K197" i="3"/>
  <c r="J197" i="3"/>
  <c r="I197" i="3"/>
  <c r="H197" i="3"/>
  <c r="E197" i="3"/>
  <c r="C197" i="3"/>
  <c r="G197" i="3" s="1"/>
  <c r="A197" i="3"/>
  <c r="B197" i="3" s="1"/>
  <c r="L196" i="3"/>
  <c r="J196" i="3"/>
  <c r="K196" i="3" s="1"/>
  <c r="H196" i="3"/>
  <c r="E196" i="3"/>
  <c r="D196" i="3" s="1"/>
  <c r="C196" i="3"/>
  <c r="B196" i="3"/>
  <c r="A196" i="3"/>
  <c r="N195" i="3"/>
  <c r="L195" i="3"/>
  <c r="K195" i="3"/>
  <c r="J195" i="3"/>
  <c r="H195" i="3"/>
  <c r="M195" i="3" s="1"/>
  <c r="G195" i="3"/>
  <c r="E195" i="3"/>
  <c r="C195" i="3"/>
  <c r="A195" i="3"/>
  <c r="B195" i="3" s="1"/>
  <c r="N194" i="3"/>
  <c r="L194" i="3"/>
  <c r="M194" i="3" s="1"/>
  <c r="K194" i="3"/>
  <c r="J194" i="3"/>
  <c r="H194" i="3"/>
  <c r="E194" i="3"/>
  <c r="I194" i="3" s="1"/>
  <c r="C194" i="3"/>
  <c r="G194" i="3" s="1"/>
  <c r="A194" i="3"/>
  <c r="B194" i="3" s="1"/>
  <c r="L193" i="3"/>
  <c r="M193" i="3" s="1"/>
  <c r="J193" i="3"/>
  <c r="I193" i="3" s="1"/>
  <c r="H193" i="3"/>
  <c r="E193" i="3"/>
  <c r="C193" i="3"/>
  <c r="G193" i="3" s="1"/>
  <c r="B193" i="3"/>
  <c r="A193" i="3"/>
  <c r="L192" i="3"/>
  <c r="J192" i="3"/>
  <c r="K192" i="3" s="1"/>
  <c r="I192" i="3"/>
  <c r="H192" i="3"/>
  <c r="G192" i="3"/>
  <c r="E192" i="3"/>
  <c r="D192" i="3" s="1"/>
  <c r="C192" i="3"/>
  <c r="A192" i="3"/>
  <c r="B192" i="3" s="1"/>
  <c r="L191" i="3"/>
  <c r="K191" i="3"/>
  <c r="J191" i="3"/>
  <c r="H191" i="3"/>
  <c r="G191" i="3" s="1"/>
  <c r="E191" i="3"/>
  <c r="C191" i="3"/>
  <c r="A191" i="3"/>
  <c r="B191" i="3" s="1"/>
  <c r="N190" i="3"/>
  <c r="L190" i="3"/>
  <c r="M190" i="3" s="1"/>
  <c r="J190" i="3"/>
  <c r="H190" i="3"/>
  <c r="F190" i="3"/>
  <c r="E190" i="3"/>
  <c r="I190" i="3" s="1"/>
  <c r="C190" i="3"/>
  <c r="G190" i="3" s="1"/>
  <c r="A190" i="3"/>
  <c r="B190" i="3" s="1"/>
  <c r="L189" i="3"/>
  <c r="M189" i="3" s="1"/>
  <c r="K189" i="3"/>
  <c r="J189" i="3"/>
  <c r="I189" i="3"/>
  <c r="H189" i="3"/>
  <c r="E189" i="3"/>
  <c r="C189" i="3"/>
  <c r="G189" i="3" s="1"/>
  <c r="A189" i="3"/>
  <c r="B189" i="3" s="1"/>
  <c r="L188" i="3"/>
  <c r="J188" i="3"/>
  <c r="K188" i="3" s="1"/>
  <c r="H188" i="3"/>
  <c r="G188" i="3"/>
  <c r="E188" i="3"/>
  <c r="D188" i="3" s="1"/>
  <c r="C188" i="3"/>
  <c r="B188" i="3"/>
  <c r="A188" i="3"/>
  <c r="L187" i="3"/>
  <c r="K187" i="3"/>
  <c r="J187" i="3"/>
  <c r="H187" i="3"/>
  <c r="M187" i="3" s="1"/>
  <c r="G187" i="3"/>
  <c r="E187" i="3"/>
  <c r="C187" i="3"/>
  <c r="A187" i="3"/>
  <c r="B187" i="3" s="1"/>
  <c r="N186" i="3"/>
  <c r="M186" i="3"/>
  <c r="L186" i="3"/>
  <c r="K186" i="3"/>
  <c r="J186" i="3"/>
  <c r="H186" i="3"/>
  <c r="E186" i="3"/>
  <c r="I186" i="3" s="1"/>
  <c r="C186" i="3"/>
  <c r="G186" i="3" s="1"/>
  <c r="A186" i="3"/>
  <c r="B186" i="3" s="1"/>
  <c r="L185" i="3"/>
  <c r="M185" i="3" s="1"/>
  <c r="J185" i="3"/>
  <c r="I185" i="3" s="1"/>
  <c r="H185" i="3"/>
  <c r="E185" i="3"/>
  <c r="D185" i="3"/>
  <c r="C185" i="3"/>
  <c r="G185" i="3" s="1"/>
  <c r="B185" i="3"/>
  <c r="A185" i="3"/>
  <c r="L184" i="3"/>
  <c r="J184" i="3"/>
  <c r="K184" i="3" s="1"/>
  <c r="I184" i="3"/>
  <c r="H184" i="3"/>
  <c r="G184" i="3"/>
  <c r="E184" i="3"/>
  <c r="D184" i="3" s="1"/>
  <c r="C184" i="3"/>
  <c r="A184" i="3"/>
  <c r="B184" i="3" s="1"/>
  <c r="L183" i="3"/>
  <c r="K183" i="3"/>
  <c r="J183" i="3"/>
  <c r="H183" i="3"/>
  <c r="N183" i="3" s="1"/>
  <c r="E183" i="3"/>
  <c r="C183" i="3"/>
  <c r="A183" i="3"/>
  <c r="B183" i="3" s="1"/>
  <c r="N182" i="3"/>
  <c r="L182" i="3"/>
  <c r="M182" i="3" s="1"/>
  <c r="J182" i="3"/>
  <c r="H182" i="3"/>
  <c r="E182" i="3"/>
  <c r="I182" i="3" s="1"/>
  <c r="D182" i="3"/>
  <c r="C182" i="3"/>
  <c r="G182" i="3" s="1"/>
  <c r="A182" i="3"/>
  <c r="B182" i="3" s="1"/>
  <c r="L181" i="3"/>
  <c r="M181" i="3" s="1"/>
  <c r="K181" i="3"/>
  <c r="J181" i="3"/>
  <c r="I181" i="3"/>
  <c r="H181" i="3"/>
  <c r="N181" i="3" s="1"/>
  <c r="E181" i="3"/>
  <c r="C181" i="3"/>
  <c r="G181" i="3" s="1"/>
  <c r="A181" i="3"/>
  <c r="B181" i="3" s="1"/>
  <c r="L180" i="3"/>
  <c r="J180" i="3"/>
  <c r="K180" i="3" s="1"/>
  <c r="I180" i="3"/>
  <c r="H180" i="3"/>
  <c r="G180" i="3" s="1"/>
  <c r="E180" i="3"/>
  <c r="D180" i="3" s="1"/>
  <c r="C180" i="3"/>
  <c r="B180" i="3"/>
  <c r="A180" i="3"/>
  <c r="M179" i="3"/>
  <c r="L179" i="3"/>
  <c r="K179" i="3"/>
  <c r="J179" i="3"/>
  <c r="H179" i="3"/>
  <c r="F179" i="3" s="1"/>
  <c r="G179" i="3"/>
  <c r="E179" i="3"/>
  <c r="C179" i="3"/>
  <c r="A179" i="3"/>
  <c r="B179" i="3" s="1"/>
  <c r="N178" i="3"/>
  <c r="M178" i="3"/>
  <c r="L178" i="3"/>
  <c r="K178" i="3"/>
  <c r="J178" i="3"/>
  <c r="H178" i="3"/>
  <c r="E178" i="3"/>
  <c r="I178" i="3" s="1"/>
  <c r="C178" i="3"/>
  <c r="G178" i="3" s="1"/>
  <c r="A178" i="3"/>
  <c r="B178" i="3" s="1"/>
  <c r="L177" i="3"/>
  <c r="M177" i="3" s="1"/>
  <c r="J177" i="3"/>
  <c r="I177" i="3"/>
  <c r="H177" i="3"/>
  <c r="N177" i="3" s="1"/>
  <c r="E177" i="3"/>
  <c r="D177" i="3"/>
  <c r="C177" i="3"/>
  <c r="G177" i="3" s="1"/>
  <c r="B177" i="3"/>
  <c r="A177" i="3"/>
  <c r="L176" i="3"/>
  <c r="J176" i="3"/>
  <c r="K176" i="3" s="1"/>
  <c r="I176" i="3"/>
  <c r="H176" i="3"/>
  <c r="G176" i="3"/>
  <c r="E176" i="3"/>
  <c r="D176" i="3" s="1"/>
  <c r="C176" i="3"/>
  <c r="A176" i="3"/>
  <c r="B176" i="3" s="1"/>
  <c r="M175" i="3"/>
  <c r="L175" i="3"/>
  <c r="K175" i="3"/>
  <c r="J175" i="3"/>
  <c r="H175" i="3"/>
  <c r="G175" i="3" s="1"/>
  <c r="E175" i="3"/>
  <c r="C175" i="3"/>
  <c r="A175" i="3"/>
  <c r="B175" i="3" s="1"/>
  <c r="N174" i="3"/>
  <c r="L174" i="3"/>
  <c r="K174" i="3" s="1"/>
  <c r="J174" i="3"/>
  <c r="H174" i="3"/>
  <c r="F174" i="3"/>
  <c r="E174" i="3"/>
  <c r="I174" i="3" s="1"/>
  <c r="D174" i="3"/>
  <c r="C174" i="3"/>
  <c r="G174" i="3" s="1"/>
  <c r="A174" i="3"/>
  <c r="B174" i="3" s="1"/>
  <c r="L173" i="3"/>
  <c r="M173" i="3" s="1"/>
  <c r="J173" i="3"/>
  <c r="K173" i="3" s="1"/>
  <c r="I173" i="3"/>
  <c r="H173" i="3"/>
  <c r="N173" i="3" s="1"/>
  <c r="E173" i="3"/>
  <c r="C173" i="3"/>
  <c r="G173" i="3" s="1"/>
  <c r="A173" i="3"/>
  <c r="B173" i="3" s="1"/>
  <c r="L172" i="3"/>
  <c r="J172" i="3"/>
  <c r="K172" i="3" s="1"/>
  <c r="H172" i="3"/>
  <c r="G172" i="3" s="1"/>
  <c r="E172" i="3"/>
  <c r="D172" i="3" s="1"/>
  <c r="C172" i="3"/>
  <c r="A172" i="3"/>
  <c r="B172" i="3" s="1"/>
  <c r="N171" i="3"/>
  <c r="M171" i="3"/>
  <c r="L171" i="3"/>
  <c r="K171" i="3"/>
  <c r="J171" i="3"/>
  <c r="H171" i="3"/>
  <c r="G171" i="3"/>
  <c r="E171" i="3"/>
  <c r="C171" i="3"/>
  <c r="A171" i="3"/>
  <c r="B171" i="3" s="1"/>
  <c r="N170" i="3"/>
  <c r="M170" i="3"/>
  <c r="L170" i="3"/>
  <c r="K170" i="3"/>
  <c r="J170" i="3"/>
  <c r="H170" i="3"/>
  <c r="E170" i="3"/>
  <c r="I170" i="3" s="1"/>
  <c r="C170" i="3"/>
  <c r="G170" i="3" s="1"/>
  <c r="A170" i="3"/>
  <c r="B170" i="3" s="1"/>
  <c r="L169" i="3"/>
  <c r="M169" i="3" s="1"/>
  <c r="J169" i="3"/>
  <c r="K169" i="3" s="1"/>
  <c r="H169" i="3"/>
  <c r="E169" i="3"/>
  <c r="D169" i="3"/>
  <c r="C169" i="3"/>
  <c r="G169" i="3" s="1"/>
  <c r="A169" i="3"/>
  <c r="B169" i="3" s="1"/>
  <c r="L168" i="3"/>
  <c r="J168" i="3"/>
  <c r="K168" i="3" s="1"/>
  <c r="I168" i="3"/>
  <c r="H168" i="3"/>
  <c r="G168" i="3"/>
  <c r="E168" i="3"/>
  <c r="D168" i="3" s="1"/>
  <c r="C168" i="3"/>
  <c r="A168" i="3"/>
  <c r="B168" i="3" s="1"/>
  <c r="N167" i="3"/>
  <c r="M167" i="3"/>
  <c r="L167" i="3"/>
  <c r="K167" i="3"/>
  <c r="J167" i="3"/>
  <c r="H167" i="3"/>
  <c r="G167" i="3"/>
  <c r="F167" i="3"/>
  <c r="E167" i="3"/>
  <c r="C167" i="3"/>
  <c r="A167" i="3"/>
  <c r="B167" i="3" s="1"/>
  <c r="N166" i="3"/>
  <c r="L166" i="3"/>
  <c r="M166" i="3" s="1"/>
  <c r="K166" i="3"/>
  <c r="J166" i="3"/>
  <c r="H166" i="3"/>
  <c r="F166" i="3"/>
  <c r="E166" i="3"/>
  <c r="I166" i="3" s="1"/>
  <c r="D166" i="3"/>
  <c r="C166" i="3"/>
  <c r="G166" i="3" s="1"/>
  <c r="A166" i="3"/>
  <c r="B166" i="3" s="1"/>
  <c r="L165" i="3"/>
  <c r="M165" i="3" s="1"/>
  <c r="K165" i="3"/>
  <c r="J165" i="3"/>
  <c r="I165" i="3"/>
  <c r="H165" i="3"/>
  <c r="E165" i="3"/>
  <c r="C165" i="3"/>
  <c r="G165" i="3" s="1"/>
  <c r="A165" i="3"/>
  <c r="B165" i="3" s="1"/>
  <c r="L164" i="3"/>
  <c r="J164" i="3"/>
  <c r="K164" i="3" s="1"/>
  <c r="H164" i="3"/>
  <c r="E164" i="3"/>
  <c r="D164" i="3" s="1"/>
  <c r="C164" i="3"/>
  <c r="B164" i="3"/>
  <c r="A164" i="3"/>
  <c r="N163" i="3"/>
  <c r="L163" i="3"/>
  <c r="K163" i="3"/>
  <c r="J163" i="3"/>
  <c r="H163" i="3"/>
  <c r="M163" i="3" s="1"/>
  <c r="G163" i="3"/>
  <c r="E163" i="3"/>
  <c r="C163" i="3"/>
  <c r="A163" i="3"/>
  <c r="B163" i="3" s="1"/>
  <c r="N162" i="3"/>
  <c r="L162" i="3"/>
  <c r="M162" i="3" s="1"/>
  <c r="K162" i="3"/>
  <c r="J162" i="3"/>
  <c r="I162" i="3"/>
  <c r="H162" i="3"/>
  <c r="F162" i="3"/>
  <c r="E162" i="3"/>
  <c r="C162" i="3"/>
  <c r="G162" i="3" s="1"/>
  <c r="A162" i="3"/>
  <c r="B162" i="3" s="1"/>
  <c r="L161" i="3"/>
  <c r="M161" i="3" s="1"/>
  <c r="K161" i="3"/>
  <c r="J161" i="3"/>
  <c r="I161" i="3"/>
  <c r="H161" i="3"/>
  <c r="E161" i="3"/>
  <c r="D161" i="3"/>
  <c r="C161" i="3"/>
  <c r="G161" i="3" s="1"/>
  <c r="B161" i="3"/>
  <c r="A161" i="3"/>
  <c r="L160" i="3"/>
  <c r="J160" i="3"/>
  <c r="K160" i="3" s="1"/>
  <c r="H160" i="3"/>
  <c r="G160" i="3" s="1"/>
  <c r="E160" i="3"/>
  <c r="D160" i="3" s="1"/>
  <c r="C160" i="3"/>
  <c r="B160" i="3"/>
  <c r="A160" i="3"/>
  <c r="M159" i="3"/>
  <c r="L159" i="3"/>
  <c r="K159" i="3"/>
  <c r="J159" i="3"/>
  <c r="H159" i="3"/>
  <c r="F159" i="3" s="1"/>
  <c r="G159" i="3"/>
  <c r="E159" i="3"/>
  <c r="C159" i="3"/>
  <c r="A159" i="3"/>
  <c r="B159" i="3" s="1"/>
  <c r="N158" i="3"/>
  <c r="M158" i="3"/>
  <c r="L158" i="3"/>
  <c r="K158" i="3"/>
  <c r="J158" i="3"/>
  <c r="H158" i="3"/>
  <c r="F158" i="3"/>
  <c r="E158" i="3"/>
  <c r="I158" i="3" s="1"/>
  <c r="D158" i="3"/>
  <c r="C158" i="3"/>
  <c r="G158" i="3" s="1"/>
  <c r="A158" i="3"/>
  <c r="B158" i="3" s="1"/>
  <c r="L157" i="3"/>
  <c r="M157" i="3" s="1"/>
  <c r="J157" i="3"/>
  <c r="K157" i="3" s="1"/>
  <c r="I157" i="3"/>
  <c r="H157" i="3"/>
  <c r="N157" i="3" s="1"/>
  <c r="G157" i="3"/>
  <c r="E157" i="3"/>
  <c r="D157" i="3"/>
  <c r="C157" i="3"/>
  <c r="A157" i="3"/>
  <c r="B157" i="3" s="1"/>
  <c r="M156" i="3"/>
  <c r="L156" i="3"/>
  <c r="J156" i="3"/>
  <c r="K156" i="3" s="1"/>
  <c r="H156" i="3"/>
  <c r="E156" i="3"/>
  <c r="D156" i="3" s="1"/>
  <c r="C156" i="3"/>
  <c r="B156" i="3"/>
  <c r="A156" i="3"/>
  <c r="N155" i="3"/>
  <c r="L155" i="3"/>
  <c r="K155" i="3"/>
  <c r="J155" i="3"/>
  <c r="H155" i="3"/>
  <c r="M155" i="3" s="1"/>
  <c r="G155" i="3"/>
  <c r="E155" i="3"/>
  <c r="C155" i="3"/>
  <c r="A155" i="3"/>
  <c r="B155" i="3" s="1"/>
  <c r="N154" i="3"/>
  <c r="L154" i="3"/>
  <c r="M154" i="3" s="1"/>
  <c r="K154" i="3"/>
  <c r="J154" i="3"/>
  <c r="I154" i="3"/>
  <c r="H154" i="3"/>
  <c r="F154" i="3"/>
  <c r="E154" i="3"/>
  <c r="C154" i="3"/>
  <c r="G154" i="3" s="1"/>
  <c r="A154" i="3"/>
  <c r="B154" i="3" s="1"/>
  <c r="L153" i="3"/>
  <c r="M153" i="3" s="1"/>
  <c r="K153" i="3"/>
  <c r="J153" i="3"/>
  <c r="I153" i="3"/>
  <c r="H153" i="3"/>
  <c r="E153" i="3"/>
  <c r="D153" i="3"/>
  <c r="C153" i="3"/>
  <c r="G153" i="3" s="1"/>
  <c r="B153" i="3"/>
  <c r="A153" i="3"/>
  <c r="L152" i="3"/>
  <c r="J152" i="3"/>
  <c r="K152" i="3" s="1"/>
  <c r="H152" i="3"/>
  <c r="G152" i="3" s="1"/>
  <c r="E152" i="3"/>
  <c r="D152" i="3" s="1"/>
  <c r="C152" i="3"/>
  <c r="B152" i="3"/>
  <c r="A152" i="3"/>
  <c r="M151" i="3"/>
  <c r="L151" i="3"/>
  <c r="K151" i="3"/>
  <c r="J151" i="3"/>
  <c r="H151" i="3"/>
  <c r="F151" i="3" s="1"/>
  <c r="G151" i="3"/>
  <c r="E151" i="3"/>
  <c r="C151" i="3"/>
  <c r="A151" i="3"/>
  <c r="B151" i="3" s="1"/>
  <c r="N150" i="3"/>
  <c r="M150" i="3"/>
  <c r="L150" i="3"/>
  <c r="K150" i="3"/>
  <c r="J150" i="3"/>
  <c r="H150" i="3"/>
  <c r="F150" i="3"/>
  <c r="E150" i="3"/>
  <c r="I150" i="3" s="1"/>
  <c r="D150" i="3"/>
  <c r="C150" i="3"/>
  <c r="G150" i="3" s="1"/>
  <c r="A150" i="3"/>
  <c r="B150" i="3" s="1"/>
  <c r="L149" i="3"/>
  <c r="M149" i="3" s="1"/>
  <c r="J149" i="3"/>
  <c r="K149" i="3" s="1"/>
  <c r="I149" i="3"/>
  <c r="H149" i="3"/>
  <c r="N149" i="3" s="1"/>
  <c r="G149" i="3"/>
  <c r="E149" i="3"/>
  <c r="D149" i="3"/>
  <c r="C149" i="3"/>
  <c r="A149" i="3"/>
  <c r="B149" i="3" s="1"/>
  <c r="M148" i="3"/>
  <c r="L148" i="3"/>
  <c r="J148" i="3"/>
  <c r="K148" i="3" s="1"/>
  <c r="H148" i="3"/>
  <c r="E148" i="3"/>
  <c r="D148" i="3" s="1"/>
  <c r="C148" i="3"/>
  <c r="B148" i="3"/>
  <c r="A148" i="3"/>
  <c r="N147" i="3"/>
  <c r="L147" i="3"/>
  <c r="K147" i="3"/>
  <c r="J147" i="3"/>
  <c r="H147" i="3"/>
  <c r="M147" i="3" s="1"/>
  <c r="G147" i="3"/>
  <c r="E147" i="3"/>
  <c r="C147" i="3"/>
  <c r="A147" i="3"/>
  <c r="B147" i="3" s="1"/>
  <c r="N146" i="3"/>
  <c r="L146" i="3"/>
  <c r="M146" i="3" s="1"/>
  <c r="K146" i="3"/>
  <c r="J146" i="3"/>
  <c r="I146" i="3"/>
  <c r="H146" i="3"/>
  <c r="F146" i="3"/>
  <c r="E146" i="3"/>
  <c r="C146" i="3"/>
  <c r="G146" i="3" s="1"/>
  <c r="A146" i="3"/>
  <c r="B146" i="3" s="1"/>
  <c r="L145" i="3"/>
  <c r="M145" i="3" s="1"/>
  <c r="K145" i="3"/>
  <c r="J145" i="3"/>
  <c r="I145" i="3"/>
  <c r="H145" i="3"/>
  <c r="E145" i="3"/>
  <c r="D145" i="3"/>
  <c r="C145" i="3"/>
  <c r="G145" i="3" s="1"/>
  <c r="B145" i="3"/>
  <c r="A145" i="3"/>
  <c r="L144" i="3"/>
  <c r="J144" i="3"/>
  <c r="K144" i="3" s="1"/>
  <c r="H144" i="3"/>
  <c r="G144" i="3" s="1"/>
  <c r="E144" i="3"/>
  <c r="D144" i="3" s="1"/>
  <c r="C144" i="3"/>
  <c r="B144" i="3"/>
  <c r="A144" i="3"/>
  <c r="M143" i="3"/>
  <c r="L143" i="3"/>
  <c r="K143" i="3"/>
  <c r="J143" i="3"/>
  <c r="H143" i="3"/>
  <c r="F143" i="3" s="1"/>
  <c r="G143" i="3"/>
  <c r="E143" i="3"/>
  <c r="C143" i="3"/>
  <c r="A143" i="3"/>
  <c r="B143" i="3" s="1"/>
  <c r="N142" i="3"/>
  <c r="M142" i="3"/>
  <c r="L142" i="3"/>
  <c r="K142" i="3"/>
  <c r="J142" i="3"/>
  <c r="H142" i="3"/>
  <c r="F142" i="3"/>
  <c r="E142" i="3"/>
  <c r="I142" i="3" s="1"/>
  <c r="D142" i="3"/>
  <c r="C142" i="3"/>
  <c r="G142" i="3" s="1"/>
  <c r="A142" i="3"/>
  <c r="B142" i="3" s="1"/>
  <c r="L141" i="3"/>
  <c r="M141" i="3" s="1"/>
  <c r="J141" i="3"/>
  <c r="K141" i="3" s="1"/>
  <c r="I141" i="3"/>
  <c r="H141" i="3"/>
  <c r="N141" i="3" s="1"/>
  <c r="G141" i="3"/>
  <c r="E141" i="3"/>
  <c r="D141" i="3"/>
  <c r="C141" i="3"/>
  <c r="A141" i="3"/>
  <c r="B141" i="3" s="1"/>
  <c r="M140" i="3"/>
  <c r="L140" i="3"/>
  <c r="J140" i="3"/>
  <c r="K140" i="3" s="1"/>
  <c r="H140" i="3"/>
  <c r="E140" i="3"/>
  <c r="D140" i="3" s="1"/>
  <c r="C140" i="3"/>
  <c r="B140" i="3"/>
  <c r="A140" i="3"/>
  <c r="N139" i="3"/>
  <c r="L139" i="3"/>
  <c r="K139" i="3"/>
  <c r="J139" i="3"/>
  <c r="H139" i="3"/>
  <c r="M139" i="3" s="1"/>
  <c r="G139" i="3"/>
  <c r="E139" i="3"/>
  <c r="C139" i="3"/>
  <c r="A139" i="3"/>
  <c r="B139" i="3" s="1"/>
  <c r="N138" i="3"/>
  <c r="L138" i="3"/>
  <c r="M138" i="3" s="1"/>
  <c r="K138" i="3"/>
  <c r="J138" i="3"/>
  <c r="I138" i="3"/>
  <c r="H138" i="3"/>
  <c r="F138" i="3"/>
  <c r="E138" i="3"/>
  <c r="C138" i="3"/>
  <c r="G138" i="3" s="1"/>
  <c r="A138" i="3"/>
  <c r="B138" i="3" s="1"/>
  <c r="L137" i="3"/>
  <c r="M137" i="3" s="1"/>
  <c r="K137" i="3"/>
  <c r="J137" i="3"/>
  <c r="I137" i="3"/>
  <c r="H137" i="3"/>
  <c r="E137" i="3"/>
  <c r="D137" i="3"/>
  <c r="C137" i="3"/>
  <c r="G137" i="3" s="1"/>
  <c r="B137" i="3"/>
  <c r="A137" i="3"/>
  <c r="L136" i="3"/>
  <c r="J136" i="3"/>
  <c r="K136" i="3" s="1"/>
  <c r="H136" i="3"/>
  <c r="G136" i="3" s="1"/>
  <c r="E136" i="3"/>
  <c r="D136" i="3" s="1"/>
  <c r="C136" i="3"/>
  <c r="B136" i="3"/>
  <c r="A136" i="3"/>
  <c r="M135" i="3"/>
  <c r="L135" i="3"/>
  <c r="K135" i="3"/>
  <c r="J135" i="3"/>
  <c r="H135" i="3"/>
  <c r="F135" i="3" s="1"/>
  <c r="G135" i="3"/>
  <c r="E135" i="3"/>
  <c r="C135" i="3"/>
  <c r="A135" i="3"/>
  <c r="B135" i="3" s="1"/>
  <c r="N134" i="3"/>
  <c r="M134" i="3"/>
  <c r="L134" i="3"/>
  <c r="K134" i="3"/>
  <c r="J134" i="3"/>
  <c r="H134" i="3"/>
  <c r="F134" i="3"/>
  <c r="E134" i="3"/>
  <c r="I134" i="3" s="1"/>
  <c r="D134" i="3"/>
  <c r="C134" i="3"/>
  <c r="G134" i="3" s="1"/>
  <c r="A134" i="3"/>
  <c r="B134" i="3" s="1"/>
  <c r="L133" i="3"/>
  <c r="M133" i="3" s="1"/>
  <c r="J133" i="3"/>
  <c r="K133" i="3" s="1"/>
  <c r="I133" i="3"/>
  <c r="H133" i="3"/>
  <c r="N133" i="3" s="1"/>
  <c r="G133" i="3"/>
  <c r="E133" i="3"/>
  <c r="D133" i="3"/>
  <c r="C133" i="3"/>
  <c r="A133" i="3"/>
  <c r="B133" i="3" s="1"/>
  <c r="M132" i="3"/>
  <c r="L132" i="3"/>
  <c r="J132" i="3"/>
  <c r="K132" i="3" s="1"/>
  <c r="H132" i="3"/>
  <c r="E132" i="3"/>
  <c r="D132" i="3" s="1"/>
  <c r="C132" i="3"/>
  <c r="B132" i="3"/>
  <c r="A132" i="3"/>
  <c r="N131" i="3"/>
  <c r="L131" i="3"/>
  <c r="K131" i="3"/>
  <c r="J131" i="3"/>
  <c r="H131" i="3"/>
  <c r="M131" i="3" s="1"/>
  <c r="G131" i="3"/>
  <c r="E131" i="3"/>
  <c r="C131" i="3"/>
  <c r="A131" i="3"/>
  <c r="B131" i="3" s="1"/>
  <c r="N130" i="3"/>
  <c r="L130" i="3"/>
  <c r="M130" i="3" s="1"/>
  <c r="K130" i="3"/>
  <c r="J130" i="3"/>
  <c r="I130" i="3"/>
  <c r="H130" i="3"/>
  <c r="F130" i="3"/>
  <c r="E130" i="3"/>
  <c r="C130" i="3"/>
  <c r="G130" i="3" s="1"/>
  <c r="A130" i="3"/>
  <c r="B130" i="3" s="1"/>
  <c r="L129" i="3"/>
  <c r="M129" i="3" s="1"/>
  <c r="K129" i="3"/>
  <c r="J129" i="3"/>
  <c r="I129" i="3"/>
  <c r="H129" i="3"/>
  <c r="E129" i="3"/>
  <c r="D129" i="3"/>
  <c r="C129" i="3"/>
  <c r="G129" i="3" s="1"/>
  <c r="B129" i="3"/>
  <c r="A129" i="3"/>
  <c r="L128" i="3"/>
  <c r="J128" i="3"/>
  <c r="K128" i="3" s="1"/>
  <c r="H128" i="3"/>
  <c r="G128" i="3" s="1"/>
  <c r="E128" i="3"/>
  <c r="D128" i="3" s="1"/>
  <c r="C128" i="3"/>
  <c r="B128" i="3"/>
  <c r="A128" i="3"/>
  <c r="M127" i="3"/>
  <c r="L127" i="3"/>
  <c r="K127" i="3"/>
  <c r="J127" i="3"/>
  <c r="H127" i="3"/>
  <c r="F127" i="3" s="1"/>
  <c r="G127" i="3"/>
  <c r="E127" i="3"/>
  <c r="C127" i="3"/>
  <c r="A127" i="3"/>
  <c r="B127" i="3" s="1"/>
  <c r="N126" i="3"/>
  <c r="M126" i="3"/>
  <c r="L126" i="3"/>
  <c r="K126" i="3"/>
  <c r="J126" i="3"/>
  <c r="H126" i="3"/>
  <c r="F126" i="3"/>
  <c r="E126" i="3"/>
  <c r="I126" i="3" s="1"/>
  <c r="D126" i="3"/>
  <c r="C126" i="3"/>
  <c r="G126" i="3" s="1"/>
  <c r="A126" i="3"/>
  <c r="B126" i="3" s="1"/>
  <c r="L125" i="3"/>
  <c r="M125" i="3" s="1"/>
  <c r="J125" i="3"/>
  <c r="K125" i="3" s="1"/>
  <c r="I125" i="3"/>
  <c r="H125" i="3"/>
  <c r="N125" i="3" s="1"/>
  <c r="G125" i="3"/>
  <c r="E125" i="3"/>
  <c r="D125" i="3"/>
  <c r="C125" i="3"/>
  <c r="A125" i="3"/>
  <c r="B125" i="3" s="1"/>
  <c r="M124" i="3"/>
  <c r="L124" i="3"/>
  <c r="J124" i="3"/>
  <c r="K124" i="3" s="1"/>
  <c r="H124" i="3"/>
  <c r="E124" i="3"/>
  <c r="D124" i="3" s="1"/>
  <c r="C124" i="3"/>
  <c r="B124" i="3"/>
  <c r="A124" i="3"/>
  <c r="N123" i="3"/>
  <c r="L123" i="3"/>
  <c r="K123" i="3"/>
  <c r="J123" i="3"/>
  <c r="H123" i="3"/>
  <c r="M123" i="3" s="1"/>
  <c r="G123" i="3"/>
  <c r="E123" i="3"/>
  <c r="C123" i="3"/>
  <c r="A123" i="3"/>
  <c r="B123" i="3" s="1"/>
  <c r="N122" i="3"/>
  <c r="L122" i="3"/>
  <c r="M122" i="3" s="1"/>
  <c r="K122" i="3"/>
  <c r="J122" i="3"/>
  <c r="I122" i="3"/>
  <c r="H122" i="3"/>
  <c r="F122" i="3"/>
  <c r="E122" i="3"/>
  <c r="C122" i="3"/>
  <c r="G122" i="3" s="1"/>
  <c r="A122" i="3"/>
  <c r="B122" i="3" s="1"/>
  <c r="L121" i="3"/>
  <c r="M121" i="3" s="1"/>
  <c r="K121" i="3"/>
  <c r="J121" i="3"/>
  <c r="I121" i="3"/>
  <c r="H121" i="3"/>
  <c r="E121" i="3"/>
  <c r="D121" i="3"/>
  <c r="C121" i="3"/>
  <c r="G121" i="3" s="1"/>
  <c r="B121" i="3"/>
  <c r="A121" i="3"/>
  <c r="L120" i="3"/>
  <c r="J120" i="3"/>
  <c r="K120" i="3" s="1"/>
  <c r="H120" i="3"/>
  <c r="G120" i="3" s="1"/>
  <c r="E120" i="3"/>
  <c r="D120" i="3" s="1"/>
  <c r="C120" i="3"/>
  <c r="B120" i="3"/>
  <c r="A120" i="3"/>
  <c r="M119" i="3"/>
  <c r="L119" i="3"/>
  <c r="K119" i="3"/>
  <c r="J119" i="3"/>
  <c r="H119" i="3"/>
  <c r="F119" i="3" s="1"/>
  <c r="G119" i="3"/>
  <c r="E119" i="3"/>
  <c r="C119" i="3"/>
  <c r="A119" i="3"/>
  <c r="B119" i="3" s="1"/>
  <c r="N118" i="3"/>
  <c r="M118" i="3"/>
  <c r="L118" i="3"/>
  <c r="K118" i="3"/>
  <c r="J118" i="3"/>
  <c r="H118" i="3"/>
  <c r="F118" i="3"/>
  <c r="E118" i="3"/>
  <c r="I118" i="3" s="1"/>
  <c r="D118" i="3"/>
  <c r="C118" i="3"/>
  <c r="G118" i="3" s="1"/>
  <c r="A118" i="3"/>
  <c r="B118" i="3" s="1"/>
  <c r="L117" i="3"/>
  <c r="M117" i="3" s="1"/>
  <c r="J117" i="3"/>
  <c r="K117" i="3" s="1"/>
  <c r="I117" i="3"/>
  <c r="H117" i="3"/>
  <c r="N117" i="3" s="1"/>
  <c r="G117" i="3"/>
  <c r="E117" i="3"/>
  <c r="D117" i="3"/>
  <c r="C117" i="3"/>
  <c r="A117" i="3"/>
  <c r="B117" i="3" s="1"/>
  <c r="M116" i="3"/>
  <c r="L116" i="3"/>
  <c r="J116" i="3"/>
  <c r="K116" i="3" s="1"/>
  <c r="H116" i="3"/>
  <c r="E116" i="3"/>
  <c r="D116" i="3" s="1"/>
  <c r="C116" i="3"/>
  <c r="B116" i="3"/>
  <c r="A116" i="3"/>
  <c r="N115" i="3"/>
  <c r="L115" i="3"/>
  <c r="K115" i="3"/>
  <c r="J115" i="3"/>
  <c r="H115" i="3"/>
  <c r="M115" i="3" s="1"/>
  <c r="G115" i="3"/>
  <c r="E115" i="3"/>
  <c r="C115" i="3"/>
  <c r="A115" i="3"/>
  <c r="B115" i="3" s="1"/>
  <c r="N114" i="3"/>
  <c r="L114" i="3"/>
  <c r="M114" i="3" s="1"/>
  <c r="K114" i="3"/>
  <c r="J114" i="3"/>
  <c r="I114" i="3"/>
  <c r="H114" i="3"/>
  <c r="F114" i="3"/>
  <c r="E114" i="3"/>
  <c r="C114" i="3"/>
  <c r="G114" i="3" s="1"/>
  <c r="A114" i="3"/>
  <c r="B114" i="3" s="1"/>
  <c r="L113" i="3"/>
  <c r="M113" i="3" s="1"/>
  <c r="K113" i="3"/>
  <c r="J113" i="3"/>
  <c r="I113" i="3"/>
  <c r="H113" i="3"/>
  <c r="E113" i="3"/>
  <c r="D113" i="3"/>
  <c r="C113" i="3"/>
  <c r="G113" i="3" s="1"/>
  <c r="B113" i="3"/>
  <c r="A113" i="3"/>
  <c r="L112" i="3"/>
  <c r="J112" i="3"/>
  <c r="K112" i="3" s="1"/>
  <c r="H112" i="3"/>
  <c r="G112" i="3" s="1"/>
  <c r="E112" i="3"/>
  <c r="D112" i="3" s="1"/>
  <c r="C112" i="3"/>
  <c r="B112" i="3"/>
  <c r="A112" i="3"/>
  <c r="M111" i="3"/>
  <c r="L111" i="3"/>
  <c r="K111" i="3"/>
  <c r="J111" i="3"/>
  <c r="H111" i="3"/>
  <c r="F111" i="3" s="1"/>
  <c r="G111" i="3"/>
  <c r="E111" i="3"/>
  <c r="C111" i="3"/>
  <c r="A111" i="3"/>
  <c r="B111" i="3" s="1"/>
  <c r="N110" i="3"/>
  <c r="M110" i="3"/>
  <c r="L110" i="3"/>
  <c r="K110" i="3"/>
  <c r="J110" i="3"/>
  <c r="H110" i="3"/>
  <c r="F110" i="3"/>
  <c r="E110" i="3"/>
  <c r="I110" i="3" s="1"/>
  <c r="D110" i="3"/>
  <c r="C110" i="3"/>
  <c r="G110" i="3" s="1"/>
  <c r="A110" i="3"/>
  <c r="B110" i="3" s="1"/>
  <c r="L109" i="3"/>
  <c r="M109" i="3" s="1"/>
  <c r="J109" i="3"/>
  <c r="K109" i="3" s="1"/>
  <c r="I109" i="3"/>
  <c r="H109" i="3"/>
  <c r="N109" i="3" s="1"/>
  <c r="G109" i="3"/>
  <c r="E109" i="3"/>
  <c r="D109" i="3"/>
  <c r="C109" i="3"/>
  <c r="A109" i="3"/>
  <c r="B109" i="3" s="1"/>
  <c r="M108" i="3"/>
  <c r="L108" i="3"/>
  <c r="J108" i="3"/>
  <c r="K108" i="3" s="1"/>
  <c r="H108" i="3"/>
  <c r="E108" i="3"/>
  <c r="D108" i="3" s="1"/>
  <c r="C108" i="3"/>
  <c r="B108" i="3"/>
  <c r="A108" i="3"/>
  <c r="N107" i="3"/>
  <c r="L107" i="3"/>
  <c r="K107" i="3"/>
  <c r="J107" i="3"/>
  <c r="H107" i="3"/>
  <c r="M107" i="3" s="1"/>
  <c r="G107" i="3"/>
  <c r="E107" i="3"/>
  <c r="C107" i="3"/>
  <c r="A107" i="3"/>
  <c r="B107" i="3" s="1"/>
  <c r="N106" i="3"/>
  <c r="L106" i="3"/>
  <c r="M106" i="3" s="1"/>
  <c r="K106" i="3"/>
  <c r="J106" i="3"/>
  <c r="I106" i="3"/>
  <c r="H106" i="3"/>
  <c r="F106" i="3"/>
  <c r="E106" i="3"/>
  <c r="C106" i="3"/>
  <c r="G106" i="3" s="1"/>
  <c r="A106" i="3"/>
  <c r="B106" i="3" s="1"/>
  <c r="L105" i="3"/>
  <c r="M105" i="3" s="1"/>
  <c r="K105" i="3"/>
  <c r="J105" i="3"/>
  <c r="I105" i="3"/>
  <c r="H105" i="3"/>
  <c r="E105" i="3"/>
  <c r="D105" i="3"/>
  <c r="C105" i="3"/>
  <c r="G105" i="3" s="1"/>
  <c r="B105" i="3"/>
  <c r="A105" i="3"/>
  <c r="L104" i="3"/>
  <c r="J104" i="3"/>
  <c r="K104" i="3" s="1"/>
  <c r="H104" i="3"/>
  <c r="G104" i="3" s="1"/>
  <c r="E104" i="3"/>
  <c r="D104" i="3" s="1"/>
  <c r="C104" i="3"/>
  <c r="B104" i="3"/>
  <c r="A104" i="3"/>
  <c r="M103" i="3"/>
  <c r="L103" i="3"/>
  <c r="K103" i="3"/>
  <c r="J103" i="3"/>
  <c r="H103" i="3"/>
  <c r="F103" i="3" s="1"/>
  <c r="G103" i="3"/>
  <c r="E103" i="3"/>
  <c r="C103" i="3"/>
  <c r="A103" i="3"/>
  <c r="B103" i="3" s="1"/>
  <c r="N102" i="3"/>
  <c r="M102" i="3"/>
  <c r="L102" i="3"/>
  <c r="K102" i="3"/>
  <c r="J102" i="3"/>
  <c r="H102" i="3"/>
  <c r="E102" i="3"/>
  <c r="I102" i="3" s="1"/>
  <c r="C102" i="3"/>
  <c r="G102" i="3" s="1"/>
  <c r="A102" i="3"/>
  <c r="B102" i="3" s="1"/>
  <c r="L101" i="3"/>
  <c r="M101" i="3" s="1"/>
  <c r="J101" i="3"/>
  <c r="K101" i="3" s="1"/>
  <c r="I101" i="3"/>
  <c r="H101" i="3"/>
  <c r="N101" i="3" s="1"/>
  <c r="G101" i="3"/>
  <c r="E101" i="3"/>
  <c r="D101" i="3"/>
  <c r="C101" i="3"/>
  <c r="A101" i="3"/>
  <c r="B101" i="3" s="1"/>
  <c r="M100" i="3"/>
  <c r="L100" i="3"/>
  <c r="J100" i="3"/>
  <c r="K100" i="3" s="1"/>
  <c r="H100" i="3"/>
  <c r="E100" i="3"/>
  <c r="D100" i="3" s="1"/>
  <c r="C100" i="3"/>
  <c r="A100" i="3"/>
  <c r="B100" i="3" s="1"/>
  <c r="N99" i="3"/>
  <c r="L99" i="3"/>
  <c r="K99" i="3"/>
  <c r="J99" i="3"/>
  <c r="H99" i="3"/>
  <c r="M99" i="3" s="1"/>
  <c r="G99" i="3"/>
  <c r="F99" i="3"/>
  <c r="E99" i="3"/>
  <c r="C99" i="3"/>
  <c r="A99" i="3"/>
  <c r="B99" i="3" s="1"/>
  <c r="N98" i="3"/>
  <c r="L98" i="3"/>
  <c r="M98" i="3" s="1"/>
  <c r="K98" i="3"/>
  <c r="J98" i="3"/>
  <c r="I98" i="3"/>
  <c r="H98" i="3"/>
  <c r="F98" i="3"/>
  <c r="E98" i="3"/>
  <c r="C98" i="3"/>
  <c r="G98" i="3" s="1"/>
  <c r="A98" i="3"/>
  <c r="B98" i="3" s="1"/>
  <c r="L97" i="3"/>
  <c r="M97" i="3" s="1"/>
  <c r="J97" i="3"/>
  <c r="I97" i="3"/>
  <c r="H97" i="3"/>
  <c r="E97" i="3"/>
  <c r="C97" i="3"/>
  <c r="G97" i="3" s="1"/>
  <c r="B97" i="3"/>
  <c r="A97" i="3"/>
  <c r="L96" i="3"/>
  <c r="J96" i="3"/>
  <c r="K96" i="3" s="1"/>
  <c r="H96" i="3"/>
  <c r="M96" i="3" s="1"/>
  <c r="G96" i="3"/>
  <c r="E96" i="3"/>
  <c r="D96" i="3" s="1"/>
  <c r="C96" i="3"/>
  <c r="B96" i="3"/>
  <c r="A96" i="3"/>
  <c r="M95" i="3"/>
  <c r="L95" i="3"/>
  <c r="K95" i="3"/>
  <c r="J95" i="3"/>
  <c r="H95" i="3"/>
  <c r="F95" i="3" s="1"/>
  <c r="G95" i="3"/>
  <c r="E95" i="3"/>
  <c r="C95" i="3"/>
  <c r="A95" i="3"/>
  <c r="B95" i="3" s="1"/>
  <c r="N94" i="3"/>
  <c r="M94" i="3"/>
  <c r="L94" i="3"/>
  <c r="K94" i="3"/>
  <c r="J94" i="3"/>
  <c r="H94" i="3"/>
  <c r="G94" i="3" s="1"/>
  <c r="E94" i="3"/>
  <c r="I94" i="3" s="1"/>
  <c r="C94" i="3"/>
  <c r="A94" i="3"/>
  <c r="B94" i="3" s="1"/>
  <c r="L93" i="3"/>
  <c r="M93" i="3" s="1"/>
  <c r="J93" i="3"/>
  <c r="K93" i="3" s="1"/>
  <c r="I93" i="3"/>
  <c r="H93" i="3"/>
  <c r="N93" i="3" s="1"/>
  <c r="G93" i="3"/>
  <c r="E93" i="3"/>
  <c r="D93" i="3"/>
  <c r="C93" i="3"/>
  <c r="A93" i="3"/>
  <c r="B93" i="3" s="1"/>
  <c r="M92" i="3"/>
  <c r="L92" i="3"/>
  <c r="J92" i="3"/>
  <c r="K92" i="3" s="1"/>
  <c r="H92" i="3"/>
  <c r="E92" i="3"/>
  <c r="D92" i="3" s="1"/>
  <c r="C92" i="3"/>
  <c r="A92" i="3"/>
  <c r="B92" i="3" s="1"/>
  <c r="N91" i="3"/>
  <c r="L91" i="3"/>
  <c r="K91" i="3"/>
  <c r="J91" i="3"/>
  <c r="H91" i="3"/>
  <c r="M91" i="3" s="1"/>
  <c r="G91" i="3"/>
  <c r="F91" i="3"/>
  <c r="E91" i="3"/>
  <c r="C91" i="3"/>
  <c r="A91" i="3"/>
  <c r="B91" i="3" s="1"/>
  <c r="N90" i="3"/>
  <c r="L90" i="3"/>
  <c r="M90" i="3" s="1"/>
  <c r="K90" i="3"/>
  <c r="J90" i="3"/>
  <c r="I90" i="3"/>
  <c r="H90" i="3"/>
  <c r="F90" i="3"/>
  <c r="E90" i="3"/>
  <c r="C90" i="3"/>
  <c r="D90" i="3" s="1"/>
  <c r="A90" i="3"/>
  <c r="B90" i="3" s="1"/>
  <c r="L89" i="3"/>
  <c r="M89" i="3" s="1"/>
  <c r="J89" i="3"/>
  <c r="I89" i="3"/>
  <c r="H89" i="3"/>
  <c r="F89" i="3"/>
  <c r="E89" i="3"/>
  <c r="D89" i="3"/>
  <c r="C89" i="3"/>
  <c r="G89" i="3" s="1"/>
  <c r="A89" i="3"/>
  <c r="B89" i="3" s="1"/>
  <c r="L88" i="3"/>
  <c r="J88" i="3"/>
  <c r="I88" i="3"/>
  <c r="H88" i="3"/>
  <c r="G88" i="3" s="1"/>
  <c r="E88" i="3"/>
  <c r="D88" i="3" s="1"/>
  <c r="C88" i="3"/>
  <c r="A88" i="3"/>
  <c r="B88" i="3" s="1"/>
  <c r="M87" i="3"/>
  <c r="L87" i="3"/>
  <c r="K87" i="3"/>
  <c r="J87" i="3"/>
  <c r="H87" i="3"/>
  <c r="G87" i="3" s="1"/>
  <c r="E87" i="3"/>
  <c r="C87" i="3"/>
  <c r="A87" i="3"/>
  <c r="B87" i="3" s="1"/>
  <c r="N86" i="3"/>
  <c r="L86" i="3"/>
  <c r="K86" i="3" s="1"/>
  <c r="J86" i="3"/>
  <c r="H86" i="3"/>
  <c r="F86" i="3"/>
  <c r="E86" i="3"/>
  <c r="I86" i="3" s="1"/>
  <c r="C86" i="3"/>
  <c r="G86" i="3" s="1"/>
  <c r="A86" i="3"/>
  <c r="B86" i="3" s="1"/>
  <c r="L85" i="3"/>
  <c r="M85" i="3" s="1"/>
  <c r="J85" i="3"/>
  <c r="K85" i="3" s="1"/>
  <c r="I85" i="3"/>
  <c r="H85" i="3"/>
  <c r="G85" i="3"/>
  <c r="E85" i="3"/>
  <c r="C85" i="3"/>
  <c r="D85" i="3" s="1"/>
  <c r="A85" i="3"/>
  <c r="B85" i="3" s="1"/>
  <c r="M84" i="3"/>
  <c r="L84" i="3"/>
  <c r="J84" i="3"/>
  <c r="K84" i="3" s="1"/>
  <c r="I84" i="3"/>
  <c r="H84" i="3"/>
  <c r="G84" i="3"/>
  <c r="E84" i="3"/>
  <c r="D84" i="3" s="1"/>
  <c r="C84" i="3"/>
  <c r="B84" i="3"/>
  <c r="A84" i="3"/>
  <c r="L83" i="3"/>
  <c r="K83" i="3"/>
  <c r="J83" i="3"/>
  <c r="H83" i="3"/>
  <c r="F83" i="3" s="1"/>
  <c r="G83" i="3"/>
  <c r="E83" i="3"/>
  <c r="C83" i="3"/>
  <c r="A83" i="3"/>
  <c r="B83" i="3" s="1"/>
  <c r="N82" i="3"/>
  <c r="L82" i="3"/>
  <c r="M82" i="3" s="1"/>
  <c r="K82" i="3"/>
  <c r="J82" i="3"/>
  <c r="I82" i="3"/>
  <c r="H82" i="3"/>
  <c r="E82" i="3"/>
  <c r="F82" i="3" s="1"/>
  <c r="C82" i="3"/>
  <c r="G82" i="3" s="1"/>
  <c r="A82" i="3"/>
  <c r="B82" i="3" s="1"/>
  <c r="L81" i="3"/>
  <c r="M81" i="3" s="1"/>
  <c r="J81" i="3"/>
  <c r="I81" i="3" s="1"/>
  <c r="H81" i="3"/>
  <c r="E81" i="3"/>
  <c r="D81" i="3"/>
  <c r="C81" i="3"/>
  <c r="G81" i="3" s="1"/>
  <c r="A81" i="3"/>
  <c r="B81" i="3" s="1"/>
  <c r="L80" i="3"/>
  <c r="J80" i="3"/>
  <c r="K80" i="3" s="1"/>
  <c r="I80" i="3"/>
  <c r="H80" i="3"/>
  <c r="E80" i="3"/>
  <c r="D80" i="3" s="1"/>
  <c r="C80" i="3"/>
  <c r="A80" i="3"/>
  <c r="B80" i="3" s="1"/>
  <c r="M79" i="3"/>
  <c r="L79" i="3"/>
  <c r="K79" i="3"/>
  <c r="J79" i="3"/>
  <c r="H79" i="3"/>
  <c r="G79" i="3" s="1"/>
  <c r="E79" i="3"/>
  <c r="C79" i="3"/>
  <c r="A79" i="3"/>
  <c r="B79" i="3" s="1"/>
  <c r="N78" i="3"/>
  <c r="L78" i="3"/>
  <c r="K78" i="3" s="1"/>
  <c r="J78" i="3"/>
  <c r="H78" i="3"/>
  <c r="G78" i="3" s="1"/>
  <c r="F78" i="3"/>
  <c r="E78" i="3"/>
  <c r="I78" i="3" s="1"/>
  <c r="C78" i="3"/>
  <c r="A78" i="3"/>
  <c r="B78" i="3" s="1"/>
  <c r="L77" i="3"/>
  <c r="M77" i="3" s="1"/>
  <c r="J77" i="3"/>
  <c r="K77" i="3" s="1"/>
  <c r="I77" i="3"/>
  <c r="H77" i="3"/>
  <c r="G77" i="3"/>
  <c r="E77" i="3"/>
  <c r="C77" i="3"/>
  <c r="D77" i="3" s="1"/>
  <c r="A77" i="3"/>
  <c r="B77" i="3" s="1"/>
  <c r="M76" i="3"/>
  <c r="L76" i="3"/>
  <c r="K76" i="3" s="1"/>
  <c r="J76" i="3"/>
  <c r="I76" i="3"/>
  <c r="H76" i="3"/>
  <c r="G76" i="3"/>
  <c r="E76" i="3"/>
  <c r="D76" i="3" s="1"/>
  <c r="C76" i="3"/>
  <c r="B76" i="3"/>
  <c r="A76" i="3"/>
  <c r="L75" i="3"/>
  <c r="K75" i="3"/>
  <c r="J75" i="3"/>
  <c r="H75" i="3"/>
  <c r="F75" i="3" s="1"/>
  <c r="G75" i="3"/>
  <c r="E75" i="3"/>
  <c r="C75" i="3"/>
  <c r="A75" i="3"/>
  <c r="B75" i="3" s="1"/>
  <c r="N74" i="3"/>
  <c r="L74" i="3"/>
  <c r="M74" i="3" s="1"/>
  <c r="K74" i="3"/>
  <c r="J74" i="3"/>
  <c r="I74" i="3"/>
  <c r="H74" i="3"/>
  <c r="E74" i="3"/>
  <c r="F74" i="3" s="1"/>
  <c r="C74" i="3"/>
  <c r="G74" i="3" s="1"/>
  <c r="A74" i="3"/>
  <c r="B74" i="3" s="1"/>
  <c r="L73" i="3"/>
  <c r="M73" i="3" s="1"/>
  <c r="J73" i="3"/>
  <c r="I73" i="3" s="1"/>
  <c r="H73" i="3"/>
  <c r="E73" i="3"/>
  <c r="F73" i="3" s="1"/>
  <c r="D73" i="3"/>
  <c r="C73" i="3"/>
  <c r="G73" i="3" s="1"/>
  <c r="A73" i="3"/>
  <c r="B73" i="3" s="1"/>
  <c r="L72" i="3"/>
  <c r="J72" i="3"/>
  <c r="I72" i="3"/>
  <c r="H72" i="3"/>
  <c r="E72" i="3"/>
  <c r="D72" i="3" s="1"/>
  <c r="C72" i="3"/>
  <c r="A72" i="3"/>
  <c r="B72" i="3" s="1"/>
  <c r="M71" i="3"/>
  <c r="L71" i="3"/>
  <c r="K71" i="3"/>
  <c r="J71" i="3"/>
  <c r="H71" i="3"/>
  <c r="G71" i="3" s="1"/>
  <c r="E71" i="3"/>
  <c r="C71" i="3"/>
  <c r="A71" i="3"/>
  <c r="B71" i="3" s="1"/>
  <c r="N70" i="3"/>
  <c r="L70" i="3"/>
  <c r="K70" i="3" s="1"/>
  <c r="J70" i="3"/>
  <c r="H70" i="3"/>
  <c r="F70" i="3"/>
  <c r="E70" i="3"/>
  <c r="I70" i="3" s="1"/>
  <c r="C70" i="3"/>
  <c r="G70" i="3" s="1"/>
  <c r="A70" i="3"/>
  <c r="B70" i="3" s="1"/>
  <c r="L69" i="3"/>
  <c r="M69" i="3" s="1"/>
  <c r="J69" i="3"/>
  <c r="K69" i="3" s="1"/>
  <c r="I69" i="3"/>
  <c r="H69" i="3"/>
  <c r="G69" i="3"/>
  <c r="E69" i="3"/>
  <c r="C69" i="3"/>
  <c r="D69" i="3" s="1"/>
  <c r="A69" i="3"/>
  <c r="B69" i="3" s="1"/>
  <c r="M68" i="3"/>
  <c r="L68" i="3"/>
  <c r="J68" i="3"/>
  <c r="K68" i="3" s="1"/>
  <c r="I68" i="3"/>
  <c r="H68" i="3"/>
  <c r="G68" i="3"/>
  <c r="E68" i="3"/>
  <c r="D68" i="3" s="1"/>
  <c r="C68" i="3"/>
  <c r="B68" i="3"/>
  <c r="A68" i="3"/>
  <c r="L67" i="3"/>
  <c r="K67" i="3"/>
  <c r="J67" i="3"/>
  <c r="H67" i="3"/>
  <c r="F67" i="3" s="1"/>
  <c r="G67" i="3"/>
  <c r="E67" i="3"/>
  <c r="C67" i="3"/>
  <c r="A67" i="3"/>
  <c r="B67" i="3" s="1"/>
  <c r="N66" i="3"/>
  <c r="L66" i="3"/>
  <c r="M66" i="3" s="1"/>
  <c r="K66" i="3"/>
  <c r="J66" i="3"/>
  <c r="I66" i="3"/>
  <c r="H66" i="3"/>
  <c r="E66" i="3"/>
  <c r="F66" i="3" s="1"/>
  <c r="C66" i="3"/>
  <c r="G66" i="3" s="1"/>
  <c r="A66" i="3"/>
  <c r="B66" i="3" s="1"/>
  <c r="L65" i="3"/>
  <c r="M65" i="3" s="1"/>
  <c r="J65" i="3"/>
  <c r="I65" i="3" s="1"/>
  <c r="H65" i="3"/>
  <c r="E65" i="3"/>
  <c r="D65" i="3"/>
  <c r="C65" i="3"/>
  <c r="G65" i="3" s="1"/>
  <c r="A65" i="3"/>
  <c r="B65" i="3" s="1"/>
  <c r="L64" i="3"/>
  <c r="J64" i="3"/>
  <c r="I64" i="3"/>
  <c r="H64" i="3"/>
  <c r="E64" i="3"/>
  <c r="D64" i="3" s="1"/>
  <c r="C64" i="3"/>
  <c r="A64" i="3"/>
  <c r="B64" i="3" s="1"/>
  <c r="M63" i="3"/>
  <c r="L63" i="3"/>
  <c r="K63" i="3"/>
  <c r="J63" i="3"/>
  <c r="H63" i="3"/>
  <c r="G63" i="3" s="1"/>
  <c r="E63" i="3"/>
  <c r="C63" i="3"/>
  <c r="A63" i="3"/>
  <c r="B63" i="3" s="1"/>
  <c r="N62" i="3"/>
  <c r="L62" i="3"/>
  <c r="K62" i="3" s="1"/>
  <c r="J62" i="3"/>
  <c r="H62" i="3"/>
  <c r="G62" i="3" s="1"/>
  <c r="F62" i="3"/>
  <c r="E62" i="3"/>
  <c r="I62" i="3" s="1"/>
  <c r="C62" i="3"/>
  <c r="A62" i="3"/>
  <c r="B62" i="3" s="1"/>
  <c r="L61" i="3"/>
  <c r="M61" i="3" s="1"/>
  <c r="J61" i="3"/>
  <c r="K61" i="3" s="1"/>
  <c r="I61" i="3"/>
  <c r="H61" i="3"/>
  <c r="G61" i="3"/>
  <c r="E61" i="3"/>
  <c r="C61" i="3"/>
  <c r="D61" i="3" s="1"/>
  <c r="A61" i="3"/>
  <c r="B61" i="3" s="1"/>
  <c r="M60" i="3"/>
  <c r="L60" i="3"/>
  <c r="J60" i="3"/>
  <c r="K60" i="3" s="1"/>
  <c r="I60" i="3"/>
  <c r="H60" i="3"/>
  <c r="G60" i="3"/>
  <c r="E60" i="3"/>
  <c r="D60" i="3" s="1"/>
  <c r="C60" i="3"/>
  <c r="B60" i="3"/>
  <c r="A60" i="3"/>
  <c r="L59" i="3"/>
  <c r="K59" i="3"/>
  <c r="J59" i="3"/>
  <c r="I59" i="3" s="1"/>
  <c r="H59" i="3"/>
  <c r="F59" i="3" s="1"/>
  <c r="G59" i="3"/>
  <c r="E59" i="3"/>
  <c r="C59" i="3"/>
  <c r="A59" i="3"/>
  <c r="B59" i="3" s="1"/>
  <c r="N58" i="3"/>
  <c r="L58" i="3"/>
  <c r="M58" i="3" s="1"/>
  <c r="K58" i="3"/>
  <c r="J58" i="3"/>
  <c r="I58" i="3"/>
  <c r="H58" i="3"/>
  <c r="E58" i="3"/>
  <c r="F58" i="3" s="1"/>
  <c r="C58" i="3"/>
  <c r="D58" i="3" s="1"/>
  <c r="A58" i="3"/>
  <c r="B58" i="3" s="1"/>
  <c r="L57" i="3"/>
  <c r="M57" i="3" s="1"/>
  <c r="J57" i="3"/>
  <c r="I57" i="3" s="1"/>
  <c r="H57" i="3"/>
  <c r="E57" i="3"/>
  <c r="D57" i="3"/>
  <c r="C57" i="3"/>
  <c r="G57" i="3" s="1"/>
  <c r="A57" i="3"/>
  <c r="B57" i="3" s="1"/>
  <c r="L56" i="3"/>
  <c r="J56" i="3"/>
  <c r="I56" i="3"/>
  <c r="H56" i="3"/>
  <c r="E56" i="3"/>
  <c r="D56" i="3" s="1"/>
  <c r="C56" i="3"/>
  <c r="A56" i="3"/>
  <c r="B56" i="3" s="1"/>
  <c r="M55" i="3"/>
  <c r="L55" i="3"/>
  <c r="K55" i="3"/>
  <c r="J55" i="3"/>
  <c r="H55" i="3"/>
  <c r="G55" i="3" s="1"/>
  <c r="E55" i="3"/>
  <c r="C55" i="3"/>
  <c r="A55" i="3"/>
  <c r="B55" i="3" s="1"/>
  <c r="N54" i="3"/>
  <c r="L54" i="3"/>
  <c r="K54" i="3" s="1"/>
  <c r="J54" i="3"/>
  <c r="H54" i="3"/>
  <c r="G54" i="3" s="1"/>
  <c r="F54" i="3"/>
  <c r="E54" i="3"/>
  <c r="I54" i="3" s="1"/>
  <c r="C54" i="3"/>
  <c r="A54" i="3"/>
  <c r="B54" i="3" s="1"/>
  <c r="L53" i="3"/>
  <c r="M53" i="3" s="1"/>
  <c r="J53" i="3"/>
  <c r="K53" i="3" s="1"/>
  <c r="I53" i="3"/>
  <c r="H53" i="3"/>
  <c r="G53" i="3"/>
  <c r="E53" i="3"/>
  <c r="C53" i="3"/>
  <c r="D53" i="3" s="1"/>
  <c r="A53" i="3"/>
  <c r="B53" i="3" s="1"/>
  <c r="M52" i="3"/>
  <c r="L52" i="3"/>
  <c r="K52" i="3" s="1"/>
  <c r="J52" i="3"/>
  <c r="I52" i="3"/>
  <c r="H52" i="3"/>
  <c r="G52" i="3"/>
  <c r="E52" i="3"/>
  <c r="D52" i="3" s="1"/>
  <c r="C52" i="3"/>
  <c r="B52" i="3"/>
  <c r="A52" i="3"/>
  <c r="L51" i="3"/>
  <c r="K51" i="3"/>
  <c r="J51" i="3"/>
  <c r="I51" i="3" s="1"/>
  <c r="H51" i="3"/>
  <c r="F51" i="3" s="1"/>
  <c r="G51" i="3"/>
  <c r="E51" i="3"/>
  <c r="C51" i="3"/>
  <c r="A51" i="3"/>
  <c r="B51" i="3" s="1"/>
  <c r="N50" i="3"/>
  <c r="L50" i="3"/>
  <c r="M50" i="3" s="1"/>
  <c r="K50" i="3"/>
  <c r="J50" i="3"/>
  <c r="I50" i="3"/>
  <c r="H50" i="3"/>
  <c r="E50" i="3"/>
  <c r="F50" i="3" s="1"/>
  <c r="C50" i="3"/>
  <c r="D50" i="3" s="1"/>
  <c r="A50" i="3"/>
  <c r="B50" i="3" s="1"/>
  <c r="L49" i="3"/>
  <c r="M49" i="3" s="1"/>
  <c r="J49" i="3"/>
  <c r="N49" i="3" s="1"/>
  <c r="H49" i="3"/>
  <c r="E49" i="3"/>
  <c r="F49" i="3" s="1"/>
  <c r="D49" i="3"/>
  <c r="C49" i="3"/>
  <c r="G49" i="3" s="1"/>
  <c r="A49" i="3"/>
  <c r="B49" i="3" s="1"/>
  <c r="L48" i="3"/>
  <c r="J48" i="3"/>
  <c r="I48" i="3"/>
  <c r="H48" i="3"/>
  <c r="E48" i="3"/>
  <c r="D48" i="3" s="1"/>
  <c r="C48" i="3"/>
  <c r="A48" i="3"/>
  <c r="B48" i="3" s="1"/>
  <c r="M47" i="3"/>
  <c r="L47" i="3"/>
  <c r="K47" i="3"/>
  <c r="J47" i="3"/>
  <c r="H47" i="3"/>
  <c r="G47" i="3" s="1"/>
  <c r="E47" i="3"/>
  <c r="C47" i="3"/>
  <c r="B47" i="3"/>
  <c r="A47" i="3"/>
  <c r="N46" i="3"/>
  <c r="M46" i="3"/>
  <c r="L46" i="3"/>
  <c r="K46" i="3"/>
  <c r="J46" i="3"/>
  <c r="I46" i="3"/>
  <c r="H46" i="3"/>
  <c r="G46" i="3" s="1"/>
  <c r="F46" i="3"/>
  <c r="E46" i="3"/>
  <c r="D46" i="3"/>
  <c r="C46" i="3"/>
  <c r="A46" i="3"/>
  <c r="B46" i="3" s="1"/>
  <c r="L45" i="3"/>
  <c r="M45" i="3" s="1"/>
  <c r="J45" i="3"/>
  <c r="H45" i="3"/>
  <c r="F45" i="3"/>
  <c r="E45" i="3"/>
  <c r="C45" i="3"/>
  <c r="D45" i="3" s="1"/>
  <c r="B45" i="3"/>
  <c r="A45" i="3"/>
  <c r="L44" i="3"/>
  <c r="K44" i="3" s="1"/>
  <c r="J44" i="3"/>
  <c r="H44" i="3"/>
  <c r="M44" i="3" s="1"/>
  <c r="G44" i="3"/>
  <c r="E44" i="3"/>
  <c r="C44" i="3"/>
  <c r="A44" i="3"/>
  <c r="B44" i="3" s="1"/>
  <c r="L43" i="3"/>
  <c r="K43" i="3"/>
  <c r="J43" i="3"/>
  <c r="I43" i="3" s="1"/>
  <c r="H43" i="3"/>
  <c r="N43" i="3" s="1"/>
  <c r="F43" i="3"/>
  <c r="E43" i="3"/>
  <c r="C43" i="3"/>
  <c r="B43" i="3"/>
  <c r="A43" i="3"/>
  <c r="N42" i="3"/>
  <c r="M42" i="3"/>
  <c r="L42" i="3"/>
  <c r="K42" i="3"/>
  <c r="J42" i="3"/>
  <c r="H42" i="3"/>
  <c r="G42" i="3" s="1"/>
  <c r="E42" i="3"/>
  <c r="C42" i="3"/>
  <c r="A42" i="3"/>
  <c r="B42" i="3" s="1"/>
  <c r="L41" i="3"/>
  <c r="M41" i="3" s="1"/>
  <c r="J41" i="3"/>
  <c r="K41" i="3" s="1"/>
  <c r="I41" i="3"/>
  <c r="H41" i="3"/>
  <c r="N41" i="3" s="1"/>
  <c r="G41" i="3"/>
  <c r="E41" i="3"/>
  <c r="D41" i="3"/>
  <c r="C41" i="3"/>
  <c r="A41" i="3"/>
  <c r="B41" i="3" s="1"/>
  <c r="M40" i="3"/>
  <c r="L40" i="3"/>
  <c r="K40" i="3" s="1"/>
  <c r="J40" i="3"/>
  <c r="I40" i="3" s="1"/>
  <c r="H40" i="3"/>
  <c r="E40" i="3"/>
  <c r="D40" i="3" s="1"/>
  <c r="C40" i="3"/>
  <c r="A40" i="3"/>
  <c r="B40" i="3" s="1"/>
  <c r="N39" i="3"/>
  <c r="L39" i="3"/>
  <c r="K39" i="3"/>
  <c r="J39" i="3"/>
  <c r="H39" i="3"/>
  <c r="M39" i="3" s="1"/>
  <c r="G39" i="3"/>
  <c r="F39" i="3"/>
  <c r="E39" i="3"/>
  <c r="D39" i="3" s="1"/>
  <c r="C39" i="3"/>
  <c r="A39" i="3"/>
  <c r="B39" i="3" s="1"/>
  <c r="N38" i="3"/>
  <c r="L38" i="3"/>
  <c r="M38" i="3" s="1"/>
  <c r="K38" i="3"/>
  <c r="J38" i="3"/>
  <c r="I38" i="3"/>
  <c r="H38" i="3"/>
  <c r="F38" i="3"/>
  <c r="E38" i="3"/>
  <c r="C38" i="3"/>
  <c r="D38" i="3" s="1"/>
  <c r="A38" i="3"/>
  <c r="B38" i="3" s="1"/>
  <c r="L37" i="3"/>
  <c r="J37" i="3"/>
  <c r="I37" i="3"/>
  <c r="H37" i="3"/>
  <c r="E37" i="3"/>
  <c r="F37" i="3" s="1"/>
  <c r="C37" i="3"/>
  <c r="B37" i="3"/>
  <c r="A37" i="3"/>
  <c r="L36" i="3"/>
  <c r="J36" i="3"/>
  <c r="H36" i="3"/>
  <c r="M36" i="3" s="1"/>
  <c r="G36" i="3"/>
  <c r="E36" i="3"/>
  <c r="D36" i="3" s="1"/>
  <c r="C36" i="3"/>
  <c r="B36" i="3"/>
  <c r="A36" i="3"/>
  <c r="M35" i="3"/>
  <c r="L35" i="3"/>
  <c r="K35" i="3"/>
  <c r="J35" i="3"/>
  <c r="I35" i="3" s="1"/>
  <c r="H35" i="3"/>
  <c r="F35" i="3" s="1"/>
  <c r="G35" i="3"/>
  <c r="E35" i="3"/>
  <c r="C35" i="3"/>
  <c r="B35" i="3"/>
  <c r="A35" i="3"/>
  <c r="N34" i="3"/>
  <c r="L34" i="3"/>
  <c r="K34" i="3" s="1"/>
  <c r="J34" i="3"/>
  <c r="H34" i="3"/>
  <c r="G34" i="3" s="1"/>
  <c r="F34" i="3"/>
  <c r="E34" i="3"/>
  <c r="I34" i="3" s="1"/>
  <c r="C34" i="3"/>
  <c r="A34" i="3"/>
  <c r="B34" i="3" s="1"/>
  <c r="L33" i="3"/>
  <c r="M33" i="3" s="1"/>
  <c r="J33" i="3"/>
  <c r="N33" i="3" s="1"/>
  <c r="I33" i="3"/>
  <c r="H33" i="3"/>
  <c r="F33" i="3"/>
  <c r="E33" i="3"/>
  <c r="C33" i="3"/>
  <c r="D33" i="3" s="1"/>
  <c r="A33" i="3"/>
  <c r="B33" i="3" s="1"/>
  <c r="M32" i="3"/>
  <c r="L32" i="3"/>
  <c r="J32" i="3"/>
  <c r="I32" i="3" s="1"/>
  <c r="H32" i="3"/>
  <c r="G32" i="3"/>
  <c r="E32" i="3"/>
  <c r="D32" i="3" s="1"/>
  <c r="C32" i="3"/>
  <c r="B32" i="3"/>
  <c r="A32" i="3"/>
  <c r="L31" i="3"/>
  <c r="K31" i="3"/>
  <c r="J31" i="3"/>
  <c r="I31" i="3" s="1"/>
  <c r="H31" i="3"/>
  <c r="E31" i="3"/>
  <c r="D31" i="3" s="1"/>
  <c r="C31" i="3"/>
  <c r="A31" i="3"/>
  <c r="B31" i="3" s="1"/>
  <c r="N30" i="3"/>
  <c r="L30" i="3"/>
  <c r="J30" i="3"/>
  <c r="I30" i="3"/>
  <c r="H30" i="3"/>
  <c r="E30" i="3"/>
  <c r="F30" i="3" s="1"/>
  <c r="C30" i="3"/>
  <c r="D30" i="3" s="1"/>
  <c r="A30" i="3"/>
  <c r="B30" i="3" s="1"/>
  <c r="L29" i="3"/>
  <c r="M29" i="3" s="1"/>
  <c r="K29" i="3"/>
  <c r="J29" i="3"/>
  <c r="I29" i="3"/>
  <c r="H29" i="3"/>
  <c r="N29" i="3" s="1"/>
  <c r="G29" i="3"/>
  <c r="E29" i="3"/>
  <c r="D29" i="3"/>
  <c r="C29" i="3"/>
  <c r="B29" i="3"/>
  <c r="A29" i="3"/>
  <c r="L28" i="3"/>
  <c r="J28" i="3"/>
  <c r="I28" i="3"/>
  <c r="H28" i="3"/>
  <c r="G28" i="3" s="1"/>
  <c r="E28" i="3"/>
  <c r="D28" i="3" s="1"/>
  <c r="C28" i="3"/>
  <c r="A28" i="3"/>
  <c r="B28" i="3" s="1"/>
  <c r="N27" i="3"/>
  <c r="M27" i="3"/>
  <c r="L27" i="3"/>
  <c r="K27" i="3"/>
  <c r="J27" i="3"/>
  <c r="H27" i="3"/>
  <c r="E27" i="3"/>
  <c r="C27" i="3"/>
  <c r="G27" i="3" s="1"/>
  <c r="B27" i="3"/>
  <c r="A27" i="3"/>
  <c r="N26" i="3"/>
  <c r="L26" i="3"/>
  <c r="M26" i="3" s="1"/>
  <c r="K26" i="3"/>
  <c r="J26" i="3"/>
  <c r="I26" i="3"/>
  <c r="H26" i="3"/>
  <c r="G26" i="3" s="1"/>
  <c r="E26" i="3"/>
  <c r="D26" i="3" s="1"/>
  <c r="C26" i="3"/>
  <c r="A26" i="3"/>
  <c r="B26" i="3" s="1"/>
  <c r="L25" i="3"/>
  <c r="M25" i="3" s="1"/>
  <c r="K25" i="3"/>
  <c r="J25" i="3"/>
  <c r="N25" i="3" s="1"/>
  <c r="H25" i="3"/>
  <c r="F25" i="3"/>
  <c r="E25" i="3"/>
  <c r="C25" i="3"/>
  <c r="B25" i="3"/>
  <c r="A25" i="3"/>
  <c r="L24" i="3"/>
  <c r="J24" i="3"/>
  <c r="H24" i="3"/>
  <c r="M24" i="3" s="1"/>
  <c r="G24" i="3"/>
  <c r="E24" i="3"/>
  <c r="D24" i="3" s="1"/>
  <c r="C24" i="3"/>
  <c r="B24" i="3"/>
  <c r="A24" i="3"/>
  <c r="M23" i="3"/>
  <c r="L23" i="3"/>
  <c r="K23" i="3"/>
  <c r="J23" i="3"/>
  <c r="I23" i="3" s="1"/>
  <c r="H23" i="3"/>
  <c r="F23" i="3" s="1"/>
  <c r="G23" i="3"/>
  <c r="E23" i="3"/>
  <c r="C23" i="3"/>
  <c r="B23" i="3"/>
  <c r="A23" i="3"/>
  <c r="N22" i="3"/>
  <c r="L22" i="3"/>
  <c r="K22" i="3" s="1"/>
  <c r="J22" i="3"/>
  <c r="H22" i="3"/>
  <c r="G22" i="3" s="1"/>
  <c r="F22" i="3"/>
  <c r="E22" i="3"/>
  <c r="I22" i="3" s="1"/>
  <c r="C22" i="3"/>
  <c r="A22" i="3"/>
  <c r="B22" i="3" s="1"/>
  <c r="L21" i="3"/>
  <c r="M21" i="3" s="1"/>
  <c r="J21" i="3"/>
  <c r="K21" i="3" s="1"/>
  <c r="I21" i="3"/>
  <c r="H21" i="3"/>
  <c r="G21" i="3"/>
  <c r="E21" i="3"/>
  <c r="C21" i="3"/>
  <c r="D21" i="3" s="1"/>
  <c r="A21" i="3"/>
  <c r="B21" i="3" s="1"/>
  <c r="M20" i="3"/>
  <c r="L20" i="3"/>
  <c r="K20" i="3" s="1"/>
  <c r="J20" i="3"/>
  <c r="I20" i="3"/>
  <c r="H20" i="3"/>
  <c r="G20" i="3"/>
  <c r="E20" i="3"/>
  <c r="D20" i="3" s="1"/>
  <c r="C20" i="3"/>
  <c r="B20" i="3"/>
  <c r="A20" i="3"/>
  <c r="L19" i="3"/>
  <c r="K19" i="3"/>
  <c r="J19" i="3"/>
  <c r="H19" i="3"/>
  <c r="F19" i="3" s="1"/>
  <c r="G19" i="3"/>
  <c r="E19" i="3"/>
  <c r="C19" i="3"/>
  <c r="A19" i="3"/>
  <c r="B19" i="3" s="1"/>
  <c r="N18" i="3"/>
  <c r="L18" i="3"/>
  <c r="M18" i="3" s="1"/>
  <c r="K18" i="3"/>
  <c r="J18" i="3"/>
  <c r="I18" i="3"/>
  <c r="H18" i="3"/>
  <c r="E18" i="3"/>
  <c r="F18" i="3" s="1"/>
  <c r="C18" i="3"/>
  <c r="D18" i="3" s="1"/>
  <c r="A18" i="3"/>
  <c r="B18" i="3" s="1"/>
  <c r="L17" i="3"/>
  <c r="M17" i="3" s="1"/>
  <c r="J17" i="3"/>
  <c r="I17" i="3" s="1"/>
  <c r="H17" i="3"/>
  <c r="E17" i="3"/>
  <c r="D17" i="3"/>
  <c r="C17" i="3"/>
  <c r="G17" i="3" s="1"/>
  <c r="A17" i="3"/>
  <c r="B17" i="3" s="1"/>
  <c r="L16" i="3"/>
  <c r="J16" i="3"/>
  <c r="I16" i="3"/>
  <c r="H16" i="3"/>
  <c r="E16" i="3"/>
  <c r="D16" i="3" s="1"/>
  <c r="C16" i="3"/>
  <c r="A16" i="3"/>
  <c r="B16" i="3" s="1"/>
  <c r="M15" i="3"/>
  <c r="L15" i="3"/>
  <c r="K15" i="3"/>
  <c r="J15" i="3"/>
  <c r="H15" i="3"/>
  <c r="G15" i="3" s="1"/>
  <c r="E15" i="3"/>
  <c r="C15" i="3"/>
  <c r="A15" i="3"/>
  <c r="B15" i="3" s="1"/>
  <c r="N14" i="3"/>
  <c r="L14" i="3"/>
  <c r="K14" i="3" s="1"/>
  <c r="J14" i="3"/>
  <c r="H14" i="3"/>
  <c r="F14" i="3"/>
  <c r="E14" i="3"/>
  <c r="I14" i="3" s="1"/>
  <c r="C14" i="3"/>
  <c r="G14" i="3" s="1"/>
  <c r="A14" i="3"/>
  <c r="B14" i="3" s="1"/>
  <c r="L13" i="3"/>
  <c r="M13" i="3" s="1"/>
  <c r="J13" i="3"/>
  <c r="K13" i="3" s="1"/>
  <c r="I13" i="3"/>
  <c r="H13" i="3"/>
  <c r="G13" i="3"/>
  <c r="E13" i="3"/>
  <c r="C13" i="3"/>
  <c r="D13" i="3" s="1"/>
  <c r="A13" i="3"/>
  <c r="B13" i="3" s="1"/>
  <c r="M12" i="3"/>
  <c r="L12" i="3"/>
  <c r="K12" i="3" s="1"/>
  <c r="J12" i="3"/>
  <c r="I12" i="3"/>
  <c r="H12" i="3"/>
  <c r="G12" i="3"/>
  <c r="E12" i="3"/>
  <c r="D12" i="3" s="1"/>
  <c r="C12" i="3"/>
  <c r="B12" i="3"/>
  <c r="A12" i="3"/>
  <c r="M11" i="3"/>
  <c r="L11" i="3"/>
  <c r="K11" i="3"/>
  <c r="J11" i="3"/>
  <c r="I11" i="3" s="1"/>
  <c r="H11" i="3"/>
  <c r="F11" i="3" s="1"/>
  <c r="G11" i="3"/>
  <c r="E11" i="3"/>
  <c r="C11" i="3"/>
  <c r="B11" i="3"/>
  <c r="A11" i="3"/>
  <c r="N10" i="3"/>
  <c r="L10" i="3"/>
  <c r="J10" i="3"/>
  <c r="I10" i="3"/>
  <c r="H10" i="3"/>
  <c r="E10" i="3"/>
  <c r="F10" i="3" s="1"/>
  <c r="C10" i="3"/>
  <c r="D10" i="3" s="1"/>
  <c r="A10" i="3"/>
  <c r="B10" i="3" s="1"/>
  <c r="L9" i="3"/>
  <c r="M9" i="3" s="1"/>
  <c r="K9" i="3"/>
  <c r="J9" i="3"/>
  <c r="I9" i="3"/>
  <c r="H9" i="3"/>
  <c r="N9" i="3" s="1"/>
  <c r="G9" i="3"/>
  <c r="E9" i="3"/>
  <c r="D9" i="3"/>
  <c r="C9" i="3"/>
  <c r="B9" i="3"/>
  <c r="A9" i="3"/>
  <c r="L8" i="3"/>
  <c r="J8" i="3"/>
  <c r="I8" i="3"/>
  <c r="H8" i="3"/>
  <c r="G8" i="3" s="1"/>
  <c r="E8" i="3"/>
  <c r="D8" i="3" s="1"/>
  <c r="C8" i="3"/>
  <c r="A8" i="3"/>
  <c r="B8" i="3" s="1"/>
  <c r="N7" i="3"/>
  <c r="M7" i="3"/>
  <c r="L7" i="3"/>
  <c r="K7" i="3"/>
  <c r="J7" i="3"/>
  <c r="I7" i="3" s="1"/>
  <c r="H7" i="3"/>
  <c r="E7" i="3"/>
  <c r="C7" i="3"/>
  <c r="G7" i="3" s="1"/>
  <c r="B7" i="3"/>
  <c r="A7" i="3"/>
  <c r="N6" i="3"/>
  <c r="L6" i="3"/>
  <c r="M6" i="3" s="1"/>
  <c r="K6" i="3"/>
  <c r="J6" i="3"/>
  <c r="H6" i="3"/>
  <c r="G6" i="3" s="1"/>
  <c r="E6" i="3"/>
  <c r="C6" i="3"/>
  <c r="A6" i="3"/>
  <c r="B6" i="3" s="1"/>
  <c r="L5" i="3"/>
  <c r="M5" i="3" s="1"/>
  <c r="K5" i="3"/>
  <c r="J5" i="3"/>
  <c r="I5" i="3" s="1"/>
  <c r="H5" i="3"/>
  <c r="N5" i="3" s="1"/>
  <c r="E5" i="3"/>
  <c r="F5" i="3" s="1"/>
  <c r="C5" i="3"/>
  <c r="G5" i="3" s="1"/>
  <c r="B5" i="3"/>
  <c r="A5" i="3"/>
  <c r="L4" i="3"/>
  <c r="K4" i="3" s="1"/>
  <c r="J4" i="3"/>
  <c r="H4" i="3"/>
  <c r="M4" i="3" s="1"/>
  <c r="G4" i="3"/>
  <c r="E4" i="3"/>
  <c r="C4" i="3"/>
  <c r="A4" i="3"/>
  <c r="B4" i="3" s="1"/>
  <c r="L3" i="3"/>
  <c r="K3" i="3"/>
  <c r="J3" i="3"/>
  <c r="H3" i="3"/>
  <c r="N3" i="3" s="1"/>
  <c r="F3" i="3"/>
  <c r="E3" i="3"/>
  <c r="C3" i="3"/>
  <c r="A3" i="3"/>
  <c r="B3" i="3" s="1"/>
  <c r="N2" i="3"/>
  <c r="M2" i="3"/>
  <c r="L2" i="3"/>
  <c r="J2" i="3"/>
  <c r="H2" i="3"/>
  <c r="E2" i="3"/>
  <c r="I2" i="3" s="1"/>
  <c r="D2" i="3"/>
  <c r="C2" i="3"/>
  <c r="G2" i="3" s="1"/>
  <c r="A2" i="3"/>
  <c r="B2" i="3" s="1"/>
  <c r="F366" i="2"/>
  <c r="L366" i="5" s="1"/>
  <c r="E366" i="2"/>
  <c r="J366" i="5" s="1"/>
  <c r="D366" i="2"/>
  <c r="H366" i="5" s="1"/>
  <c r="C366" i="2"/>
  <c r="E366" i="5" s="1"/>
  <c r="B366" i="2"/>
  <c r="C366" i="5" s="1"/>
  <c r="A366" i="2"/>
  <c r="A366" i="5" s="1"/>
  <c r="B366" i="5" s="1"/>
  <c r="F365" i="2"/>
  <c r="L365" i="5" s="1"/>
  <c r="E365" i="2"/>
  <c r="J365" i="5" s="1"/>
  <c r="D365" i="2"/>
  <c r="H365" i="5" s="1"/>
  <c r="C365" i="2"/>
  <c r="E365" i="5" s="1"/>
  <c r="B365" i="2"/>
  <c r="C365" i="5" s="1"/>
  <c r="A365" i="2"/>
  <c r="A365" i="5" s="1"/>
  <c r="B365" i="5" s="1"/>
  <c r="F364" i="2"/>
  <c r="L364" i="5" s="1"/>
  <c r="E364" i="2"/>
  <c r="J364" i="5" s="1"/>
  <c r="D364" i="2"/>
  <c r="H364" i="5" s="1"/>
  <c r="C364" i="2"/>
  <c r="E364" i="5" s="1"/>
  <c r="B364" i="2"/>
  <c r="C364" i="5" s="1"/>
  <c r="A364" i="2"/>
  <c r="A364" i="5" s="1"/>
  <c r="B364" i="5" s="1"/>
  <c r="F363" i="2"/>
  <c r="L363" i="5" s="1"/>
  <c r="E363" i="2"/>
  <c r="J363" i="5" s="1"/>
  <c r="D363" i="2"/>
  <c r="H363" i="5" s="1"/>
  <c r="C363" i="2"/>
  <c r="E363" i="5" s="1"/>
  <c r="B363" i="2"/>
  <c r="C363" i="5" s="1"/>
  <c r="A363" i="2"/>
  <c r="A363" i="5" s="1"/>
  <c r="B363" i="5" s="1"/>
  <c r="F362" i="2"/>
  <c r="L362" i="5" s="1"/>
  <c r="E362" i="2"/>
  <c r="J362" i="5" s="1"/>
  <c r="D362" i="2"/>
  <c r="H362" i="5" s="1"/>
  <c r="C362" i="2"/>
  <c r="E362" i="5" s="1"/>
  <c r="B362" i="2"/>
  <c r="C362" i="5" s="1"/>
  <c r="A362" i="2"/>
  <c r="A362" i="5" s="1"/>
  <c r="B362" i="5" s="1"/>
  <c r="F361" i="2"/>
  <c r="L361" i="5" s="1"/>
  <c r="E361" i="2"/>
  <c r="J361" i="5" s="1"/>
  <c r="D361" i="2"/>
  <c r="H361" i="5" s="1"/>
  <c r="C361" i="2"/>
  <c r="E361" i="5" s="1"/>
  <c r="B361" i="2"/>
  <c r="C361" i="5" s="1"/>
  <c r="A361" i="2"/>
  <c r="A361" i="5" s="1"/>
  <c r="B361" i="5" s="1"/>
  <c r="F360" i="2"/>
  <c r="L360" i="5" s="1"/>
  <c r="E360" i="2"/>
  <c r="J360" i="5" s="1"/>
  <c r="D360" i="2"/>
  <c r="H360" i="5" s="1"/>
  <c r="C360" i="2"/>
  <c r="E360" i="5" s="1"/>
  <c r="B360" i="2"/>
  <c r="C360" i="5" s="1"/>
  <c r="A360" i="2"/>
  <c r="A360" i="5" s="1"/>
  <c r="B360" i="5" s="1"/>
  <c r="F359" i="2"/>
  <c r="L359" i="5" s="1"/>
  <c r="E359" i="2"/>
  <c r="J359" i="5" s="1"/>
  <c r="D359" i="2"/>
  <c r="H359" i="5" s="1"/>
  <c r="C359" i="2"/>
  <c r="E359" i="5" s="1"/>
  <c r="B359" i="2"/>
  <c r="C359" i="5" s="1"/>
  <c r="A359" i="2"/>
  <c r="A359" i="5" s="1"/>
  <c r="B359" i="5" s="1"/>
  <c r="F358" i="2"/>
  <c r="L358" i="5" s="1"/>
  <c r="E358" i="2"/>
  <c r="J358" i="5" s="1"/>
  <c r="D358" i="2"/>
  <c r="H358" i="5" s="1"/>
  <c r="C358" i="2"/>
  <c r="E358" i="5" s="1"/>
  <c r="B358" i="2"/>
  <c r="C358" i="5" s="1"/>
  <c r="A358" i="2"/>
  <c r="A358" i="5" s="1"/>
  <c r="B358" i="5" s="1"/>
  <c r="F357" i="2"/>
  <c r="L357" i="5" s="1"/>
  <c r="E357" i="2"/>
  <c r="J357" i="5" s="1"/>
  <c r="D357" i="2"/>
  <c r="H357" i="5" s="1"/>
  <c r="C357" i="2"/>
  <c r="E357" i="5" s="1"/>
  <c r="B357" i="2"/>
  <c r="C357" i="5" s="1"/>
  <c r="A357" i="2"/>
  <c r="A357" i="5" s="1"/>
  <c r="B357" i="5" s="1"/>
  <c r="F356" i="2"/>
  <c r="L356" i="5" s="1"/>
  <c r="E356" i="2"/>
  <c r="J356" i="5" s="1"/>
  <c r="D356" i="2"/>
  <c r="H356" i="5" s="1"/>
  <c r="C356" i="2"/>
  <c r="E356" i="5" s="1"/>
  <c r="B356" i="2"/>
  <c r="C356" i="5" s="1"/>
  <c r="A356" i="2"/>
  <c r="A356" i="5" s="1"/>
  <c r="B356" i="5" s="1"/>
  <c r="F355" i="2"/>
  <c r="L355" i="5" s="1"/>
  <c r="E355" i="2"/>
  <c r="J355" i="5" s="1"/>
  <c r="D355" i="2"/>
  <c r="H355" i="5" s="1"/>
  <c r="C355" i="2"/>
  <c r="E355" i="5" s="1"/>
  <c r="B355" i="2"/>
  <c r="C355" i="5" s="1"/>
  <c r="A355" i="2"/>
  <c r="A355" i="5" s="1"/>
  <c r="B355" i="5" s="1"/>
  <c r="F354" i="2"/>
  <c r="L354" i="5" s="1"/>
  <c r="E354" i="2"/>
  <c r="J354" i="5" s="1"/>
  <c r="D354" i="2"/>
  <c r="H354" i="5" s="1"/>
  <c r="C354" i="2"/>
  <c r="E354" i="5" s="1"/>
  <c r="B354" i="2"/>
  <c r="C354" i="5" s="1"/>
  <c r="A354" i="2"/>
  <c r="A354" i="5" s="1"/>
  <c r="B354" i="5" s="1"/>
  <c r="F353" i="2"/>
  <c r="L353" i="5" s="1"/>
  <c r="E353" i="2"/>
  <c r="J353" i="5" s="1"/>
  <c r="D353" i="2"/>
  <c r="H353" i="5" s="1"/>
  <c r="C353" i="2"/>
  <c r="E353" i="5" s="1"/>
  <c r="B353" i="2"/>
  <c r="C353" i="5" s="1"/>
  <c r="A353" i="2"/>
  <c r="A353" i="5" s="1"/>
  <c r="B353" i="5" s="1"/>
  <c r="F352" i="2"/>
  <c r="L352" i="5" s="1"/>
  <c r="E352" i="2"/>
  <c r="J352" i="5" s="1"/>
  <c r="D352" i="2"/>
  <c r="H352" i="5" s="1"/>
  <c r="C352" i="2"/>
  <c r="E352" i="5" s="1"/>
  <c r="B352" i="2"/>
  <c r="C352" i="5" s="1"/>
  <c r="A352" i="2"/>
  <c r="A352" i="5" s="1"/>
  <c r="B352" i="5" s="1"/>
  <c r="F351" i="2"/>
  <c r="L351" i="5" s="1"/>
  <c r="E351" i="2"/>
  <c r="J351" i="5" s="1"/>
  <c r="D351" i="2"/>
  <c r="H351" i="5" s="1"/>
  <c r="C351" i="2"/>
  <c r="E351" i="5" s="1"/>
  <c r="D351" i="5" s="1"/>
  <c r="B351" i="2"/>
  <c r="C351" i="5" s="1"/>
  <c r="A351" i="2"/>
  <c r="A351" i="5" s="1"/>
  <c r="B351" i="5" s="1"/>
  <c r="F350" i="2"/>
  <c r="L350" i="5" s="1"/>
  <c r="E350" i="2"/>
  <c r="J350" i="5" s="1"/>
  <c r="D350" i="2"/>
  <c r="H350" i="5" s="1"/>
  <c r="C350" i="2"/>
  <c r="E350" i="5" s="1"/>
  <c r="B350" i="2"/>
  <c r="C350" i="5" s="1"/>
  <c r="A350" i="2"/>
  <c r="A350" i="5" s="1"/>
  <c r="B350" i="5" s="1"/>
  <c r="F349" i="2"/>
  <c r="L349" i="5" s="1"/>
  <c r="E349" i="2"/>
  <c r="J349" i="5" s="1"/>
  <c r="D349" i="2"/>
  <c r="H349" i="5" s="1"/>
  <c r="C349" i="2"/>
  <c r="E349" i="5" s="1"/>
  <c r="B349" i="2"/>
  <c r="C349" i="5" s="1"/>
  <c r="A349" i="2"/>
  <c r="A349" i="5" s="1"/>
  <c r="B349" i="5" s="1"/>
  <c r="F348" i="2"/>
  <c r="L348" i="5" s="1"/>
  <c r="E348" i="2"/>
  <c r="J348" i="5" s="1"/>
  <c r="D348" i="2"/>
  <c r="H348" i="5" s="1"/>
  <c r="C348" i="2"/>
  <c r="E348" i="5" s="1"/>
  <c r="B348" i="2"/>
  <c r="C348" i="5" s="1"/>
  <c r="A348" i="2"/>
  <c r="A348" i="5" s="1"/>
  <c r="B348" i="5" s="1"/>
  <c r="F347" i="2"/>
  <c r="L347" i="5" s="1"/>
  <c r="E347" i="2"/>
  <c r="J347" i="5" s="1"/>
  <c r="D347" i="2"/>
  <c r="H347" i="5" s="1"/>
  <c r="C347" i="2"/>
  <c r="E347" i="5" s="1"/>
  <c r="B347" i="2"/>
  <c r="C347" i="5" s="1"/>
  <c r="A347" i="2"/>
  <c r="A347" i="5" s="1"/>
  <c r="B347" i="5" s="1"/>
  <c r="F346" i="2"/>
  <c r="L346" i="5" s="1"/>
  <c r="E346" i="2"/>
  <c r="J346" i="5" s="1"/>
  <c r="D346" i="2"/>
  <c r="H346" i="5" s="1"/>
  <c r="C346" i="2"/>
  <c r="E346" i="5" s="1"/>
  <c r="B346" i="2"/>
  <c r="C346" i="5" s="1"/>
  <c r="A346" i="2"/>
  <c r="A346" i="5" s="1"/>
  <c r="B346" i="5" s="1"/>
  <c r="F345" i="2"/>
  <c r="L345" i="5" s="1"/>
  <c r="E345" i="2"/>
  <c r="J345" i="5" s="1"/>
  <c r="D345" i="2"/>
  <c r="H345" i="5" s="1"/>
  <c r="C345" i="2"/>
  <c r="E345" i="5" s="1"/>
  <c r="B345" i="2"/>
  <c r="C345" i="5" s="1"/>
  <c r="A345" i="2"/>
  <c r="A345" i="5" s="1"/>
  <c r="B345" i="5" s="1"/>
  <c r="F344" i="2"/>
  <c r="L344" i="5" s="1"/>
  <c r="E344" i="2"/>
  <c r="J344" i="5" s="1"/>
  <c r="D344" i="2"/>
  <c r="H344" i="5" s="1"/>
  <c r="C344" i="2"/>
  <c r="E344" i="5" s="1"/>
  <c r="B344" i="2"/>
  <c r="C344" i="5" s="1"/>
  <c r="A344" i="2"/>
  <c r="A344" i="5" s="1"/>
  <c r="B344" i="5" s="1"/>
  <c r="F343" i="2"/>
  <c r="L343" i="5" s="1"/>
  <c r="E343" i="2"/>
  <c r="J343" i="5" s="1"/>
  <c r="D343" i="2"/>
  <c r="H343" i="5" s="1"/>
  <c r="C343" i="2"/>
  <c r="E343" i="5" s="1"/>
  <c r="B343" i="2"/>
  <c r="C343" i="5" s="1"/>
  <c r="A343" i="2"/>
  <c r="A343" i="5" s="1"/>
  <c r="B343" i="5" s="1"/>
  <c r="F342" i="2"/>
  <c r="L342" i="5" s="1"/>
  <c r="E342" i="2"/>
  <c r="J342" i="5" s="1"/>
  <c r="D342" i="2"/>
  <c r="H342" i="5" s="1"/>
  <c r="C342" i="2"/>
  <c r="E342" i="5" s="1"/>
  <c r="B342" i="2"/>
  <c r="C342" i="5" s="1"/>
  <c r="A342" i="2"/>
  <c r="A342" i="5" s="1"/>
  <c r="B342" i="5" s="1"/>
  <c r="F341" i="2"/>
  <c r="L341" i="5" s="1"/>
  <c r="E341" i="2"/>
  <c r="J341" i="5" s="1"/>
  <c r="D341" i="2"/>
  <c r="H341" i="5" s="1"/>
  <c r="C341" i="2"/>
  <c r="E341" i="5" s="1"/>
  <c r="B341" i="2"/>
  <c r="C341" i="5" s="1"/>
  <c r="A341" i="2"/>
  <c r="A341" i="5" s="1"/>
  <c r="B341" i="5" s="1"/>
  <c r="F340" i="2"/>
  <c r="L340" i="5" s="1"/>
  <c r="E340" i="2"/>
  <c r="J340" i="5" s="1"/>
  <c r="D340" i="2"/>
  <c r="H340" i="5" s="1"/>
  <c r="C340" i="2"/>
  <c r="E340" i="5" s="1"/>
  <c r="B340" i="2"/>
  <c r="C340" i="5" s="1"/>
  <c r="A340" i="2"/>
  <c r="A340" i="5" s="1"/>
  <c r="B340" i="5" s="1"/>
  <c r="F339" i="2"/>
  <c r="L339" i="5" s="1"/>
  <c r="E339" i="2"/>
  <c r="J339" i="5" s="1"/>
  <c r="D339" i="2"/>
  <c r="H339" i="5" s="1"/>
  <c r="C339" i="2"/>
  <c r="E339" i="5" s="1"/>
  <c r="B339" i="2"/>
  <c r="C339" i="5" s="1"/>
  <c r="A339" i="2"/>
  <c r="A339" i="5" s="1"/>
  <c r="B339" i="5" s="1"/>
  <c r="F338" i="2"/>
  <c r="L338" i="5" s="1"/>
  <c r="E338" i="2"/>
  <c r="J338" i="5" s="1"/>
  <c r="D338" i="2"/>
  <c r="H338" i="5" s="1"/>
  <c r="C338" i="2"/>
  <c r="E338" i="5" s="1"/>
  <c r="B338" i="2"/>
  <c r="C338" i="5" s="1"/>
  <c r="A338" i="2"/>
  <c r="A338" i="5" s="1"/>
  <c r="B338" i="5" s="1"/>
  <c r="F337" i="2"/>
  <c r="L337" i="5" s="1"/>
  <c r="E337" i="2"/>
  <c r="J337" i="5" s="1"/>
  <c r="D337" i="2"/>
  <c r="H337" i="5" s="1"/>
  <c r="C337" i="2"/>
  <c r="E337" i="5" s="1"/>
  <c r="B337" i="2"/>
  <c r="C337" i="5" s="1"/>
  <c r="A337" i="2"/>
  <c r="A337" i="5" s="1"/>
  <c r="B337" i="5" s="1"/>
  <c r="F336" i="2"/>
  <c r="L336" i="5" s="1"/>
  <c r="E336" i="2"/>
  <c r="J336" i="5" s="1"/>
  <c r="D336" i="2"/>
  <c r="H336" i="5" s="1"/>
  <c r="C336" i="2"/>
  <c r="E336" i="5" s="1"/>
  <c r="B336" i="2"/>
  <c r="C336" i="5" s="1"/>
  <c r="A336" i="2"/>
  <c r="A336" i="5" s="1"/>
  <c r="B336" i="5" s="1"/>
  <c r="F335" i="2"/>
  <c r="L335" i="5" s="1"/>
  <c r="E335" i="2"/>
  <c r="J335" i="5" s="1"/>
  <c r="D335" i="2"/>
  <c r="H335" i="5" s="1"/>
  <c r="C335" i="2"/>
  <c r="E335" i="5" s="1"/>
  <c r="B335" i="2"/>
  <c r="C335" i="5" s="1"/>
  <c r="A335" i="2"/>
  <c r="A335" i="5" s="1"/>
  <c r="B335" i="5" s="1"/>
  <c r="F334" i="2"/>
  <c r="L334" i="5" s="1"/>
  <c r="E334" i="2"/>
  <c r="J334" i="5" s="1"/>
  <c r="D334" i="2"/>
  <c r="H334" i="5" s="1"/>
  <c r="C334" i="2"/>
  <c r="E334" i="5" s="1"/>
  <c r="B334" i="2"/>
  <c r="C334" i="5" s="1"/>
  <c r="A334" i="2"/>
  <c r="A334" i="5" s="1"/>
  <c r="B334" i="5" s="1"/>
  <c r="F333" i="2"/>
  <c r="L333" i="5" s="1"/>
  <c r="E333" i="2"/>
  <c r="J333" i="5" s="1"/>
  <c r="D333" i="2"/>
  <c r="H333" i="5" s="1"/>
  <c r="C333" i="2"/>
  <c r="E333" i="5" s="1"/>
  <c r="B333" i="2"/>
  <c r="C333" i="5" s="1"/>
  <c r="A333" i="2"/>
  <c r="A333" i="5" s="1"/>
  <c r="B333" i="5" s="1"/>
  <c r="F332" i="2"/>
  <c r="L332" i="5" s="1"/>
  <c r="E332" i="2"/>
  <c r="J332" i="5" s="1"/>
  <c r="D332" i="2"/>
  <c r="H332" i="5" s="1"/>
  <c r="C332" i="2"/>
  <c r="E332" i="5" s="1"/>
  <c r="B332" i="2"/>
  <c r="C332" i="5" s="1"/>
  <c r="A332" i="2"/>
  <c r="A332" i="5" s="1"/>
  <c r="B332" i="5" s="1"/>
  <c r="F331" i="2"/>
  <c r="L331" i="5" s="1"/>
  <c r="E331" i="2"/>
  <c r="J331" i="5" s="1"/>
  <c r="D331" i="2"/>
  <c r="H331" i="5" s="1"/>
  <c r="C331" i="2"/>
  <c r="E331" i="5" s="1"/>
  <c r="B331" i="2"/>
  <c r="C331" i="5" s="1"/>
  <c r="A331" i="2"/>
  <c r="A331" i="5" s="1"/>
  <c r="B331" i="5" s="1"/>
  <c r="F330" i="2"/>
  <c r="L330" i="5" s="1"/>
  <c r="E330" i="2"/>
  <c r="J330" i="5" s="1"/>
  <c r="D330" i="2"/>
  <c r="H330" i="5" s="1"/>
  <c r="C330" i="2"/>
  <c r="E330" i="5" s="1"/>
  <c r="B330" i="2"/>
  <c r="C330" i="5" s="1"/>
  <c r="A330" i="2"/>
  <c r="A330" i="5" s="1"/>
  <c r="B330" i="5" s="1"/>
  <c r="F329" i="2"/>
  <c r="L329" i="5" s="1"/>
  <c r="E329" i="2"/>
  <c r="J329" i="5" s="1"/>
  <c r="D329" i="2"/>
  <c r="H329" i="5" s="1"/>
  <c r="C329" i="2"/>
  <c r="E329" i="5" s="1"/>
  <c r="B329" i="2"/>
  <c r="C329" i="5" s="1"/>
  <c r="A329" i="2"/>
  <c r="A329" i="5" s="1"/>
  <c r="B329" i="5" s="1"/>
  <c r="F328" i="2"/>
  <c r="L328" i="5" s="1"/>
  <c r="E328" i="2"/>
  <c r="J328" i="5" s="1"/>
  <c r="D328" i="2"/>
  <c r="H328" i="5" s="1"/>
  <c r="C328" i="2"/>
  <c r="E328" i="5" s="1"/>
  <c r="B328" i="2"/>
  <c r="C328" i="5" s="1"/>
  <c r="A328" i="2"/>
  <c r="A328" i="5" s="1"/>
  <c r="B328" i="5" s="1"/>
  <c r="F327" i="2"/>
  <c r="L327" i="5" s="1"/>
  <c r="E327" i="2"/>
  <c r="J327" i="5" s="1"/>
  <c r="D327" i="2"/>
  <c r="H327" i="5" s="1"/>
  <c r="C327" i="2"/>
  <c r="E327" i="5" s="1"/>
  <c r="B327" i="2"/>
  <c r="C327" i="5" s="1"/>
  <c r="A327" i="2"/>
  <c r="A327" i="5" s="1"/>
  <c r="B327" i="5" s="1"/>
  <c r="F326" i="2"/>
  <c r="L326" i="5" s="1"/>
  <c r="E326" i="2"/>
  <c r="J326" i="5" s="1"/>
  <c r="D326" i="2"/>
  <c r="H326" i="5" s="1"/>
  <c r="C326" i="2"/>
  <c r="E326" i="5" s="1"/>
  <c r="B326" i="2"/>
  <c r="C326" i="5" s="1"/>
  <c r="A326" i="2"/>
  <c r="A326" i="5" s="1"/>
  <c r="B326" i="5" s="1"/>
  <c r="F325" i="2"/>
  <c r="L325" i="5" s="1"/>
  <c r="E325" i="2"/>
  <c r="J325" i="5" s="1"/>
  <c r="D325" i="2"/>
  <c r="H325" i="5" s="1"/>
  <c r="C325" i="2"/>
  <c r="E325" i="5" s="1"/>
  <c r="B325" i="2"/>
  <c r="C325" i="5" s="1"/>
  <c r="A325" i="2"/>
  <c r="A325" i="5" s="1"/>
  <c r="B325" i="5" s="1"/>
  <c r="F324" i="2"/>
  <c r="L324" i="5" s="1"/>
  <c r="E324" i="2"/>
  <c r="J324" i="5" s="1"/>
  <c r="D324" i="2"/>
  <c r="H324" i="5" s="1"/>
  <c r="C324" i="2"/>
  <c r="E324" i="5" s="1"/>
  <c r="B324" i="2"/>
  <c r="C324" i="5" s="1"/>
  <c r="A324" i="2"/>
  <c r="A324" i="5" s="1"/>
  <c r="B324" i="5" s="1"/>
  <c r="F323" i="2"/>
  <c r="L323" i="5" s="1"/>
  <c r="E323" i="2"/>
  <c r="J323" i="5" s="1"/>
  <c r="D323" i="2"/>
  <c r="H323" i="5" s="1"/>
  <c r="C323" i="2"/>
  <c r="E323" i="5" s="1"/>
  <c r="B323" i="2"/>
  <c r="C323" i="5" s="1"/>
  <c r="A323" i="2"/>
  <c r="A323" i="5" s="1"/>
  <c r="B323" i="5" s="1"/>
  <c r="F322" i="2"/>
  <c r="L322" i="5" s="1"/>
  <c r="E322" i="2"/>
  <c r="J322" i="5" s="1"/>
  <c r="D322" i="2"/>
  <c r="H322" i="5" s="1"/>
  <c r="C322" i="2"/>
  <c r="E322" i="5" s="1"/>
  <c r="B322" i="2"/>
  <c r="C322" i="5" s="1"/>
  <c r="A322" i="2"/>
  <c r="A322" i="5" s="1"/>
  <c r="B322" i="5" s="1"/>
  <c r="F321" i="2"/>
  <c r="L321" i="5" s="1"/>
  <c r="E321" i="2"/>
  <c r="J321" i="5" s="1"/>
  <c r="D321" i="2"/>
  <c r="H321" i="5" s="1"/>
  <c r="C321" i="2"/>
  <c r="E321" i="5" s="1"/>
  <c r="B321" i="2"/>
  <c r="C321" i="5" s="1"/>
  <c r="A321" i="2"/>
  <c r="A321" i="5" s="1"/>
  <c r="B321" i="5" s="1"/>
  <c r="F320" i="2"/>
  <c r="L320" i="5" s="1"/>
  <c r="E320" i="2"/>
  <c r="J320" i="5" s="1"/>
  <c r="D320" i="2"/>
  <c r="H320" i="5" s="1"/>
  <c r="C320" i="2"/>
  <c r="E320" i="5" s="1"/>
  <c r="B320" i="2"/>
  <c r="C320" i="5" s="1"/>
  <c r="A320" i="2"/>
  <c r="A320" i="5" s="1"/>
  <c r="B320" i="5" s="1"/>
  <c r="F319" i="2"/>
  <c r="L319" i="5" s="1"/>
  <c r="E319" i="2"/>
  <c r="J319" i="5" s="1"/>
  <c r="D319" i="2"/>
  <c r="H319" i="5" s="1"/>
  <c r="C319" i="2"/>
  <c r="E319" i="5" s="1"/>
  <c r="B319" i="2"/>
  <c r="C319" i="5" s="1"/>
  <c r="A319" i="2"/>
  <c r="A319" i="5" s="1"/>
  <c r="B319" i="5" s="1"/>
  <c r="F318" i="2"/>
  <c r="L318" i="5" s="1"/>
  <c r="E318" i="2"/>
  <c r="J318" i="5" s="1"/>
  <c r="D318" i="2"/>
  <c r="H318" i="5" s="1"/>
  <c r="C318" i="2"/>
  <c r="E318" i="5" s="1"/>
  <c r="B318" i="2"/>
  <c r="C318" i="5" s="1"/>
  <c r="A318" i="2"/>
  <c r="A318" i="5" s="1"/>
  <c r="B318" i="5" s="1"/>
  <c r="F317" i="2"/>
  <c r="L317" i="5" s="1"/>
  <c r="E317" i="2"/>
  <c r="J317" i="5" s="1"/>
  <c r="D317" i="2"/>
  <c r="H317" i="5" s="1"/>
  <c r="C317" i="2"/>
  <c r="E317" i="5" s="1"/>
  <c r="B317" i="2"/>
  <c r="C317" i="5" s="1"/>
  <c r="A317" i="2"/>
  <c r="A317" i="5" s="1"/>
  <c r="B317" i="5" s="1"/>
  <c r="F316" i="2"/>
  <c r="L316" i="5" s="1"/>
  <c r="E316" i="2"/>
  <c r="J316" i="5" s="1"/>
  <c r="D316" i="2"/>
  <c r="H316" i="5" s="1"/>
  <c r="C316" i="2"/>
  <c r="E316" i="5" s="1"/>
  <c r="B316" i="2"/>
  <c r="C316" i="5" s="1"/>
  <c r="A316" i="2"/>
  <c r="A316" i="5" s="1"/>
  <c r="B316" i="5" s="1"/>
  <c r="F315" i="2"/>
  <c r="L315" i="5" s="1"/>
  <c r="E315" i="2"/>
  <c r="J315" i="5" s="1"/>
  <c r="D315" i="2"/>
  <c r="H315" i="5" s="1"/>
  <c r="C315" i="2"/>
  <c r="E315" i="5" s="1"/>
  <c r="B315" i="2"/>
  <c r="C315" i="5" s="1"/>
  <c r="A315" i="2"/>
  <c r="A315" i="5" s="1"/>
  <c r="B315" i="5" s="1"/>
  <c r="F314" i="2"/>
  <c r="L314" i="5" s="1"/>
  <c r="E314" i="2"/>
  <c r="J314" i="5" s="1"/>
  <c r="D314" i="2"/>
  <c r="H314" i="5" s="1"/>
  <c r="C314" i="2"/>
  <c r="E314" i="5" s="1"/>
  <c r="B314" i="2"/>
  <c r="C314" i="5" s="1"/>
  <c r="A314" i="2"/>
  <c r="A314" i="5" s="1"/>
  <c r="B314" i="5" s="1"/>
  <c r="F313" i="2"/>
  <c r="L313" i="5" s="1"/>
  <c r="E313" i="2"/>
  <c r="J313" i="5" s="1"/>
  <c r="D313" i="2"/>
  <c r="H313" i="5" s="1"/>
  <c r="C313" i="2"/>
  <c r="E313" i="5" s="1"/>
  <c r="B313" i="2"/>
  <c r="C313" i="5" s="1"/>
  <c r="A313" i="2"/>
  <c r="A313" i="5" s="1"/>
  <c r="B313" i="5" s="1"/>
  <c r="F312" i="2"/>
  <c r="L312" i="5" s="1"/>
  <c r="E312" i="2"/>
  <c r="J312" i="5" s="1"/>
  <c r="D312" i="2"/>
  <c r="H312" i="5" s="1"/>
  <c r="C312" i="2"/>
  <c r="E312" i="5" s="1"/>
  <c r="B312" i="2"/>
  <c r="C312" i="5" s="1"/>
  <c r="A312" i="2"/>
  <c r="A312" i="5" s="1"/>
  <c r="B312" i="5" s="1"/>
  <c r="F311" i="2"/>
  <c r="L311" i="5" s="1"/>
  <c r="E311" i="2"/>
  <c r="J311" i="5" s="1"/>
  <c r="D311" i="2"/>
  <c r="H311" i="5" s="1"/>
  <c r="C311" i="2"/>
  <c r="E311" i="5" s="1"/>
  <c r="B311" i="2"/>
  <c r="C311" i="5" s="1"/>
  <c r="A311" i="2"/>
  <c r="A311" i="5" s="1"/>
  <c r="B311" i="5" s="1"/>
  <c r="F310" i="2"/>
  <c r="L310" i="5" s="1"/>
  <c r="E310" i="2"/>
  <c r="J310" i="5" s="1"/>
  <c r="D310" i="2"/>
  <c r="H310" i="5" s="1"/>
  <c r="C310" i="2"/>
  <c r="E310" i="5" s="1"/>
  <c r="B310" i="2"/>
  <c r="C310" i="5" s="1"/>
  <c r="A310" i="2"/>
  <c r="A310" i="5" s="1"/>
  <c r="B310" i="5" s="1"/>
  <c r="F309" i="2"/>
  <c r="L309" i="5" s="1"/>
  <c r="E309" i="2"/>
  <c r="J309" i="5" s="1"/>
  <c r="D309" i="2"/>
  <c r="H309" i="5" s="1"/>
  <c r="C309" i="2"/>
  <c r="E309" i="5" s="1"/>
  <c r="B309" i="2"/>
  <c r="C309" i="5" s="1"/>
  <c r="A309" i="2"/>
  <c r="A309" i="5" s="1"/>
  <c r="B309" i="5" s="1"/>
  <c r="F308" i="2"/>
  <c r="L308" i="5" s="1"/>
  <c r="E308" i="2"/>
  <c r="J308" i="5" s="1"/>
  <c r="D308" i="2"/>
  <c r="H308" i="5" s="1"/>
  <c r="C308" i="2"/>
  <c r="E308" i="5" s="1"/>
  <c r="B308" i="2"/>
  <c r="C308" i="5" s="1"/>
  <c r="A308" i="2"/>
  <c r="A308" i="5" s="1"/>
  <c r="B308" i="5" s="1"/>
  <c r="F307" i="2"/>
  <c r="L307" i="5" s="1"/>
  <c r="E307" i="2"/>
  <c r="J307" i="5" s="1"/>
  <c r="D307" i="2"/>
  <c r="H307" i="5" s="1"/>
  <c r="C307" i="2"/>
  <c r="E307" i="5" s="1"/>
  <c r="B307" i="2"/>
  <c r="C307" i="5" s="1"/>
  <c r="A307" i="2"/>
  <c r="A307" i="5" s="1"/>
  <c r="B307" i="5" s="1"/>
  <c r="F306" i="2"/>
  <c r="L306" i="5" s="1"/>
  <c r="E306" i="2"/>
  <c r="J306" i="5" s="1"/>
  <c r="D306" i="2"/>
  <c r="H306" i="5" s="1"/>
  <c r="C306" i="2"/>
  <c r="E306" i="5" s="1"/>
  <c r="B306" i="2"/>
  <c r="C306" i="5" s="1"/>
  <c r="A306" i="2"/>
  <c r="A306" i="5" s="1"/>
  <c r="B306" i="5" s="1"/>
  <c r="F305" i="2"/>
  <c r="L305" i="5" s="1"/>
  <c r="E305" i="2"/>
  <c r="J305" i="5" s="1"/>
  <c r="D305" i="2"/>
  <c r="H305" i="5" s="1"/>
  <c r="C305" i="2"/>
  <c r="E305" i="5" s="1"/>
  <c r="B305" i="2"/>
  <c r="C305" i="5" s="1"/>
  <c r="A305" i="2"/>
  <c r="A305" i="5" s="1"/>
  <c r="B305" i="5" s="1"/>
  <c r="F304" i="2"/>
  <c r="L304" i="5" s="1"/>
  <c r="E304" i="2"/>
  <c r="J304" i="5" s="1"/>
  <c r="D304" i="2"/>
  <c r="H304" i="5" s="1"/>
  <c r="C304" i="2"/>
  <c r="E304" i="5" s="1"/>
  <c r="B304" i="2"/>
  <c r="C304" i="5" s="1"/>
  <c r="A304" i="2"/>
  <c r="A304" i="5" s="1"/>
  <c r="B304" i="5" s="1"/>
  <c r="F303" i="2"/>
  <c r="L303" i="5" s="1"/>
  <c r="E303" i="2"/>
  <c r="J303" i="5" s="1"/>
  <c r="D303" i="2"/>
  <c r="H303" i="5" s="1"/>
  <c r="C303" i="2"/>
  <c r="E303" i="5" s="1"/>
  <c r="B303" i="2"/>
  <c r="C303" i="5" s="1"/>
  <c r="A303" i="2"/>
  <c r="A303" i="5" s="1"/>
  <c r="B303" i="5" s="1"/>
  <c r="F302" i="2"/>
  <c r="L302" i="5" s="1"/>
  <c r="E302" i="2"/>
  <c r="J302" i="5" s="1"/>
  <c r="D302" i="2"/>
  <c r="H302" i="5" s="1"/>
  <c r="C302" i="2"/>
  <c r="E302" i="5" s="1"/>
  <c r="B302" i="2"/>
  <c r="C302" i="5" s="1"/>
  <c r="A302" i="2"/>
  <c r="A302" i="5" s="1"/>
  <c r="B302" i="5" s="1"/>
  <c r="F301" i="2"/>
  <c r="L301" i="5" s="1"/>
  <c r="E301" i="2"/>
  <c r="J301" i="5" s="1"/>
  <c r="D301" i="2"/>
  <c r="H301" i="5" s="1"/>
  <c r="C301" i="2"/>
  <c r="E301" i="5" s="1"/>
  <c r="B301" i="2"/>
  <c r="C301" i="5" s="1"/>
  <c r="A301" i="2"/>
  <c r="A301" i="5" s="1"/>
  <c r="B301" i="5" s="1"/>
  <c r="F300" i="2"/>
  <c r="L300" i="5" s="1"/>
  <c r="E300" i="2"/>
  <c r="J300" i="5" s="1"/>
  <c r="D300" i="2"/>
  <c r="H300" i="5" s="1"/>
  <c r="C300" i="2"/>
  <c r="E300" i="5" s="1"/>
  <c r="B300" i="2"/>
  <c r="C300" i="5" s="1"/>
  <c r="A300" i="2"/>
  <c r="A300" i="5" s="1"/>
  <c r="B300" i="5" s="1"/>
  <c r="F299" i="2"/>
  <c r="L299" i="5" s="1"/>
  <c r="E299" i="2"/>
  <c r="J299" i="5" s="1"/>
  <c r="D299" i="2"/>
  <c r="H299" i="5" s="1"/>
  <c r="C299" i="2"/>
  <c r="E299" i="5" s="1"/>
  <c r="B299" i="2"/>
  <c r="C299" i="5" s="1"/>
  <c r="A299" i="2"/>
  <c r="A299" i="5" s="1"/>
  <c r="B299" i="5" s="1"/>
  <c r="F298" i="2"/>
  <c r="L298" i="5" s="1"/>
  <c r="E298" i="2"/>
  <c r="J298" i="5" s="1"/>
  <c r="D298" i="2"/>
  <c r="H298" i="5" s="1"/>
  <c r="C298" i="2"/>
  <c r="E298" i="5" s="1"/>
  <c r="B298" i="2"/>
  <c r="C298" i="5" s="1"/>
  <c r="A298" i="2"/>
  <c r="A298" i="5" s="1"/>
  <c r="B298" i="5" s="1"/>
  <c r="F297" i="2"/>
  <c r="L297" i="5" s="1"/>
  <c r="E297" i="2"/>
  <c r="J297" i="5" s="1"/>
  <c r="D297" i="2"/>
  <c r="H297" i="5" s="1"/>
  <c r="C297" i="2"/>
  <c r="E297" i="5" s="1"/>
  <c r="B297" i="2"/>
  <c r="C297" i="5" s="1"/>
  <c r="A297" i="2"/>
  <c r="A297" i="5" s="1"/>
  <c r="B297" i="5" s="1"/>
  <c r="F296" i="2"/>
  <c r="L296" i="5" s="1"/>
  <c r="E296" i="2"/>
  <c r="J296" i="5" s="1"/>
  <c r="D296" i="2"/>
  <c r="H296" i="5" s="1"/>
  <c r="C296" i="2"/>
  <c r="E296" i="5" s="1"/>
  <c r="B296" i="2"/>
  <c r="C296" i="5" s="1"/>
  <c r="A296" i="2"/>
  <c r="A296" i="5" s="1"/>
  <c r="B296" i="5" s="1"/>
  <c r="F295" i="2"/>
  <c r="L295" i="5" s="1"/>
  <c r="E295" i="2"/>
  <c r="J295" i="5" s="1"/>
  <c r="D295" i="2"/>
  <c r="H295" i="5" s="1"/>
  <c r="C295" i="2"/>
  <c r="E295" i="5" s="1"/>
  <c r="B295" i="2"/>
  <c r="C295" i="5" s="1"/>
  <c r="A295" i="2"/>
  <c r="A295" i="5" s="1"/>
  <c r="B295" i="5" s="1"/>
  <c r="F294" i="2"/>
  <c r="L294" i="5" s="1"/>
  <c r="E294" i="2"/>
  <c r="J294" i="5" s="1"/>
  <c r="D294" i="2"/>
  <c r="H294" i="5" s="1"/>
  <c r="C294" i="2"/>
  <c r="E294" i="5" s="1"/>
  <c r="B294" i="2"/>
  <c r="C294" i="5" s="1"/>
  <c r="A294" i="2"/>
  <c r="A294" i="5" s="1"/>
  <c r="B294" i="5" s="1"/>
  <c r="F293" i="2"/>
  <c r="L293" i="5" s="1"/>
  <c r="E293" i="2"/>
  <c r="J293" i="5" s="1"/>
  <c r="D293" i="2"/>
  <c r="H293" i="5" s="1"/>
  <c r="C293" i="2"/>
  <c r="E293" i="5" s="1"/>
  <c r="B293" i="2"/>
  <c r="C293" i="5" s="1"/>
  <c r="A293" i="2"/>
  <c r="A293" i="5" s="1"/>
  <c r="B293" i="5" s="1"/>
  <c r="F292" i="2"/>
  <c r="L292" i="5" s="1"/>
  <c r="E292" i="2"/>
  <c r="J292" i="5" s="1"/>
  <c r="D292" i="2"/>
  <c r="H292" i="5" s="1"/>
  <c r="C292" i="2"/>
  <c r="E292" i="5" s="1"/>
  <c r="B292" i="2"/>
  <c r="C292" i="5" s="1"/>
  <c r="A292" i="2"/>
  <c r="A292" i="5" s="1"/>
  <c r="B292" i="5" s="1"/>
  <c r="F291" i="2"/>
  <c r="L291" i="5" s="1"/>
  <c r="E291" i="2"/>
  <c r="J291" i="5" s="1"/>
  <c r="D291" i="2"/>
  <c r="H291" i="5" s="1"/>
  <c r="C291" i="2"/>
  <c r="E291" i="5" s="1"/>
  <c r="B291" i="2"/>
  <c r="C291" i="5" s="1"/>
  <c r="A291" i="2"/>
  <c r="A291" i="5" s="1"/>
  <c r="B291" i="5" s="1"/>
  <c r="F290" i="2"/>
  <c r="L290" i="5" s="1"/>
  <c r="E290" i="2"/>
  <c r="J290" i="5" s="1"/>
  <c r="D290" i="2"/>
  <c r="H290" i="5" s="1"/>
  <c r="C290" i="2"/>
  <c r="E290" i="5" s="1"/>
  <c r="B290" i="2"/>
  <c r="C290" i="5" s="1"/>
  <c r="A290" i="2"/>
  <c r="A290" i="5" s="1"/>
  <c r="B290" i="5" s="1"/>
  <c r="F289" i="2"/>
  <c r="L289" i="5" s="1"/>
  <c r="E289" i="2"/>
  <c r="J289" i="5" s="1"/>
  <c r="D289" i="2"/>
  <c r="H289" i="5" s="1"/>
  <c r="C289" i="2"/>
  <c r="E289" i="5" s="1"/>
  <c r="B289" i="2"/>
  <c r="C289" i="5" s="1"/>
  <c r="A289" i="2"/>
  <c r="A289" i="5" s="1"/>
  <c r="B289" i="5" s="1"/>
  <c r="F288" i="2"/>
  <c r="L288" i="5" s="1"/>
  <c r="E288" i="2"/>
  <c r="J288" i="5" s="1"/>
  <c r="D288" i="2"/>
  <c r="H288" i="5" s="1"/>
  <c r="C288" i="2"/>
  <c r="E288" i="5" s="1"/>
  <c r="B288" i="2"/>
  <c r="C288" i="5" s="1"/>
  <c r="A288" i="2"/>
  <c r="A288" i="5" s="1"/>
  <c r="B288" i="5" s="1"/>
  <c r="F287" i="2"/>
  <c r="L287" i="5" s="1"/>
  <c r="E287" i="2"/>
  <c r="J287" i="5" s="1"/>
  <c r="D287" i="2"/>
  <c r="H287" i="5" s="1"/>
  <c r="C287" i="2"/>
  <c r="E287" i="5" s="1"/>
  <c r="B287" i="2"/>
  <c r="C287" i="5" s="1"/>
  <c r="A287" i="2"/>
  <c r="A287" i="5" s="1"/>
  <c r="B287" i="5" s="1"/>
  <c r="F286" i="2"/>
  <c r="L286" i="5" s="1"/>
  <c r="E286" i="2"/>
  <c r="J286" i="5" s="1"/>
  <c r="D286" i="2"/>
  <c r="H286" i="5" s="1"/>
  <c r="C286" i="2"/>
  <c r="E286" i="5" s="1"/>
  <c r="B286" i="2"/>
  <c r="C286" i="5" s="1"/>
  <c r="A286" i="2"/>
  <c r="A286" i="5" s="1"/>
  <c r="B286" i="5" s="1"/>
  <c r="F285" i="2"/>
  <c r="L285" i="5" s="1"/>
  <c r="E285" i="2"/>
  <c r="J285" i="5" s="1"/>
  <c r="D285" i="2"/>
  <c r="H285" i="5" s="1"/>
  <c r="C285" i="2"/>
  <c r="E285" i="5" s="1"/>
  <c r="B285" i="2"/>
  <c r="C285" i="5" s="1"/>
  <c r="A285" i="2"/>
  <c r="A285" i="5" s="1"/>
  <c r="B285" i="5" s="1"/>
  <c r="F284" i="2"/>
  <c r="L284" i="5" s="1"/>
  <c r="E284" i="2"/>
  <c r="J284" i="5" s="1"/>
  <c r="D284" i="2"/>
  <c r="H284" i="5" s="1"/>
  <c r="C284" i="2"/>
  <c r="E284" i="5" s="1"/>
  <c r="B284" i="2"/>
  <c r="C284" i="5" s="1"/>
  <c r="A284" i="2"/>
  <c r="A284" i="5" s="1"/>
  <c r="B284" i="5" s="1"/>
  <c r="F283" i="2"/>
  <c r="L283" i="5" s="1"/>
  <c r="E283" i="2"/>
  <c r="J283" i="5" s="1"/>
  <c r="D283" i="2"/>
  <c r="H283" i="5" s="1"/>
  <c r="C283" i="2"/>
  <c r="E283" i="5" s="1"/>
  <c r="B283" i="2"/>
  <c r="C283" i="5" s="1"/>
  <c r="A283" i="2"/>
  <c r="A283" i="5" s="1"/>
  <c r="B283" i="5" s="1"/>
  <c r="F282" i="2"/>
  <c r="L282" i="5" s="1"/>
  <c r="E282" i="2"/>
  <c r="J282" i="5" s="1"/>
  <c r="D282" i="2"/>
  <c r="H282" i="5" s="1"/>
  <c r="C282" i="2"/>
  <c r="E282" i="5" s="1"/>
  <c r="B282" i="2"/>
  <c r="C282" i="5" s="1"/>
  <c r="A282" i="2"/>
  <c r="A282" i="5" s="1"/>
  <c r="B282" i="5" s="1"/>
  <c r="F281" i="2"/>
  <c r="L281" i="5" s="1"/>
  <c r="E281" i="2"/>
  <c r="J281" i="5" s="1"/>
  <c r="D281" i="2"/>
  <c r="H281" i="5" s="1"/>
  <c r="C281" i="2"/>
  <c r="E281" i="5" s="1"/>
  <c r="B281" i="2"/>
  <c r="C281" i="5" s="1"/>
  <c r="A281" i="2"/>
  <c r="A281" i="5" s="1"/>
  <c r="B281" i="5" s="1"/>
  <c r="F280" i="2"/>
  <c r="L280" i="5" s="1"/>
  <c r="E280" i="2"/>
  <c r="J280" i="5" s="1"/>
  <c r="D280" i="2"/>
  <c r="H280" i="5" s="1"/>
  <c r="C280" i="2"/>
  <c r="E280" i="5" s="1"/>
  <c r="B280" i="2"/>
  <c r="C280" i="5" s="1"/>
  <c r="A280" i="2"/>
  <c r="A280" i="5" s="1"/>
  <c r="B280" i="5" s="1"/>
  <c r="F279" i="2"/>
  <c r="L279" i="5" s="1"/>
  <c r="E279" i="2"/>
  <c r="J279" i="5" s="1"/>
  <c r="D279" i="2"/>
  <c r="H279" i="5" s="1"/>
  <c r="C279" i="2"/>
  <c r="E279" i="5" s="1"/>
  <c r="B279" i="2"/>
  <c r="C279" i="5" s="1"/>
  <c r="A279" i="2"/>
  <c r="A279" i="5" s="1"/>
  <c r="B279" i="5" s="1"/>
  <c r="F278" i="2"/>
  <c r="L278" i="5" s="1"/>
  <c r="E278" i="2"/>
  <c r="J278" i="5" s="1"/>
  <c r="D278" i="2"/>
  <c r="H278" i="5" s="1"/>
  <c r="C278" i="2"/>
  <c r="E278" i="5" s="1"/>
  <c r="B278" i="2"/>
  <c r="C278" i="5" s="1"/>
  <c r="A278" i="2"/>
  <c r="A278" i="5" s="1"/>
  <c r="B278" i="5" s="1"/>
  <c r="F277" i="2"/>
  <c r="L277" i="5" s="1"/>
  <c r="E277" i="2"/>
  <c r="J277" i="5" s="1"/>
  <c r="D277" i="2"/>
  <c r="H277" i="5" s="1"/>
  <c r="C277" i="2"/>
  <c r="E277" i="5" s="1"/>
  <c r="B277" i="2"/>
  <c r="C277" i="5" s="1"/>
  <c r="A277" i="2"/>
  <c r="A277" i="5" s="1"/>
  <c r="B277" i="5" s="1"/>
  <c r="F276" i="2"/>
  <c r="L276" i="5" s="1"/>
  <c r="E276" i="2"/>
  <c r="J276" i="5" s="1"/>
  <c r="D276" i="2"/>
  <c r="H276" i="5" s="1"/>
  <c r="C276" i="2"/>
  <c r="E276" i="5" s="1"/>
  <c r="B276" i="2"/>
  <c r="C276" i="5" s="1"/>
  <c r="A276" i="2"/>
  <c r="A276" i="5" s="1"/>
  <c r="B276" i="5" s="1"/>
  <c r="F275" i="2"/>
  <c r="L275" i="5" s="1"/>
  <c r="E275" i="2"/>
  <c r="J275" i="5" s="1"/>
  <c r="D275" i="2"/>
  <c r="H275" i="5" s="1"/>
  <c r="C275" i="2"/>
  <c r="E275" i="5" s="1"/>
  <c r="B275" i="2"/>
  <c r="C275" i="5" s="1"/>
  <c r="A275" i="2"/>
  <c r="A275" i="5" s="1"/>
  <c r="B275" i="5" s="1"/>
  <c r="F274" i="2"/>
  <c r="L274" i="5" s="1"/>
  <c r="E274" i="2"/>
  <c r="J274" i="5" s="1"/>
  <c r="D274" i="2"/>
  <c r="H274" i="5" s="1"/>
  <c r="C274" i="2"/>
  <c r="E274" i="5" s="1"/>
  <c r="B274" i="2"/>
  <c r="C274" i="5" s="1"/>
  <c r="A274" i="2"/>
  <c r="A274" i="5" s="1"/>
  <c r="B274" i="5" s="1"/>
  <c r="F273" i="2"/>
  <c r="L273" i="5" s="1"/>
  <c r="E273" i="2"/>
  <c r="J273" i="5" s="1"/>
  <c r="D273" i="2"/>
  <c r="H273" i="5" s="1"/>
  <c r="C273" i="2"/>
  <c r="E273" i="5" s="1"/>
  <c r="B273" i="2"/>
  <c r="C273" i="5" s="1"/>
  <c r="A273" i="2"/>
  <c r="A273" i="5" s="1"/>
  <c r="B273" i="5" s="1"/>
  <c r="F272" i="2"/>
  <c r="L272" i="5" s="1"/>
  <c r="E272" i="2"/>
  <c r="J272" i="5" s="1"/>
  <c r="D272" i="2"/>
  <c r="H272" i="5" s="1"/>
  <c r="C272" i="2"/>
  <c r="E272" i="5" s="1"/>
  <c r="B272" i="2"/>
  <c r="C272" i="5" s="1"/>
  <c r="A272" i="2"/>
  <c r="A272" i="5" s="1"/>
  <c r="B272" i="5" s="1"/>
  <c r="F271" i="2"/>
  <c r="L271" i="5" s="1"/>
  <c r="E271" i="2"/>
  <c r="J271" i="5" s="1"/>
  <c r="D271" i="2"/>
  <c r="H271" i="5" s="1"/>
  <c r="C271" i="2"/>
  <c r="E271" i="5" s="1"/>
  <c r="B271" i="2"/>
  <c r="C271" i="5" s="1"/>
  <c r="A271" i="2"/>
  <c r="A271" i="5" s="1"/>
  <c r="B271" i="5" s="1"/>
  <c r="F270" i="2"/>
  <c r="L270" i="5" s="1"/>
  <c r="E270" i="2"/>
  <c r="J270" i="5" s="1"/>
  <c r="D270" i="2"/>
  <c r="H270" i="5" s="1"/>
  <c r="C270" i="2"/>
  <c r="E270" i="5" s="1"/>
  <c r="B270" i="2"/>
  <c r="C270" i="5" s="1"/>
  <c r="A270" i="2"/>
  <c r="A270" i="5" s="1"/>
  <c r="B270" i="5" s="1"/>
  <c r="F269" i="2"/>
  <c r="L269" i="5" s="1"/>
  <c r="E269" i="2"/>
  <c r="J269" i="5" s="1"/>
  <c r="D269" i="2"/>
  <c r="H269" i="5" s="1"/>
  <c r="C269" i="2"/>
  <c r="E269" i="5" s="1"/>
  <c r="B269" i="2"/>
  <c r="C269" i="5" s="1"/>
  <c r="A269" i="2"/>
  <c r="A269" i="5" s="1"/>
  <c r="B269" i="5" s="1"/>
  <c r="F268" i="2"/>
  <c r="L268" i="5" s="1"/>
  <c r="E268" i="2"/>
  <c r="J268" i="5" s="1"/>
  <c r="D268" i="2"/>
  <c r="H268" i="5" s="1"/>
  <c r="C268" i="2"/>
  <c r="E268" i="5" s="1"/>
  <c r="B268" i="2"/>
  <c r="C268" i="5" s="1"/>
  <c r="A268" i="2"/>
  <c r="A268" i="5" s="1"/>
  <c r="B268" i="5" s="1"/>
  <c r="F267" i="2"/>
  <c r="L267" i="5" s="1"/>
  <c r="E267" i="2"/>
  <c r="J267" i="5" s="1"/>
  <c r="D267" i="2"/>
  <c r="H267" i="5" s="1"/>
  <c r="C267" i="2"/>
  <c r="E267" i="5" s="1"/>
  <c r="B267" i="2"/>
  <c r="C267" i="5" s="1"/>
  <c r="A267" i="2"/>
  <c r="A267" i="5" s="1"/>
  <c r="B267" i="5" s="1"/>
  <c r="F266" i="2"/>
  <c r="L266" i="5" s="1"/>
  <c r="E266" i="2"/>
  <c r="J266" i="5" s="1"/>
  <c r="D266" i="2"/>
  <c r="H266" i="5" s="1"/>
  <c r="C266" i="2"/>
  <c r="E266" i="5" s="1"/>
  <c r="B266" i="2"/>
  <c r="C266" i="5" s="1"/>
  <c r="A266" i="2"/>
  <c r="A266" i="5" s="1"/>
  <c r="B266" i="5" s="1"/>
  <c r="F265" i="2"/>
  <c r="L265" i="5" s="1"/>
  <c r="E265" i="2"/>
  <c r="J265" i="5" s="1"/>
  <c r="D265" i="2"/>
  <c r="H265" i="5" s="1"/>
  <c r="C265" i="2"/>
  <c r="E265" i="5" s="1"/>
  <c r="B265" i="2"/>
  <c r="C265" i="5" s="1"/>
  <c r="A265" i="2"/>
  <c r="A265" i="5" s="1"/>
  <c r="B265" i="5" s="1"/>
  <c r="F264" i="2"/>
  <c r="L264" i="5" s="1"/>
  <c r="E264" i="2"/>
  <c r="J264" i="5" s="1"/>
  <c r="D264" i="2"/>
  <c r="H264" i="5" s="1"/>
  <c r="C264" i="2"/>
  <c r="E264" i="5" s="1"/>
  <c r="B264" i="2"/>
  <c r="C264" i="5" s="1"/>
  <c r="A264" i="2"/>
  <c r="A264" i="5" s="1"/>
  <c r="B264" i="5" s="1"/>
  <c r="F263" i="2"/>
  <c r="L263" i="5" s="1"/>
  <c r="E263" i="2"/>
  <c r="J263" i="5" s="1"/>
  <c r="D263" i="2"/>
  <c r="H263" i="5" s="1"/>
  <c r="C263" i="2"/>
  <c r="E263" i="5" s="1"/>
  <c r="B263" i="2"/>
  <c r="C263" i="5" s="1"/>
  <c r="A263" i="2"/>
  <c r="A263" i="5" s="1"/>
  <c r="B263" i="5" s="1"/>
  <c r="F262" i="2"/>
  <c r="L262" i="5" s="1"/>
  <c r="E262" i="2"/>
  <c r="J262" i="5" s="1"/>
  <c r="D262" i="2"/>
  <c r="H262" i="5" s="1"/>
  <c r="C262" i="2"/>
  <c r="E262" i="5" s="1"/>
  <c r="B262" i="2"/>
  <c r="C262" i="5" s="1"/>
  <c r="A262" i="2"/>
  <c r="A262" i="5" s="1"/>
  <c r="B262" i="5" s="1"/>
  <c r="F261" i="2"/>
  <c r="L261" i="5" s="1"/>
  <c r="E261" i="2"/>
  <c r="J261" i="5" s="1"/>
  <c r="D261" i="2"/>
  <c r="H261" i="5" s="1"/>
  <c r="C261" i="2"/>
  <c r="E261" i="5" s="1"/>
  <c r="B261" i="2"/>
  <c r="C261" i="5" s="1"/>
  <c r="A261" i="2"/>
  <c r="A261" i="5" s="1"/>
  <c r="B261" i="5" s="1"/>
  <c r="F260" i="2"/>
  <c r="L260" i="5" s="1"/>
  <c r="E260" i="2"/>
  <c r="J260" i="5" s="1"/>
  <c r="D260" i="2"/>
  <c r="H260" i="5" s="1"/>
  <c r="C260" i="2"/>
  <c r="E260" i="5" s="1"/>
  <c r="B260" i="2"/>
  <c r="C260" i="5" s="1"/>
  <c r="A260" i="2"/>
  <c r="A260" i="5" s="1"/>
  <c r="B260" i="5" s="1"/>
  <c r="F259" i="2"/>
  <c r="L259" i="5" s="1"/>
  <c r="E259" i="2"/>
  <c r="J259" i="5" s="1"/>
  <c r="D259" i="2"/>
  <c r="H259" i="5" s="1"/>
  <c r="C259" i="2"/>
  <c r="E259" i="5" s="1"/>
  <c r="B259" i="2"/>
  <c r="C259" i="5" s="1"/>
  <c r="A259" i="2"/>
  <c r="A259" i="5" s="1"/>
  <c r="B259" i="5" s="1"/>
  <c r="F258" i="2"/>
  <c r="L258" i="5" s="1"/>
  <c r="E258" i="2"/>
  <c r="J258" i="5" s="1"/>
  <c r="D258" i="2"/>
  <c r="H258" i="5" s="1"/>
  <c r="C258" i="2"/>
  <c r="E258" i="5" s="1"/>
  <c r="B258" i="2"/>
  <c r="C258" i="5" s="1"/>
  <c r="A258" i="2"/>
  <c r="A258" i="5" s="1"/>
  <c r="B258" i="5" s="1"/>
  <c r="F257" i="2"/>
  <c r="L257" i="5" s="1"/>
  <c r="E257" i="2"/>
  <c r="J257" i="5" s="1"/>
  <c r="D257" i="2"/>
  <c r="H257" i="5" s="1"/>
  <c r="C257" i="2"/>
  <c r="E257" i="5" s="1"/>
  <c r="B257" i="2"/>
  <c r="C257" i="5" s="1"/>
  <c r="A257" i="2"/>
  <c r="A257" i="5" s="1"/>
  <c r="B257" i="5" s="1"/>
  <c r="F256" i="2"/>
  <c r="L256" i="5" s="1"/>
  <c r="E256" i="2"/>
  <c r="J256" i="5" s="1"/>
  <c r="D256" i="2"/>
  <c r="H256" i="5" s="1"/>
  <c r="C256" i="2"/>
  <c r="E256" i="5" s="1"/>
  <c r="B256" i="2"/>
  <c r="C256" i="5" s="1"/>
  <c r="A256" i="2"/>
  <c r="A256" i="5" s="1"/>
  <c r="B256" i="5" s="1"/>
  <c r="F255" i="2"/>
  <c r="L255" i="5" s="1"/>
  <c r="E255" i="2"/>
  <c r="J255" i="5" s="1"/>
  <c r="D255" i="2"/>
  <c r="H255" i="5" s="1"/>
  <c r="C255" i="2"/>
  <c r="E255" i="5" s="1"/>
  <c r="B255" i="2"/>
  <c r="C255" i="5" s="1"/>
  <c r="A255" i="2"/>
  <c r="A255" i="5" s="1"/>
  <c r="B255" i="5" s="1"/>
  <c r="F254" i="2"/>
  <c r="L254" i="5" s="1"/>
  <c r="E254" i="2"/>
  <c r="J254" i="5" s="1"/>
  <c r="D254" i="2"/>
  <c r="H254" i="5" s="1"/>
  <c r="C254" i="2"/>
  <c r="E254" i="5" s="1"/>
  <c r="B254" i="2"/>
  <c r="C254" i="5" s="1"/>
  <c r="A254" i="2"/>
  <c r="A254" i="5" s="1"/>
  <c r="B254" i="5" s="1"/>
  <c r="F253" i="2"/>
  <c r="L253" i="5" s="1"/>
  <c r="E253" i="2"/>
  <c r="J253" i="5" s="1"/>
  <c r="D253" i="2"/>
  <c r="H253" i="5" s="1"/>
  <c r="C253" i="2"/>
  <c r="E253" i="5" s="1"/>
  <c r="B253" i="2"/>
  <c r="C253" i="5" s="1"/>
  <c r="A253" i="2"/>
  <c r="A253" i="5" s="1"/>
  <c r="B253" i="5" s="1"/>
  <c r="F252" i="2"/>
  <c r="L252" i="5" s="1"/>
  <c r="E252" i="2"/>
  <c r="J252" i="5" s="1"/>
  <c r="D252" i="2"/>
  <c r="H252" i="5" s="1"/>
  <c r="C252" i="2"/>
  <c r="E252" i="5" s="1"/>
  <c r="B252" i="2"/>
  <c r="C252" i="5" s="1"/>
  <c r="A252" i="2"/>
  <c r="A252" i="5" s="1"/>
  <c r="B252" i="5" s="1"/>
  <c r="F251" i="2"/>
  <c r="L251" i="5" s="1"/>
  <c r="E251" i="2"/>
  <c r="J251" i="5" s="1"/>
  <c r="D251" i="2"/>
  <c r="H251" i="5" s="1"/>
  <c r="C251" i="2"/>
  <c r="E251" i="5" s="1"/>
  <c r="B251" i="2"/>
  <c r="C251" i="5" s="1"/>
  <c r="A251" i="2"/>
  <c r="A251" i="5" s="1"/>
  <c r="B251" i="5" s="1"/>
  <c r="F250" i="2"/>
  <c r="L250" i="5" s="1"/>
  <c r="E250" i="2"/>
  <c r="J250" i="5" s="1"/>
  <c r="D250" i="2"/>
  <c r="H250" i="5" s="1"/>
  <c r="C250" i="2"/>
  <c r="E250" i="5" s="1"/>
  <c r="B250" i="2"/>
  <c r="C250" i="5" s="1"/>
  <c r="A250" i="2"/>
  <c r="A250" i="5" s="1"/>
  <c r="B250" i="5" s="1"/>
  <c r="F249" i="2"/>
  <c r="L249" i="5" s="1"/>
  <c r="E249" i="2"/>
  <c r="J249" i="5" s="1"/>
  <c r="D249" i="2"/>
  <c r="H249" i="5" s="1"/>
  <c r="C249" i="2"/>
  <c r="E249" i="5" s="1"/>
  <c r="B249" i="2"/>
  <c r="C249" i="5" s="1"/>
  <c r="A249" i="2"/>
  <c r="A249" i="5" s="1"/>
  <c r="B249" i="5" s="1"/>
  <c r="F248" i="2"/>
  <c r="L248" i="5" s="1"/>
  <c r="E248" i="2"/>
  <c r="J248" i="5" s="1"/>
  <c r="D248" i="2"/>
  <c r="H248" i="5" s="1"/>
  <c r="C248" i="2"/>
  <c r="E248" i="5" s="1"/>
  <c r="B248" i="2"/>
  <c r="C248" i="5" s="1"/>
  <c r="A248" i="2"/>
  <c r="A248" i="5" s="1"/>
  <c r="B248" i="5" s="1"/>
  <c r="F247" i="2"/>
  <c r="L247" i="5" s="1"/>
  <c r="E247" i="2"/>
  <c r="J247" i="5" s="1"/>
  <c r="D247" i="2"/>
  <c r="H247" i="5" s="1"/>
  <c r="C247" i="2"/>
  <c r="E247" i="5" s="1"/>
  <c r="B247" i="2"/>
  <c r="C247" i="5" s="1"/>
  <c r="A247" i="2"/>
  <c r="A247" i="5" s="1"/>
  <c r="B247" i="5" s="1"/>
  <c r="F246" i="2"/>
  <c r="L246" i="5" s="1"/>
  <c r="E246" i="2"/>
  <c r="J246" i="5" s="1"/>
  <c r="D246" i="2"/>
  <c r="H246" i="5" s="1"/>
  <c r="C246" i="2"/>
  <c r="E246" i="5" s="1"/>
  <c r="B246" i="2"/>
  <c r="C246" i="5" s="1"/>
  <c r="A246" i="2"/>
  <c r="A246" i="5" s="1"/>
  <c r="B246" i="5" s="1"/>
  <c r="F245" i="2"/>
  <c r="L245" i="5" s="1"/>
  <c r="E245" i="2"/>
  <c r="J245" i="5" s="1"/>
  <c r="D245" i="2"/>
  <c r="H245" i="5" s="1"/>
  <c r="C245" i="2"/>
  <c r="E245" i="5" s="1"/>
  <c r="B245" i="2"/>
  <c r="C245" i="5" s="1"/>
  <c r="A245" i="2"/>
  <c r="A245" i="5" s="1"/>
  <c r="B245" i="5" s="1"/>
  <c r="F244" i="2"/>
  <c r="L244" i="5" s="1"/>
  <c r="E244" i="2"/>
  <c r="J244" i="5" s="1"/>
  <c r="D244" i="2"/>
  <c r="H244" i="5" s="1"/>
  <c r="C244" i="2"/>
  <c r="E244" i="5" s="1"/>
  <c r="B244" i="2"/>
  <c r="C244" i="5" s="1"/>
  <c r="A244" i="2"/>
  <c r="A244" i="5" s="1"/>
  <c r="B244" i="5" s="1"/>
  <c r="F243" i="2"/>
  <c r="L243" i="5" s="1"/>
  <c r="E243" i="2"/>
  <c r="J243" i="5" s="1"/>
  <c r="D243" i="2"/>
  <c r="H243" i="5" s="1"/>
  <c r="C243" i="2"/>
  <c r="E243" i="5" s="1"/>
  <c r="B243" i="2"/>
  <c r="C243" i="5" s="1"/>
  <c r="A243" i="2"/>
  <c r="A243" i="5" s="1"/>
  <c r="B243" i="5" s="1"/>
  <c r="F242" i="2"/>
  <c r="L242" i="5" s="1"/>
  <c r="E242" i="2"/>
  <c r="J242" i="5" s="1"/>
  <c r="D242" i="2"/>
  <c r="H242" i="5" s="1"/>
  <c r="C242" i="2"/>
  <c r="E242" i="5" s="1"/>
  <c r="B242" i="2"/>
  <c r="C242" i="5" s="1"/>
  <c r="A242" i="2"/>
  <c r="A242" i="5" s="1"/>
  <c r="B242" i="5" s="1"/>
  <c r="F241" i="2"/>
  <c r="L241" i="5" s="1"/>
  <c r="E241" i="2"/>
  <c r="J241" i="5" s="1"/>
  <c r="D241" i="2"/>
  <c r="H241" i="5" s="1"/>
  <c r="C241" i="2"/>
  <c r="E241" i="5" s="1"/>
  <c r="B241" i="2"/>
  <c r="C241" i="5" s="1"/>
  <c r="A241" i="2"/>
  <c r="A241" i="5" s="1"/>
  <c r="B241" i="5" s="1"/>
  <c r="F240" i="2"/>
  <c r="L240" i="5" s="1"/>
  <c r="E240" i="2"/>
  <c r="J240" i="5" s="1"/>
  <c r="D240" i="2"/>
  <c r="H240" i="5" s="1"/>
  <c r="C240" i="2"/>
  <c r="E240" i="5" s="1"/>
  <c r="B240" i="2"/>
  <c r="C240" i="5" s="1"/>
  <c r="A240" i="2"/>
  <c r="A240" i="5" s="1"/>
  <c r="B240" i="5" s="1"/>
  <c r="F239" i="2"/>
  <c r="L239" i="5" s="1"/>
  <c r="E239" i="2"/>
  <c r="J239" i="5" s="1"/>
  <c r="D239" i="2"/>
  <c r="H239" i="5" s="1"/>
  <c r="C239" i="2"/>
  <c r="E239" i="5" s="1"/>
  <c r="B239" i="2"/>
  <c r="C239" i="5" s="1"/>
  <c r="A239" i="2"/>
  <c r="A239" i="5" s="1"/>
  <c r="B239" i="5" s="1"/>
  <c r="F238" i="2"/>
  <c r="L238" i="5" s="1"/>
  <c r="E238" i="2"/>
  <c r="J238" i="5" s="1"/>
  <c r="D238" i="2"/>
  <c r="H238" i="5" s="1"/>
  <c r="C238" i="2"/>
  <c r="E238" i="5" s="1"/>
  <c r="B238" i="2"/>
  <c r="C238" i="5" s="1"/>
  <c r="A238" i="2"/>
  <c r="A238" i="5" s="1"/>
  <c r="B238" i="5" s="1"/>
  <c r="F237" i="2"/>
  <c r="L237" i="5" s="1"/>
  <c r="E237" i="2"/>
  <c r="J237" i="5" s="1"/>
  <c r="D237" i="2"/>
  <c r="H237" i="5" s="1"/>
  <c r="C237" i="2"/>
  <c r="E237" i="5" s="1"/>
  <c r="B237" i="2"/>
  <c r="C237" i="5" s="1"/>
  <c r="A237" i="2"/>
  <c r="A237" i="5" s="1"/>
  <c r="B237" i="5" s="1"/>
  <c r="F236" i="2"/>
  <c r="L236" i="5" s="1"/>
  <c r="E236" i="2"/>
  <c r="J236" i="5" s="1"/>
  <c r="D236" i="2"/>
  <c r="H236" i="5" s="1"/>
  <c r="C236" i="2"/>
  <c r="E236" i="5" s="1"/>
  <c r="B236" i="2"/>
  <c r="C236" i="5" s="1"/>
  <c r="A236" i="2"/>
  <c r="A236" i="5" s="1"/>
  <c r="B236" i="5" s="1"/>
  <c r="F235" i="2"/>
  <c r="L235" i="5" s="1"/>
  <c r="E235" i="2"/>
  <c r="J235" i="5" s="1"/>
  <c r="D235" i="2"/>
  <c r="H235" i="5" s="1"/>
  <c r="C235" i="2"/>
  <c r="E235" i="5" s="1"/>
  <c r="B235" i="2"/>
  <c r="C235" i="5" s="1"/>
  <c r="A235" i="2"/>
  <c r="A235" i="5" s="1"/>
  <c r="B235" i="5" s="1"/>
  <c r="F234" i="2"/>
  <c r="L234" i="5" s="1"/>
  <c r="E234" i="2"/>
  <c r="J234" i="5" s="1"/>
  <c r="D234" i="2"/>
  <c r="H234" i="5" s="1"/>
  <c r="C234" i="2"/>
  <c r="E234" i="5" s="1"/>
  <c r="B234" i="2"/>
  <c r="C234" i="5" s="1"/>
  <c r="A234" i="2"/>
  <c r="A234" i="5" s="1"/>
  <c r="B234" i="5" s="1"/>
  <c r="F233" i="2"/>
  <c r="L233" i="5" s="1"/>
  <c r="E233" i="2"/>
  <c r="J233" i="5" s="1"/>
  <c r="D233" i="2"/>
  <c r="H233" i="5" s="1"/>
  <c r="C233" i="2"/>
  <c r="E233" i="5" s="1"/>
  <c r="B233" i="2"/>
  <c r="C233" i="5" s="1"/>
  <c r="A233" i="2"/>
  <c r="A233" i="5" s="1"/>
  <c r="B233" i="5" s="1"/>
  <c r="F232" i="2"/>
  <c r="L232" i="5" s="1"/>
  <c r="E232" i="2"/>
  <c r="J232" i="5" s="1"/>
  <c r="D232" i="2"/>
  <c r="H232" i="5" s="1"/>
  <c r="C232" i="2"/>
  <c r="E232" i="5" s="1"/>
  <c r="B232" i="2"/>
  <c r="C232" i="5" s="1"/>
  <c r="A232" i="2"/>
  <c r="A232" i="5" s="1"/>
  <c r="B232" i="5" s="1"/>
  <c r="F231" i="2"/>
  <c r="L231" i="5" s="1"/>
  <c r="E231" i="2"/>
  <c r="J231" i="5" s="1"/>
  <c r="D231" i="2"/>
  <c r="H231" i="5" s="1"/>
  <c r="C231" i="2"/>
  <c r="E231" i="5" s="1"/>
  <c r="B231" i="2"/>
  <c r="C231" i="5" s="1"/>
  <c r="A231" i="2"/>
  <c r="A231" i="5" s="1"/>
  <c r="B231" i="5" s="1"/>
  <c r="F230" i="2"/>
  <c r="L230" i="5" s="1"/>
  <c r="E230" i="2"/>
  <c r="J230" i="5" s="1"/>
  <c r="D230" i="2"/>
  <c r="H230" i="5" s="1"/>
  <c r="C230" i="2"/>
  <c r="E230" i="5" s="1"/>
  <c r="B230" i="2"/>
  <c r="C230" i="5" s="1"/>
  <c r="A230" i="2"/>
  <c r="A230" i="5" s="1"/>
  <c r="B230" i="5" s="1"/>
  <c r="F229" i="2"/>
  <c r="L229" i="5" s="1"/>
  <c r="E229" i="2"/>
  <c r="J229" i="5" s="1"/>
  <c r="D229" i="2"/>
  <c r="H229" i="5" s="1"/>
  <c r="C229" i="2"/>
  <c r="E229" i="5" s="1"/>
  <c r="B229" i="2"/>
  <c r="C229" i="5" s="1"/>
  <c r="A229" i="2"/>
  <c r="A229" i="5" s="1"/>
  <c r="B229" i="5" s="1"/>
  <c r="F228" i="2"/>
  <c r="L228" i="5" s="1"/>
  <c r="E228" i="2"/>
  <c r="J228" i="5" s="1"/>
  <c r="D228" i="2"/>
  <c r="H228" i="5" s="1"/>
  <c r="C228" i="2"/>
  <c r="E228" i="5" s="1"/>
  <c r="B228" i="2"/>
  <c r="C228" i="5" s="1"/>
  <c r="A228" i="2"/>
  <c r="A228" i="5" s="1"/>
  <c r="B228" i="5" s="1"/>
  <c r="F227" i="2"/>
  <c r="L227" i="5" s="1"/>
  <c r="E227" i="2"/>
  <c r="J227" i="5" s="1"/>
  <c r="D227" i="2"/>
  <c r="H227" i="5" s="1"/>
  <c r="C227" i="2"/>
  <c r="E227" i="5" s="1"/>
  <c r="B227" i="2"/>
  <c r="C227" i="5" s="1"/>
  <c r="A227" i="2"/>
  <c r="A227" i="5" s="1"/>
  <c r="B227" i="5" s="1"/>
  <c r="F226" i="2"/>
  <c r="L226" i="5" s="1"/>
  <c r="E226" i="2"/>
  <c r="J226" i="5" s="1"/>
  <c r="D226" i="2"/>
  <c r="H226" i="5" s="1"/>
  <c r="C226" i="2"/>
  <c r="E226" i="5" s="1"/>
  <c r="B226" i="2"/>
  <c r="C226" i="5" s="1"/>
  <c r="A226" i="2"/>
  <c r="A226" i="5" s="1"/>
  <c r="B226" i="5" s="1"/>
  <c r="F225" i="2"/>
  <c r="L225" i="5" s="1"/>
  <c r="E225" i="2"/>
  <c r="J225" i="5" s="1"/>
  <c r="D225" i="2"/>
  <c r="H225" i="5" s="1"/>
  <c r="C225" i="2"/>
  <c r="E225" i="5" s="1"/>
  <c r="B225" i="2"/>
  <c r="C225" i="5" s="1"/>
  <c r="A225" i="2"/>
  <c r="A225" i="5" s="1"/>
  <c r="B225" i="5" s="1"/>
  <c r="F224" i="2"/>
  <c r="L224" i="5" s="1"/>
  <c r="E224" i="2"/>
  <c r="J224" i="5" s="1"/>
  <c r="D224" i="2"/>
  <c r="H224" i="5" s="1"/>
  <c r="C224" i="2"/>
  <c r="E224" i="5" s="1"/>
  <c r="B224" i="2"/>
  <c r="C224" i="5" s="1"/>
  <c r="A224" i="2"/>
  <c r="A224" i="5" s="1"/>
  <c r="B224" i="5" s="1"/>
  <c r="F223" i="2"/>
  <c r="L223" i="5" s="1"/>
  <c r="E223" i="2"/>
  <c r="J223" i="5" s="1"/>
  <c r="D223" i="2"/>
  <c r="H223" i="5" s="1"/>
  <c r="C223" i="2"/>
  <c r="E223" i="5" s="1"/>
  <c r="B223" i="2"/>
  <c r="C223" i="5" s="1"/>
  <c r="A223" i="2"/>
  <c r="A223" i="5" s="1"/>
  <c r="B223" i="5" s="1"/>
  <c r="F222" i="2"/>
  <c r="L222" i="5" s="1"/>
  <c r="E222" i="2"/>
  <c r="J222" i="5" s="1"/>
  <c r="D222" i="2"/>
  <c r="H222" i="5" s="1"/>
  <c r="C222" i="2"/>
  <c r="E222" i="5" s="1"/>
  <c r="B222" i="2"/>
  <c r="C222" i="5" s="1"/>
  <c r="A222" i="2"/>
  <c r="A222" i="5" s="1"/>
  <c r="B222" i="5" s="1"/>
  <c r="F221" i="2"/>
  <c r="L221" i="5" s="1"/>
  <c r="E221" i="2"/>
  <c r="J221" i="5" s="1"/>
  <c r="D221" i="2"/>
  <c r="H221" i="5" s="1"/>
  <c r="C221" i="2"/>
  <c r="E221" i="5" s="1"/>
  <c r="B221" i="2"/>
  <c r="C221" i="5" s="1"/>
  <c r="A221" i="2"/>
  <c r="A221" i="5" s="1"/>
  <c r="B221" i="5" s="1"/>
  <c r="F220" i="2"/>
  <c r="L220" i="5" s="1"/>
  <c r="E220" i="2"/>
  <c r="J220" i="5" s="1"/>
  <c r="D220" i="2"/>
  <c r="H220" i="5" s="1"/>
  <c r="C220" i="2"/>
  <c r="E220" i="5" s="1"/>
  <c r="B220" i="2"/>
  <c r="C220" i="5" s="1"/>
  <c r="A220" i="2"/>
  <c r="A220" i="5" s="1"/>
  <c r="B220" i="5" s="1"/>
  <c r="F219" i="2"/>
  <c r="L219" i="5" s="1"/>
  <c r="E219" i="2"/>
  <c r="J219" i="5" s="1"/>
  <c r="D219" i="2"/>
  <c r="H219" i="5" s="1"/>
  <c r="C219" i="2"/>
  <c r="E219" i="5" s="1"/>
  <c r="B219" i="2"/>
  <c r="C219" i="5" s="1"/>
  <c r="A219" i="2"/>
  <c r="A219" i="5" s="1"/>
  <c r="B219" i="5" s="1"/>
  <c r="F218" i="2"/>
  <c r="L218" i="5" s="1"/>
  <c r="E218" i="2"/>
  <c r="J218" i="5" s="1"/>
  <c r="D218" i="2"/>
  <c r="H218" i="5" s="1"/>
  <c r="C218" i="2"/>
  <c r="E218" i="5" s="1"/>
  <c r="B218" i="2"/>
  <c r="C218" i="5" s="1"/>
  <c r="A218" i="2"/>
  <c r="A218" i="5" s="1"/>
  <c r="B218" i="5" s="1"/>
  <c r="F217" i="2"/>
  <c r="L217" i="5" s="1"/>
  <c r="E217" i="2"/>
  <c r="J217" i="5" s="1"/>
  <c r="D217" i="2"/>
  <c r="H217" i="5" s="1"/>
  <c r="C217" i="2"/>
  <c r="E217" i="5" s="1"/>
  <c r="B217" i="2"/>
  <c r="C217" i="5" s="1"/>
  <c r="A217" i="2"/>
  <c r="A217" i="5" s="1"/>
  <c r="B217" i="5" s="1"/>
  <c r="F216" i="2"/>
  <c r="L216" i="5" s="1"/>
  <c r="E216" i="2"/>
  <c r="J216" i="5" s="1"/>
  <c r="D216" i="2"/>
  <c r="H216" i="5" s="1"/>
  <c r="C216" i="2"/>
  <c r="E216" i="5" s="1"/>
  <c r="B216" i="2"/>
  <c r="C216" i="5" s="1"/>
  <c r="A216" i="2"/>
  <c r="A216" i="5" s="1"/>
  <c r="B216" i="5" s="1"/>
  <c r="F215" i="2"/>
  <c r="L215" i="5" s="1"/>
  <c r="E215" i="2"/>
  <c r="J215" i="5" s="1"/>
  <c r="D215" i="2"/>
  <c r="H215" i="5" s="1"/>
  <c r="C215" i="2"/>
  <c r="E215" i="5" s="1"/>
  <c r="B215" i="2"/>
  <c r="C215" i="5" s="1"/>
  <c r="A215" i="2"/>
  <c r="A215" i="5" s="1"/>
  <c r="B215" i="5" s="1"/>
  <c r="F214" i="2"/>
  <c r="L214" i="5" s="1"/>
  <c r="E214" i="2"/>
  <c r="J214" i="5" s="1"/>
  <c r="D214" i="2"/>
  <c r="H214" i="5" s="1"/>
  <c r="C214" i="2"/>
  <c r="E214" i="5" s="1"/>
  <c r="B214" i="2"/>
  <c r="C214" i="5" s="1"/>
  <c r="A214" i="2"/>
  <c r="A214" i="5" s="1"/>
  <c r="B214" i="5" s="1"/>
  <c r="F213" i="2"/>
  <c r="L213" i="5" s="1"/>
  <c r="E213" i="2"/>
  <c r="J213" i="5" s="1"/>
  <c r="D213" i="2"/>
  <c r="H213" i="5" s="1"/>
  <c r="C213" i="2"/>
  <c r="E213" i="5" s="1"/>
  <c r="B213" i="2"/>
  <c r="C213" i="5" s="1"/>
  <c r="A213" i="2"/>
  <c r="A213" i="5" s="1"/>
  <c r="B213" i="5" s="1"/>
  <c r="F212" i="2"/>
  <c r="L212" i="5" s="1"/>
  <c r="E212" i="2"/>
  <c r="J212" i="5" s="1"/>
  <c r="D212" i="2"/>
  <c r="H212" i="5" s="1"/>
  <c r="C212" i="2"/>
  <c r="E212" i="5" s="1"/>
  <c r="B212" i="2"/>
  <c r="C212" i="5" s="1"/>
  <c r="A212" i="2"/>
  <c r="A212" i="5" s="1"/>
  <c r="B212" i="5" s="1"/>
  <c r="F211" i="2"/>
  <c r="L211" i="5" s="1"/>
  <c r="E211" i="2"/>
  <c r="J211" i="5" s="1"/>
  <c r="D211" i="2"/>
  <c r="H211" i="5" s="1"/>
  <c r="C211" i="2"/>
  <c r="E211" i="5" s="1"/>
  <c r="B211" i="2"/>
  <c r="C211" i="5" s="1"/>
  <c r="A211" i="2"/>
  <c r="A211" i="5" s="1"/>
  <c r="B211" i="5" s="1"/>
  <c r="F210" i="2"/>
  <c r="L210" i="5" s="1"/>
  <c r="E210" i="2"/>
  <c r="J210" i="5" s="1"/>
  <c r="D210" i="2"/>
  <c r="H210" i="5" s="1"/>
  <c r="C210" i="2"/>
  <c r="E210" i="5" s="1"/>
  <c r="B210" i="2"/>
  <c r="C210" i="5" s="1"/>
  <c r="A210" i="2"/>
  <c r="A210" i="5" s="1"/>
  <c r="B210" i="5" s="1"/>
  <c r="F209" i="2"/>
  <c r="L209" i="5" s="1"/>
  <c r="E209" i="2"/>
  <c r="J209" i="5" s="1"/>
  <c r="D209" i="2"/>
  <c r="H209" i="5" s="1"/>
  <c r="C209" i="2"/>
  <c r="E209" i="5" s="1"/>
  <c r="B209" i="2"/>
  <c r="C209" i="5" s="1"/>
  <c r="A209" i="2"/>
  <c r="A209" i="5" s="1"/>
  <c r="B209" i="5" s="1"/>
  <c r="F208" i="2"/>
  <c r="L208" i="5" s="1"/>
  <c r="E208" i="2"/>
  <c r="J208" i="5" s="1"/>
  <c r="D208" i="2"/>
  <c r="H208" i="5" s="1"/>
  <c r="C208" i="2"/>
  <c r="E208" i="5" s="1"/>
  <c r="B208" i="2"/>
  <c r="C208" i="5" s="1"/>
  <c r="A208" i="2"/>
  <c r="A208" i="5" s="1"/>
  <c r="B208" i="5" s="1"/>
  <c r="F207" i="2"/>
  <c r="L207" i="5" s="1"/>
  <c r="E207" i="2"/>
  <c r="J207" i="5" s="1"/>
  <c r="D207" i="2"/>
  <c r="H207" i="5" s="1"/>
  <c r="C207" i="2"/>
  <c r="E207" i="5" s="1"/>
  <c r="B207" i="2"/>
  <c r="C207" i="5" s="1"/>
  <c r="A207" i="2"/>
  <c r="A207" i="5" s="1"/>
  <c r="B207" i="5" s="1"/>
  <c r="F206" i="2"/>
  <c r="L206" i="5" s="1"/>
  <c r="E206" i="2"/>
  <c r="J206" i="5" s="1"/>
  <c r="D206" i="2"/>
  <c r="H206" i="5" s="1"/>
  <c r="C206" i="2"/>
  <c r="E206" i="5" s="1"/>
  <c r="B206" i="2"/>
  <c r="C206" i="5" s="1"/>
  <c r="A206" i="2"/>
  <c r="A206" i="5" s="1"/>
  <c r="B206" i="5" s="1"/>
  <c r="F205" i="2"/>
  <c r="L205" i="5" s="1"/>
  <c r="E205" i="2"/>
  <c r="J205" i="5" s="1"/>
  <c r="D205" i="2"/>
  <c r="H205" i="5" s="1"/>
  <c r="C205" i="2"/>
  <c r="E205" i="5" s="1"/>
  <c r="B205" i="2"/>
  <c r="C205" i="5" s="1"/>
  <c r="A205" i="2"/>
  <c r="A205" i="5" s="1"/>
  <c r="B205" i="5" s="1"/>
  <c r="F204" i="2"/>
  <c r="L204" i="5" s="1"/>
  <c r="E204" i="2"/>
  <c r="J204" i="5" s="1"/>
  <c r="D204" i="2"/>
  <c r="H204" i="5" s="1"/>
  <c r="C204" i="2"/>
  <c r="E204" i="5" s="1"/>
  <c r="B204" i="2"/>
  <c r="C204" i="5" s="1"/>
  <c r="A204" i="2"/>
  <c r="A204" i="5" s="1"/>
  <c r="B204" i="5" s="1"/>
  <c r="F203" i="2"/>
  <c r="L203" i="5" s="1"/>
  <c r="E203" i="2"/>
  <c r="J203" i="5" s="1"/>
  <c r="D203" i="2"/>
  <c r="H203" i="5" s="1"/>
  <c r="C203" i="2"/>
  <c r="E203" i="5" s="1"/>
  <c r="B203" i="2"/>
  <c r="C203" i="5" s="1"/>
  <c r="A203" i="2"/>
  <c r="A203" i="5" s="1"/>
  <c r="B203" i="5" s="1"/>
  <c r="F202" i="2"/>
  <c r="L202" i="5" s="1"/>
  <c r="E202" i="2"/>
  <c r="J202" i="5" s="1"/>
  <c r="D202" i="2"/>
  <c r="H202" i="5" s="1"/>
  <c r="C202" i="2"/>
  <c r="E202" i="5" s="1"/>
  <c r="B202" i="2"/>
  <c r="C202" i="5" s="1"/>
  <c r="A202" i="2"/>
  <c r="A202" i="5" s="1"/>
  <c r="B202" i="5" s="1"/>
  <c r="F201" i="2"/>
  <c r="L201" i="5" s="1"/>
  <c r="E201" i="2"/>
  <c r="J201" i="5" s="1"/>
  <c r="D201" i="2"/>
  <c r="H201" i="5" s="1"/>
  <c r="C201" i="2"/>
  <c r="E201" i="5" s="1"/>
  <c r="B201" i="2"/>
  <c r="C201" i="5" s="1"/>
  <c r="A201" i="2"/>
  <c r="A201" i="5" s="1"/>
  <c r="B201" i="5" s="1"/>
  <c r="F200" i="2"/>
  <c r="L200" i="5" s="1"/>
  <c r="E200" i="2"/>
  <c r="J200" i="5" s="1"/>
  <c r="D200" i="2"/>
  <c r="H200" i="5" s="1"/>
  <c r="C200" i="2"/>
  <c r="E200" i="5" s="1"/>
  <c r="B200" i="2"/>
  <c r="C200" i="5" s="1"/>
  <c r="A200" i="2"/>
  <c r="A200" i="5" s="1"/>
  <c r="B200" i="5" s="1"/>
  <c r="F199" i="2"/>
  <c r="L199" i="5" s="1"/>
  <c r="E199" i="2"/>
  <c r="J199" i="5" s="1"/>
  <c r="D199" i="2"/>
  <c r="H199" i="5" s="1"/>
  <c r="C199" i="2"/>
  <c r="E199" i="5" s="1"/>
  <c r="B199" i="2"/>
  <c r="C199" i="5" s="1"/>
  <c r="A199" i="2"/>
  <c r="A199" i="5" s="1"/>
  <c r="B199" i="5" s="1"/>
  <c r="F198" i="2"/>
  <c r="L198" i="5" s="1"/>
  <c r="E198" i="2"/>
  <c r="J198" i="5" s="1"/>
  <c r="D198" i="2"/>
  <c r="H198" i="5" s="1"/>
  <c r="C198" i="2"/>
  <c r="E198" i="5" s="1"/>
  <c r="B198" i="2"/>
  <c r="C198" i="5" s="1"/>
  <c r="A198" i="2"/>
  <c r="A198" i="5" s="1"/>
  <c r="B198" i="5" s="1"/>
  <c r="F197" i="2"/>
  <c r="L197" i="5" s="1"/>
  <c r="E197" i="2"/>
  <c r="J197" i="5" s="1"/>
  <c r="D197" i="2"/>
  <c r="H197" i="5" s="1"/>
  <c r="C197" i="2"/>
  <c r="E197" i="5" s="1"/>
  <c r="B197" i="2"/>
  <c r="C197" i="5" s="1"/>
  <c r="A197" i="2"/>
  <c r="A197" i="5" s="1"/>
  <c r="B197" i="5" s="1"/>
  <c r="F196" i="2"/>
  <c r="L196" i="5" s="1"/>
  <c r="E196" i="2"/>
  <c r="J196" i="5" s="1"/>
  <c r="D196" i="2"/>
  <c r="H196" i="5" s="1"/>
  <c r="C196" i="2"/>
  <c r="E196" i="5" s="1"/>
  <c r="B196" i="2"/>
  <c r="C196" i="5" s="1"/>
  <c r="A196" i="2"/>
  <c r="A196" i="5" s="1"/>
  <c r="B196" i="5" s="1"/>
  <c r="F195" i="2"/>
  <c r="L195" i="5" s="1"/>
  <c r="E195" i="2"/>
  <c r="J195" i="5" s="1"/>
  <c r="D195" i="2"/>
  <c r="H195" i="5" s="1"/>
  <c r="C195" i="2"/>
  <c r="E195" i="5" s="1"/>
  <c r="B195" i="2"/>
  <c r="C195" i="5" s="1"/>
  <c r="A195" i="2"/>
  <c r="A195" i="5" s="1"/>
  <c r="B195" i="5" s="1"/>
  <c r="F194" i="2"/>
  <c r="L194" i="5" s="1"/>
  <c r="E194" i="2"/>
  <c r="J194" i="5" s="1"/>
  <c r="D194" i="2"/>
  <c r="H194" i="5" s="1"/>
  <c r="C194" i="2"/>
  <c r="E194" i="5" s="1"/>
  <c r="B194" i="2"/>
  <c r="C194" i="5" s="1"/>
  <c r="A194" i="2"/>
  <c r="A194" i="5" s="1"/>
  <c r="B194" i="5" s="1"/>
  <c r="F193" i="2"/>
  <c r="L193" i="5" s="1"/>
  <c r="E193" i="2"/>
  <c r="J193" i="5" s="1"/>
  <c r="D193" i="2"/>
  <c r="H193" i="5" s="1"/>
  <c r="C193" i="2"/>
  <c r="E193" i="5" s="1"/>
  <c r="B193" i="2"/>
  <c r="C193" i="5" s="1"/>
  <c r="A193" i="2"/>
  <c r="A193" i="5" s="1"/>
  <c r="B193" i="5" s="1"/>
  <c r="F192" i="2"/>
  <c r="L192" i="5" s="1"/>
  <c r="E192" i="2"/>
  <c r="J192" i="5" s="1"/>
  <c r="D192" i="2"/>
  <c r="H192" i="5" s="1"/>
  <c r="C192" i="2"/>
  <c r="E192" i="5" s="1"/>
  <c r="B192" i="2"/>
  <c r="C192" i="5" s="1"/>
  <c r="A192" i="2"/>
  <c r="A192" i="5" s="1"/>
  <c r="B192" i="5" s="1"/>
  <c r="F191" i="2"/>
  <c r="L191" i="5" s="1"/>
  <c r="E191" i="2"/>
  <c r="J191" i="5" s="1"/>
  <c r="D191" i="2"/>
  <c r="H191" i="5" s="1"/>
  <c r="C191" i="2"/>
  <c r="E191" i="5" s="1"/>
  <c r="B191" i="2"/>
  <c r="C191" i="5" s="1"/>
  <c r="A191" i="2"/>
  <c r="A191" i="5" s="1"/>
  <c r="B191" i="5" s="1"/>
  <c r="F190" i="2"/>
  <c r="L190" i="5" s="1"/>
  <c r="E190" i="2"/>
  <c r="J190" i="5" s="1"/>
  <c r="D190" i="2"/>
  <c r="H190" i="5" s="1"/>
  <c r="C190" i="2"/>
  <c r="E190" i="5" s="1"/>
  <c r="B190" i="2"/>
  <c r="C190" i="5" s="1"/>
  <c r="A190" i="2"/>
  <c r="A190" i="5" s="1"/>
  <c r="B190" i="5" s="1"/>
  <c r="F189" i="2"/>
  <c r="L189" i="5" s="1"/>
  <c r="E189" i="2"/>
  <c r="J189" i="5" s="1"/>
  <c r="D189" i="2"/>
  <c r="H189" i="5" s="1"/>
  <c r="C189" i="2"/>
  <c r="E189" i="5" s="1"/>
  <c r="B189" i="2"/>
  <c r="C189" i="5" s="1"/>
  <c r="A189" i="2"/>
  <c r="A189" i="5" s="1"/>
  <c r="B189" i="5" s="1"/>
  <c r="F188" i="2"/>
  <c r="L188" i="5" s="1"/>
  <c r="E188" i="2"/>
  <c r="J188" i="5" s="1"/>
  <c r="D188" i="2"/>
  <c r="H188" i="5" s="1"/>
  <c r="C188" i="2"/>
  <c r="E188" i="5" s="1"/>
  <c r="B188" i="2"/>
  <c r="C188" i="5" s="1"/>
  <c r="A188" i="2"/>
  <c r="A188" i="5" s="1"/>
  <c r="B188" i="5" s="1"/>
  <c r="F187" i="2"/>
  <c r="L187" i="5" s="1"/>
  <c r="E187" i="2"/>
  <c r="J187" i="5" s="1"/>
  <c r="D187" i="2"/>
  <c r="H187" i="5" s="1"/>
  <c r="C187" i="2"/>
  <c r="E187" i="5" s="1"/>
  <c r="B187" i="2"/>
  <c r="C187" i="5" s="1"/>
  <c r="A187" i="2"/>
  <c r="A187" i="5" s="1"/>
  <c r="B187" i="5" s="1"/>
  <c r="F186" i="2"/>
  <c r="L186" i="5" s="1"/>
  <c r="E186" i="2"/>
  <c r="J186" i="5" s="1"/>
  <c r="D186" i="2"/>
  <c r="H186" i="5" s="1"/>
  <c r="C186" i="2"/>
  <c r="E186" i="5" s="1"/>
  <c r="B186" i="2"/>
  <c r="C186" i="5" s="1"/>
  <c r="A186" i="2"/>
  <c r="A186" i="5" s="1"/>
  <c r="B186" i="5" s="1"/>
  <c r="F185" i="2"/>
  <c r="L185" i="5" s="1"/>
  <c r="E185" i="2"/>
  <c r="J185" i="5" s="1"/>
  <c r="D185" i="2"/>
  <c r="H185" i="5" s="1"/>
  <c r="C185" i="2"/>
  <c r="E185" i="5" s="1"/>
  <c r="B185" i="2"/>
  <c r="C185" i="5" s="1"/>
  <c r="A185" i="2"/>
  <c r="A185" i="5" s="1"/>
  <c r="B185" i="5" s="1"/>
  <c r="F184" i="2"/>
  <c r="L184" i="5" s="1"/>
  <c r="E184" i="2"/>
  <c r="J184" i="5" s="1"/>
  <c r="D184" i="2"/>
  <c r="H184" i="5" s="1"/>
  <c r="C184" i="2"/>
  <c r="E184" i="5" s="1"/>
  <c r="B184" i="2"/>
  <c r="C184" i="5" s="1"/>
  <c r="A184" i="2"/>
  <c r="A184" i="5" s="1"/>
  <c r="B184" i="5" s="1"/>
  <c r="F183" i="2"/>
  <c r="L183" i="5" s="1"/>
  <c r="E183" i="2"/>
  <c r="J183" i="5" s="1"/>
  <c r="D183" i="2"/>
  <c r="H183" i="5" s="1"/>
  <c r="C183" i="2"/>
  <c r="E183" i="5" s="1"/>
  <c r="B183" i="2"/>
  <c r="C183" i="5" s="1"/>
  <c r="A183" i="2"/>
  <c r="A183" i="5" s="1"/>
  <c r="B183" i="5" s="1"/>
  <c r="F182" i="2"/>
  <c r="L182" i="5" s="1"/>
  <c r="E182" i="2"/>
  <c r="J182" i="5" s="1"/>
  <c r="D182" i="2"/>
  <c r="H182" i="5" s="1"/>
  <c r="C182" i="2"/>
  <c r="E182" i="5" s="1"/>
  <c r="B182" i="2"/>
  <c r="C182" i="5" s="1"/>
  <c r="A182" i="2"/>
  <c r="A182" i="5" s="1"/>
  <c r="B182" i="5" s="1"/>
  <c r="F181" i="2"/>
  <c r="L181" i="5" s="1"/>
  <c r="E181" i="2"/>
  <c r="J181" i="5" s="1"/>
  <c r="D181" i="2"/>
  <c r="H181" i="5" s="1"/>
  <c r="C181" i="2"/>
  <c r="E181" i="5" s="1"/>
  <c r="B181" i="2"/>
  <c r="C181" i="5" s="1"/>
  <c r="A181" i="2"/>
  <c r="A181" i="5" s="1"/>
  <c r="B181" i="5" s="1"/>
  <c r="F180" i="2"/>
  <c r="L180" i="5" s="1"/>
  <c r="E180" i="2"/>
  <c r="J180" i="5" s="1"/>
  <c r="D180" i="2"/>
  <c r="H180" i="5" s="1"/>
  <c r="C180" i="2"/>
  <c r="E180" i="5" s="1"/>
  <c r="B180" i="2"/>
  <c r="C180" i="5" s="1"/>
  <c r="A180" i="2"/>
  <c r="A180" i="5" s="1"/>
  <c r="B180" i="5" s="1"/>
  <c r="F179" i="2"/>
  <c r="L179" i="5" s="1"/>
  <c r="E179" i="2"/>
  <c r="J179" i="5" s="1"/>
  <c r="D179" i="2"/>
  <c r="H179" i="5" s="1"/>
  <c r="C179" i="2"/>
  <c r="E179" i="5" s="1"/>
  <c r="B179" i="2"/>
  <c r="C179" i="5" s="1"/>
  <c r="A179" i="2"/>
  <c r="A179" i="5" s="1"/>
  <c r="B179" i="5" s="1"/>
  <c r="F178" i="2"/>
  <c r="L178" i="5" s="1"/>
  <c r="E178" i="2"/>
  <c r="J178" i="5" s="1"/>
  <c r="D178" i="2"/>
  <c r="H178" i="5" s="1"/>
  <c r="C178" i="2"/>
  <c r="E178" i="5" s="1"/>
  <c r="B178" i="2"/>
  <c r="C178" i="5" s="1"/>
  <c r="A178" i="2"/>
  <c r="A178" i="5" s="1"/>
  <c r="B178" i="5" s="1"/>
  <c r="F177" i="2"/>
  <c r="L177" i="5" s="1"/>
  <c r="E177" i="2"/>
  <c r="J177" i="5" s="1"/>
  <c r="D177" i="2"/>
  <c r="H177" i="5" s="1"/>
  <c r="C177" i="2"/>
  <c r="E177" i="5" s="1"/>
  <c r="B177" i="2"/>
  <c r="C177" i="5" s="1"/>
  <c r="A177" i="2"/>
  <c r="A177" i="5" s="1"/>
  <c r="B177" i="5" s="1"/>
  <c r="F176" i="2"/>
  <c r="L176" i="5" s="1"/>
  <c r="E176" i="2"/>
  <c r="J176" i="5" s="1"/>
  <c r="D176" i="2"/>
  <c r="H176" i="5" s="1"/>
  <c r="C176" i="2"/>
  <c r="E176" i="5" s="1"/>
  <c r="B176" i="2"/>
  <c r="C176" i="5" s="1"/>
  <c r="A176" i="2"/>
  <c r="A176" i="5" s="1"/>
  <c r="B176" i="5" s="1"/>
  <c r="F175" i="2"/>
  <c r="L175" i="5" s="1"/>
  <c r="E175" i="2"/>
  <c r="J175" i="5" s="1"/>
  <c r="D175" i="2"/>
  <c r="H175" i="5" s="1"/>
  <c r="C175" i="2"/>
  <c r="E175" i="5" s="1"/>
  <c r="B175" i="2"/>
  <c r="C175" i="5" s="1"/>
  <c r="A175" i="2"/>
  <c r="A175" i="5" s="1"/>
  <c r="B175" i="5" s="1"/>
  <c r="F174" i="2"/>
  <c r="L174" i="5" s="1"/>
  <c r="E174" i="2"/>
  <c r="J174" i="5" s="1"/>
  <c r="D174" i="2"/>
  <c r="H174" i="5" s="1"/>
  <c r="C174" i="2"/>
  <c r="E174" i="5" s="1"/>
  <c r="B174" i="2"/>
  <c r="C174" i="5" s="1"/>
  <c r="A174" i="2"/>
  <c r="A174" i="5" s="1"/>
  <c r="B174" i="5" s="1"/>
  <c r="F173" i="2"/>
  <c r="L173" i="5" s="1"/>
  <c r="E173" i="2"/>
  <c r="J173" i="5" s="1"/>
  <c r="D173" i="2"/>
  <c r="H173" i="5" s="1"/>
  <c r="C173" i="2"/>
  <c r="E173" i="5" s="1"/>
  <c r="B173" i="2"/>
  <c r="C173" i="5" s="1"/>
  <c r="A173" i="2"/>
  <c r="A173" i="5" s="1"/>
  <c r="B173" i="5" s="1"/>
  <c r="F172" i="2"/>
  <c r="L172" i="5" s="1"/>
  <c r="E172" i="2"/>
  <c r="J172" i="5" s="1"/>
  <c r="D172" i="2"/>
  <c r="H172" i="5" s="1"/>
  <c r="C172" i="2"/>
  <c r="E172" i="5" s="1"/>
  <c r="B172" i="2"/>
  <c r="C172" i="5" s="1"/>
  <c r="A172" i="2"/>
  <c r="A172" i="5" s="1"/>
  <c r="B172" i="5" s="1"/>
  <c r="F171" i="2"/>
  <c r="L171" i="5" s="1"/>
  <c r="E171" i="2"/>
  <c r="J171" i="5" s="1"/>
  <c r="D171" i="2"/>
  <c r="H171" i="5" s="1"/>
  <c r="C171" i="2"/>
  <c r="E171" i="5" s="1"/>
  <c r="B171" i="2"/>
  <c r="C171" i="5" s="1"/>
  <c r="A171" i="2"/>
  <c r="A171" i="5" s="1"/>
  <c r="B171" i="5" s="1"/>
  <c r="F170" i="2"/>
  <c r="L170" i="5" s="1"/>
  <c r="E170" i="2"/>
  <c r="J170" i="5" s="1"/>
  <c r="D170" i="2"/>
  <c r="H170" i="5" s="1"/>
  <c r="C170" i="2"/>
  <c r="E170" i="5" s="1"/>
  <c r="B170" i="2"/>
  <c r="C170" i="5" s="1"/>
  <c r="A170" i="2"/>
  <c r="A170" i="5" s="1"/>
  <c r="B170" i="5" s="1"/>
  <c r="F169" i="2"/>
  <c r="L169" i="5" s="1"/>
  <c r="E169" i="2"/>
  <c r="J169" i="5" s="1"/>
  <c r="D169" i="2"/>
  <c r="H169" i="5" s="1"/>
  <c r="C169" i="2"/>
  <c r="E169" i="5" s="1"/>
  <c r="B169" i="2"/>
  <c r="C169" i="5" s="1"/>
  <c r="A169" i="2"/>
  <c r="A169" i="5" s="1"/>
  <c r="B169" i="5" s="1"/>
  <c r="F168" i="2"/>
  <c r="L168" i="5" s="1"/>
  <c r="E168" i="2"/>
  <c r="J168" i="5" s="1"/>
  <c r="D168" i="2"/>
  <c r="H168" i="5" s="1"/>
  <c r="C168" i="2"/>
  <c r="E168" i="5" s="1"/>
  <c r="B168" i="2"/>
  <c r="C168" i="5" s="1"/>
  <c r="A168" i="2"/>
  <c r="A168" i="5" s="1"/>
  <c r="B168" i="5" s="1"/>
  <c r="F167" i="2"/>
  <c r="L167" i="5" s="1"/>
  <c r="E167" i="2"/>
  <c r="J167" i="5" s="1"/>
  <c r="D167" i="2"/>
  <c r="H167" i="5" s="1"/>
  <c r="C167" i="2"/>
  <c r="E167" i="5" s="1"/>
  <c r="B167" i="2"/>
  <c r="C167" i="5" s="1"/>
  <c r="A167" i="2"/>
  <c r="A167" i="5" s="1"/>
  <c r="B167" i="5" s="1"/>
  <c r="F166" i="2"/>
  <c r="L166" i="5" s="1"/>
  <c r="E166" i="2"/>
  <c r="J166" i="5" s="1"/>
  <c r="D166" i="2"/>
  <c r="H166" i="5" s="1"/>
  <c r="C166" i="2"/>
  <c r="E166" i="5" s="1"/>
  <c r="B166" i="2"/>
  <c r="C166" i="5" s="1"/>
  <c r="A166" i="2"/>
  <c r="A166" i="5" s="1"/>
  <c r="B166" i="5" s="1"/>
  <c r="F165" i="2"/>
  <c r="L165" i="5" s="1"/>
  <c r="E165" i="2"/>
  <c r="J165" i="5" s="1"/>
  <c r="D165" i="2"/>
  <c r="H165" i="5" s="1"/>
  <c r="C165" i="2"/>
  <c r="E165" i="5" s="1"/>
  <c r="B165" i="2"/>
  <c r="C165" i="5" s="1"/>
  <c r="A165" i="2"/>
  <c r="A165" i="5" s="1"/>
  <c r="B165" i="5" s="1"/>
  <c r="F164" i="2"/>
  <c r="L164" i="5" s="1"/>
  <c r="E164" i="2"/>
  <c r="J164" i="5" s="1"/>
  <c r="D164" i="2"/>
  <c r="H164" i="5" s="1"/>
  <c r="C164" i="2"/>
  <c r="E164" i="5" s="1"/>
  <c r="B164" i="2"/>
  <c r="C164" i="5" s="1"/>
  <c r="A164" i="2"/>
  <c r="A164" i="5" s="1"/>
  <c r="B164" i="5" s="1"/>
  <c r="F163" i="2"/>
  <c r="L163" i="5" s="1"/>
  <c r="E163" i="2"/>
  <c r="J163" i="5" s="1"/>
  <c r="D163" i="2"/>
  <c r="H163" i="5" s="1"/>
  <c r="C163" i="2"/>
  <c r="E163" i="5" s="1"/>
  <c r="B163" i="2"/>
  <c r="C163" i="5" s="1"/>
  <c r="A163" i="2"/>
  <c r="A163" i="5" s="1"/>
  <c r="B163" i="5" s="1"/>
  <c r="F162" i="2"/>
  <c r="L162" i="5" s="1"/>
  <c r="E162" i="2"/>
  <c r="J162" i="5" s="1"/>
  <c r="D162" i="2"/>
  <c r="H162" i="5" s="1"/>
  <c r="C162" i="2"/>
  <c r="E162" i="5" s="1"/>
  <c r="B162" i="2"/>
  <c r="C162" i="5" s="1"/>
  <c r="A162" i="2"/>
  <c r="A162" i="5" s="1"/>
  <c r="B162" i="5" s="1"/>
  <c r="F161" i="2"/>
  <c r="L161" i="5" s="1"/>
  <c r="E161" i="2"/>
  <c r="J161" i="5" s="1"/>
  <c r="D161" i="2"/>
  <c r="H161" i="5" s="1"/>
  <c r="C161" i="2"/>
  <c r="E161" i="5" s="1"/>
  <c r="B161" i="2"/>
  <c r="C161" i="5" s="1"/>
  <c r="A161" i="2"/>
  <c r="A161" i="5" s="1"/>
  <c r="B161" i="5" s="1"/>
  <c r="F160" i="2"/>
  <c r="L160" i="5" s="1"/>
  <c r="E160" i="2"/>
  <c r="J160" i="5" s="1"/>
  <c r="D160" i="2"/>
  <c r="H160" i="5" s="1"/>
  <c r="C160" i="2"/>
  <c r="E160" i="5" s="1"/>
  <c r="B160" i="2"/>
  <c r="C160" i="5" s="1"/>
  <c r="A160" i="2"/>
  <c r="A160" i="5" s="1"/>
  <c r="B160" i="5" s="1"/>
  <c r="F159" i="2"/>
  <c r="L159" i="5" s="1"/>
  <c r="E159" i="2"/>
  <c r="J159" i="5" s="1"/>
  <c r="D159" i="2"/>
  <c r="H159" i="5" s="1"/>
  <c r="C159" i="2"/>
  <c r="E159" i="5" s="1"/>
  <c r="B159" i="2"/>
  <c r="C159" i="5" s="1"/>
  <c r="A159" i="2"/>
  <c r="A159" i="5" s="1"/>
  <c r="B159" i="5" s="1"/>
  <c r="F158" i="2"/>
  <c r="L158" i="5" s="1"/>
  <c r="E158" i="2"/>
  <c r="J158" i="5" s="1"/>
  <c r="D158" i="2"/>
  <c r="H158" i="5" s="1"/>
  <c r="C158" i="2"/>
  <c r="E158" i="5" s="1"/>
  <c r="B158" i="2"/>
  <c r="C158" i="5" s="1"/>
  <c r="A158" i="2"/>
  <c r="A158" i="5" s="1"/>
  <c r="B158" i="5" s="1"/>
  <c r="F157" i="2"/>
  <c r="L157" i="5" s="1"/>
  <c r="E157" i="2"/>
  <c r="J157" i="5" s="1"/>
  <c r="D157" i="2"/>
  <c r="H157" i="5" s="1"/>
  <c r="C157" i="2"/>
  <c r="E157" i="5" s="1"/>
  <c r="B157" i="2"/>
  <c r="C157" i="5" s="1"/>
  <c r="A157" i="2"/>
  <c r="A157" i="5" s="1"/>
  <c r="B157" i="5" s="1"/>
  <c r="F156" i="2"/>
  <c r="L156" i="5" s="1"/>
  <c r="E156" i="2"/>
  <c r="J156" i="5" s="1"/>
  <c r="D156" i="2"/>
  <c r="H156" i="5" s="1"/>
  <c r="C156" i="2"/>
  <c r="E156" i="5" s="1"/>
  <c r="B156" i="2"/>
  <c r="C156" i="5" s="1"/>
  <c r="A156" i="2"/>
  <c r="A156" i="5" s="1"/>
  <c r="B156" i="5" s="1"/>
  <c r="F155" i="2"/>
  <c r="L155" i="5" s="1"/>
  <c r="E155" i="2"/>
  <c r="J155" i="5" s="1"/>
  <c r="D155" i="2"/>
  <c r="H155" i="5" s="1"/>
  <c r="C155" i="2"/>
  <c r="E155" i="5" s="1"/>
  <c r="B155" i="2"/>
  <c r="C155" i="5" s="1"/>
  <c r="A155" i="2"/>
  <c r="A155" i="5" s="1"/>
  <c r="B155" i="5" s="1"/>
  <c r="F154" i="2"/>
  <c r="L154" i="5" s="1"/>
  <c r="E154" i="2"/>
  <c r="J154" i="5" s="1"/>
  <c r="D154" i="2"/>
  <c r="H154" i="5" s="1"/>
  <c r="C154" i="2"/>
  <c r="E154" i="5" s="1"/>
  <c r="B154" i="2"/>
  <c r="C154" i="5" s="1"/>
  <c r="A154" i="2"/>
  <c r="A154" i="5" s="1"/>
  <c r="B154" i="5" s="1"/>
  <c r="F153" i="2"/>
  <c r="L153" i="5" s="1"/>
  <c r="E153" i="2"/>
  <c r="J153" i="5" s="1"/>
  <c r="D153" i="2"/>
  <c r="H153" i="5" s="1"/>
  <c r="C153" i="2"/>
  <c r="E153" i="5" s="1"/>
  <c r="B153" i="2"/>
  <c r="C153" i="5" s="1"/>
  <c r="A153" i="2"/>
  <c r="A153" i="5" s="1"/>
  <c r="B153" i="5" s="1"/>
  <c r="F152" i="2"/>
  <c r="L152" i="5" s="1"/>
  <c r="E152" i="2"/>
  <c r="J152" i="5" s="1"/>
  <c r="D152" i="2"/>
  <c r="H152" i="5" s="1"/>
  <c r="C152" i="2"/>
  <c r="E152" i="5" s="1"/>
  <c r="B152" i="2"/>
  <c r="C152" i="5" s="1"/>
  <c r="A152" i="2"/>
  <c r="A152" i="5" s="1"/>
  <c r="B152" i="5" s="1"/>
  <c r="F151" i="2"/>
  <c r="L151" i="5" s="1"/>
  <c r="E151" i="2"/>
  <c r="J151" i="5" s="1"/>
  <c r="D151" i="2"/>
  <c r="H151" i="5" s="1"/>
  <c r="C151" i="2"/>
  <c r="E151" i="5" s="1"/>
  <c r="B151" i="2"/>
  <c r="C151" i="5" s="1"/>
  <c r="A151" i="2"/>
  <c r="A151" i="5" s="1"/>
  <c r="B151" i="5" s="1"/>
  <c r="F150" i="2"/>
  <c r="L150" i="5" s="1"/>
  <c r="E150" i="2"/>
  <c r="J150" i="5" s="1"/>
  <c r="D150" i="2"/>
  <c r="H150" i="5" s="1"/>
  <c r="C150" i="2"/>
  <c r="E150" i="5" s="1"/>
  <c r="B150" i="2"/>
  <c r="C150" i="5" s="1"/>
  <c r="A150" i="2"/>
  <c r="A150" i="5" s="1"/>
  <c r="B150" i="5" s="1"/>
  <c r="F149" i="2"/>
  <c r="L149" i="5" s="1"/>
  <c r="E149" i="2"/>
  <c r="J149" i="5" s="1"/>
  <c r="D149" i="2"/>
  <c r="H149" i="5" s="1"/>
  <c r="C149" i="2"/>
  <c r="E149" i="5" s="1"/>
  <c r="B149" i="2"/>
  <c r="C149" i="5" s="1"/>
  <c r="A149" i="2"/>
  <c r="A149" i="5" s="1"/>
  <c r="B149" i="5" s="1"/>
  <c r="F148" i="2"/>
  <c r="L148" i="5" s="1"/>
  <c r="E148" i="2"/>
  <c r="J148" i="5" s="1"/>
  <c r="D148" i="2"/>
  <c r="H148" i="5" s="1"/>
  <c r="C148" i="2"/>
  <c r="E148" i="5" s="1"/>
  <c r="B148" i="2"/>
  <c r="C148" i="5" s="1"/>
  <c r="A148" i="2"/>
  <c r="A148" i="5" s="1"/>
  <c r="B148" i="5" s="1"/>
  <c r="F147" i="2"/>
  <c r="L147" i="5" s="1"/>
  <c r="E147" i="2"/>
  <c r="J147" i="5" s="1"/>
  <c r="D147" i="2"/>
  <c r="H147" i="5" s="1"/>
  <c r="C147" i="2"/>
  <c r="E147" i="5" s="1"/>
  <c r="B147" i="2"/>
  <c r="C147" i="5" s="1"/>
  <c r="A147" i="2"/>
  <c r="A147" i="5" s="1"/>
  <c r="B147" i="5" s="1"/>
  <c r="F146" i="2"/>
  <c r="L146" i="5" s="1"/>
  <c r="E146" i="2"/>
  <c r="J146" i="5" s="1"/>
  <c r="D146" i="2"/>
  <c r="H146" i="5" s="1"/>
  <c r="C146" i="2"/>
  <c r="E146" i="5" s="1"/>
  <c r="B146" i="2"/>
  <c r="C146" i="5" s="1"/>
  <c r="A146" i="2"/>
  <c r="A146" i="5" s="1"/>
  <c r="B146" i="5" s="1"/>
  <c r="F145" i="2"/>
  <c r="L145" i="5" s="1"/>
  <c r="E145" i="2"/>
  <c r="J145" i="5" s="1"/>
  <c r="D145" i="2"/>
  <c r="H145" i="5" s="1"/>
  <c r="C145" i="2"/>
  <c r="E145" i="5" s="1"/>
  <c r="B145" i="2"/>
  <c r="C145" i="5" s="1"/>
  <c r="A145" i="2"/>
  <c r="A145" i="5" s="1"/>
  <c r="B145" i="5" s="1"/>
  <c r="F144" i="2"/>
  <c r="L144" i="5" s="1"/>
  <c r="E144" i="2"/>
  <c r="J144" i="5" s="1"/>
  <c r="D144" i="2"/>
  <c r="H144" i="5" s="1"/>
  <c r="C144" i="2"/>
  <c r="E144" i="5" s="1"/>
  <c r="B144" i="2"/>
  <c r="C144" i="5" s="1"/>
  <c r="A144" i="2"/>
  <c r="A144" i="5" s="1"/>
  <c r="B144" i="5" s="1"/>
  <c r="F143" i="2"/>
  <c r="L143" i="5" s="1"/>
  <c r="E143" i="2"/>
  <c r="J143" i="5" s="1"/>
  <c r="D143" i="2"/>
  <c r="H143" i="5" s="1"/>
  <c r="C143" i="2"/>
  <c r="E143" i="5" s="1"/>
  <c r="B143" i="2"/>
  <c r="C143" i="5" s="1"/>
  <c r="A143" i="2"/>
  <c r="A143" i="5" s="1"/>
  <c r="B143" i="5" s="1"/>
  <c r="F142" i="2"/>
  <c r="L142" i="5" s="1"/>
  <c r="E142" i="2"/>
  <c r="J142" i="5" s="1"/>
  <c r="D142" i="2"/>
  <c r="H142" i="5" s="1"/>
  <c r="C142" i="2"/>
  <c r="E142" i="5" s="1"/>
  <c r="B142" i="2"/>
  <c r="C142" i="5" s="1"/>
  <c r="A142" i="2"/>
  <c r="A142" i="5" s="1"/>
  <c r="B142" i="5" s="1"/>
  <c r="F141" i="2"/>
  <c r="L141" i="5" s="1"/>
  <c r="E141" i="2"/>
  <c r="J141" i="5" s="1"/>
  <c r="D141" i="2"/>
  <c r="H141" i="5" s="1"/>
  <c r="C141" i="2"/>
  <c r="E141" i="5" s="1"/>
  <c r="B141" i="2"/>
  <c r="C141" i="5" s="1"/>
  <c r="A141" i="2"/>
  <c r="A141" i="5" s="1"/>
  <c r="B141" i="5" s="1"/>
  <c r="F140" i="2"/>
  <c r="L140" i="5" s="1"/>
  <c r="E140" i="2"/>
  <c r="J140" i="5" s="1"/>
  <c r="D140" i="2"/>
  <c r="H140" i="5" s="1"/>
  <c r="C140" i="2"/>
  <c r="E140" i="5" s="1"/>
  <c r="B140" i="2"/>
  <c r="C140" i="5" s="1"/>
  <c r="A140" i="2"/>
  <c r="A140" i="5" s="1"/>
  <c r="B140" i="5" s="1"/>
  <c r="F139" i="2"/>
  <c r="L139" i="5" s="1"/>
  <c r="E139" i="2"/>
  <c r="J139" i="5" s="1"/>
  <c r="D139" i="2"/>
  <c r="H139" i="5" s="1"/>
  <c r="C139" i="2"/>
  <c r="E139" i="5" s="1"/>
  <c r="B139" i="2"/>
  <c r="C139" i="5" s="1"/>
  <c r="A139" i="2"/>
  <c r="A139" i="5" s="1"/>
  <c r="B139" i="5" s="1"/>
  <c r="F138" i="2"/>
  <c r="L138" i="5" s="1"/>
  <c r="E138" i="2"/>
  <c r="J138" i="5" s="1"/>
  <c r="D138" i="2"/>
  <c r="H138" i="5" s="1"/>
  <c r="C138" i="2"/>
  <c r="E138" i="5" s="1"/>
  <c r="B138" i="2"/>
  <c r="C138" i="5" s="1"/>
  <c r="A138" i="2"/>
  <c r="A138" i="5" s="1"/>
  <c r="B138" i="5" s="1"/>
  <c r="F137" i="2"/>
  <c r="L137" i="5" s="1"/>
  <c r="E137" i="2"/>
  <c r="J137" i="5" s="1"/>
  <c r="D137" i="2"/>
  <c r="H137" i="5" s="1"/>
  <c r="C137" i="2"/>
  <c r="E137" i="5" s="1"/>
  <c r="B137" i="2"/>
  <c r="C137" i="5" s="1"/>
  <c r="A137" i="2"/>
  <c r="A137" i="5" s="1"/>
  <c r="B137" i="5" s="1"/>
  <c r="F136" i="2"/>
  <c r="L136" i="5" s="1"/>
  <c r="E136" i="2"/>
  <c r="J136" i="5" s="1"/>
  <c r="D136" i="2"/>
  <c r="H136" i="5" s="1"/>
  <c r="C136" i="2"/>
  <c r="E136" i="5" s="1"/>
  <c r="B136" i="2"/>
  <c r="C136" i="5" s="1"/>
  <c r="A136" i="2"/>
  <c r="A136" i="5" s="1"/>
  <c r="B136" i="5" s="1"/>
  <c r="F135" i="2"/>
  <c r="L135" i="5" s="1"/>
  <c r="E135" i="2"/>
  <c r="J135" i="5" s="1"/>
  <c r="D135" i="2"/>
  <c r="H135" i="5" s="1"/>
  <c r="C135" i="2"/>
  <c r="E135" i="5" s="1"/>
  <c r="B135" i="2"/>
  <c r="C135" i="5" s="1"/>
  <c r="A135" i="2"/>
  <c r="A135" i="5" s="1"/>
  <c r="B135" i="5" s="1"/>
  <c r="F134" i="2"/>
  <c r="L134" i="5" s="1"/>
  <c r="E134" i="2"/>
  <c r="J134" i="5" s="1"/>
  <c r="D134" i="2"/>
  <c r="H134" i="5" s="1"/>
  <c r="C134" i="2"/>
  <c r="E134" i="5" s="1"/>
  <c r="B134" i="2"/>
  <c r="C134" i="5" s="1"/>
  <c r="A134" i="2"/>
  <c r="A134" i="5" s="1"/>
  <c r="B134" i="5" s="1"/>
  <c r="F133" i="2"/>
  <c r="L133" i="5" s="1"/>
  <c r="E133" i="2"/>
  <c r="J133" i="5" s="1"/>
  <c r="D133" i="2"/>
  <c r="H133" i="5" s="1"/>
  <c r="C133" i="2"/>
  <c r="E133" i="5" s="1"/>
  <c r="B133" i="2"/>
  <c r="C133" i="5" s="1"/>
  <c r="A133" i="2"/>
  <c r="A133" i="5" s="1"/>
  <c r="B133" i="5" s="1"/>
  <c r="F132" i="2"/>
  <c r="L132" i="5" s="1"/>
  <c r="E132" i="2"/>
  <c r="J132" i="5" s="1"/>
  <c r="D132" i="2"/>
  <c r="H132" i="5" s="1"/>
  <c r="C132" i="2"/>
  <c r="E132" i="5" s="1"/>
  <c r="B132" i="2"/>
  <c r="C132" i="5" s="1"/>
  <c r="A132" i="2"/>
  <c r="A132" i="5" s="1"/>
  <c r="B132" i="5" s="1"/>
  <c r="F131" i="2"/>
  <c r="L131" i="5" s="1"/>
  <c r="E131" i="2"/>
  <c r="J131" i="5" s="1"/>
  <c r="D131" i="2"/>
  <c r="H131" i="5" s="1"/>
  <c r="C131" i="2"/>
  <c r="E131" i="5" s="1"/>
  <c r="B131" i="2"/>
  <c r="C131" i="5" s="1"/>
  <c r="A131" i="2"/>
  <c r="A131" i="5" s="1"/>
  <c r="B131" i="5" s="1"/>
  <c r="F130" i="2"/>
  <c r="L130" i="5" s="1"/>
  <c r="E130" i="2"/>
  <c r="J130" i="5" s="1"/>
  <c r="D130" i="2"/>
  <c r="H130" i="5" s="1"/>
  <c r="C130" i="2"/>
  <c r="E130" i="5" s="1"/>
  <c r="B130" i="2"/>
  <c r="C130" i="5" s="1"/>
  <c r="A130" i="2"/>
  <c r="A130" i="5" s="1"/>
  <c r="B130" i="5" s="1"/>
  <c r="F129" i="2"/>
  <c r="L129" i="5" s="1"/>
  <c r="E129" i="2"/>
  <c r="J129" i="5" s="1"/>
  <c r="D129" i="2"/>
  <c r="H129" i="5" s="1"/>
  <c r="C129" i="2"/>
  <c r="E129" i="5" s="1"/>
  <c r="B129" i="2"/>
  <c r="C129" i="5" s="1"/>
  <c r="A129" i="2"/>
  <c r="A129" i="5" s="1"/>
  <c r="B129" i="5" s="1"/>
  <c r="F128" i="2"/>
  <c r="L128" i="5" s="1"/>
  <c r="E128" i="2"/>
  <c r="J128" i="5" s="1"/>
  <c r="D128" i="2"/>
  <c r="H128" i="5" s="1"/>
  <c r="C128" i="2"/>
  <c r="E128" i="5" s="1"/>
  <c r="B128" i="2"/>
  <c r="C128" i="5" s="1"/>
  <c r="A128" i="2"/>
  <c r="A128" i="5" s="1"/>
  <c r="B128" i="5" s="1"/>
  <c r="F127" i="2"/>
  <c r="L127" i="5" s="1"/>
  <c r="E127" i="2"/>
  <c r="J127" i="5" s="1"/>
  <c r="D127" i="2"/>
  <c r="H127" i="5" s="1"/>
  <c r="C127" i="2"/>
  <c r="E127" i="5" s="1"/>
  <c r="B127" i="2"/>
  <c r="C127" i="5" s="1"/>
  <c r="A127" i="2"/>
  <c r="A127" i="5" s="1"/>
  <c r="B127" i="5" s="1"/>
  <c r="F126" i="2"/>
  <c r="L126" i="5" s="1"/>
  <c r="E126" i="2"/>
  <c r="J126" i="5" s="1"/>
  <c r="D126" i="2"/>
  <c r="H126" i="5" s="1"/>
  <c r="C126" i="2"/>
  <c r="E126" i="5" s="1"/>
  <c r="B126" i="2"/>
  <c r="C126" i="5" s="1"/>
  <c r="A126" i="2"/>
  <c r="A126" i="5" s="1"/>
  <c r="B126" i="5" s="1"/>
  <c r="F125" i="2"/>
  <c r="L125" i="5" s="1"/>
  <c r="E125" i="2"/>
  <c r="J125" i="5" s="1"/>
  <c r="D125" i="2"/>
  <c r="H125" i="5" s="1"/>
  <c r="C125" i="2"/>
  <c r="E125" i="5" s="1"/>
  <c r="B125" i="2"/>
  <c r="C125" i="5" s="1"/>
  <c r="A125" i="2"/>
  <c r="A125" i="5" s="1"/>
  <c r="B125" i="5" s="1"/>
  <c r="F124" i="2"/>
  <c r="L124" i="5" s="1"/>
  <c r="E124" i="2"/>
  <c r="J124" i="5" s="1"/>
  <c r="D124" i="2"/>
  <c r="H124" i="5" s="1"/>
  <c r="C124" i="2"/>
  <c r="E124" i="5" s="1"/>
  <c r="B124" i="2"/>
  <c r="C124" i="5" s="1"/>
  <c r="A124" i="2"/>
  <c r="A124" i="5" s="1"/>
  <c r="B124" i="5" s="1"/>
  <c r="F123" i="2"/>
  <c r="L123" i="5" s="1"/>
  <c r="E123" i="2"/>
  <c r="J123" i="5" s="1"/>
  <c r="D123" i="2"/>
  <c r="H123" i="5" s="1"/>
  <c r="C123" i="2"/>
  <c r="E123" i="5" s="1"/>
  <c r="B123" i="2"/>
  <c r="C123" i="5" s="1"/>
  <c r="A123" i="2"/>
  <c r="A123" i="5" s="1"/>
  <c r="B123" i="5" s="1"/>
  <c r="F122" i="2"/>
  <c r="L122" i="5" s="1"/>
  <c r="E122" i="2"/>
  <c r="J122" i="5" s="1"/>
  <c r="D122" i="2"/>
  <c r="H122" i="5" s="1"/>
  <c r="C122" i="2"/>
  <c r="E122" i="5" s="1"/>
  <c r="B122" i="2"/>
  <c r="C122" i="5" s="1"/>
  <c r="A122" i="2"/>
  <c r="A122" i="5" s="1"/>
  <c r="B122" i="5" s="1"/>
  <c r="F121" i="2"/>
  <c r="L121" i="5" s="1"/>
  <c r="E121" i="2"/>
  <c r="J121" i="5" s="1"/>
  <c r="D121" i="2"/>
  <c r="H121" i="5" s="1"/>
  <c r="C121" i="2"/>
  <c r="E121" i="5" s="1"/>
  <c r="B121" i="2"/>
  <c r="C121" i="5" s="1"/>
  <c r="A121" i="2"/>
  <c r="A121" i="5" s="1"/>
  <c r="B121" i="5" s="1"/>
  <c r="F120" i="2"/>
  <c r="L120" i="5" s="1"/>
  <c r="E120" i="2"/>
  <c r="J120" i="5" s="1"/>
  <c r="D120" i="2"/>
  <c r="H120" i="5" s="1"/>
  <c r="C120" i="2"/>
  <c r="E120" i="5" s="1"/>
  <c r="B120" i="2"/>
  <c r="C120" i="5" s="1"/>
  <c r="A120" i="2"/>
  <c r="A120" i="5" s="1"/>
  <c r="B120" i="5" s="1"/>
  <c r="F119" i="2"/>
  <c r="L119" i="5" s="1"/>
  <c r="E119" i="2"/>
  <c r="J119" i="5" s="1"/>
  <c r="D119" i="2"/>
  <c r="H119" i="5" s="1"/>
  <c r="C119" i="2"/>
  <c r="E119" i="5" s="1"/>
  <c r="B119" i="2"/>
  <c r="C119" i="5" s="1"/>
  <c r="A119" i="2"/>
  <c r="A119" i="5" s="1"/>
  <c r="B119" i="5" s="1"/>
  <c r="F118" i="2"/>
  <c r="L118" i="5" s="1"/>
  <c r="E118" i="2"/>
  <c r="J118" i="5" s="1"/>
  <c r="D118" i="2"/>
  <c r="H118" i="5" s="1"/>
  <c r="C118" i="2"/>
  <c r="E118" i="5" s="1"/>
  <c r="B118" i="2"/>
  <c r="C118" i="5" s="1"/>
  <c r="A118" i="2"/>
  <c r="A118" i="5" s="1"/>
  <c r="B118" i="5" s="1"/>
  <c r="F117" i="2"/>
  <c r="L117" i="5" s="1"/>
  <c r="E117" i="2"/>
  <c r="J117" i="5" s="1"/>
  <c r="D117" i="2"/>
  <c r="H117" i="5" s="1"/>
  <c r="C117" i="2"/>
  <c r="E117" i="5" s="1"/>
  <c r="B117" i="2"/>
  <c r="C117" i="5" s="1"/>
  <c r="A117" i="2"/>
  <c r="A117" i="5" s="1"/>
  <c r="B117" i="5" s="1"/>
  <c r="F116" i="2"/>
  <c r="L116" i="5" s="1"/>
  <c r="E116" i="2"/>
  <c r="J116" i="5" s="1"/>
  <c r="D116" i="2"/>
  <c r="H116" i="5" s="1"/>
  <c r="C116" i="2"/>
  <c r="E116" i="5" s="1"/>
  <c r="B116" i="2"/>
  <c r="C116" i="5" s="1"/>
  <c r="A116" i="2"/>
  <c r="A116" i="5" s="1"/>
  <c r="B116" i="5" s="1"/>
  <c r="F115" i="2"/>
  <c r="L115" i="5" s="1"/>
  <c r="E115" i="2"/>
  <c r="J115" i="5" s="1"/>
  <c r="D115" i="2"/>
  <c r="H115" i="5" s="1"/>
  <c r="C115" i="2"/>
  <c r="E115" i="5" s="1"/>
  <c r="B115" i="2"/>
  <c r="C115" i="5" s="1"/>
  <c r="A115" i="2"/>
  <c r="A115" i="5" s="1"/>
  <c r="B115" i="5" s="1"/>
  <c r="F114" i="2"/>
  <c r="L114" i="5" s="1"/>
  <c r="E114" i="2"/>
  <c r="J114" i="5" s="1"/>
  <c r="D114" i="2"/>
  <c r="H114" i="5" s="1"/>
  <c r="C114" i="2"/>
  <c r="E114" i="5" s="1"/>
  <c r="B114" i="2"/>
  <c r="C114" i="5" s="1"/>
  <c r="A114" i="2"/>
  <c r="A114" i="5" s="1"/>
  <c r="B114" i="5" s="1"/>
  <c r="F113" i="2"/>
  <c r="L113" i="5" s="1"/>
  <c r="E113" i="2"/>
  <c r="J113" i="5" s="1"/>
  <c r="D113" i="2"/>
  <c r="H113" i="5" s="1"/>
  <c r="C113" i="2"/>
  <c r="E113" i="5" s="1"/>
  <c r="B113" i="2"/>
  <c r="C113" i="5" s="1"/>
  <c r="A113" i="2"/>
  <c r="A113" i="5" s="1"/>
  <c r="B113" i="5" s="1"/>
  <c r="F112" i="2"/>
  <c r="L112" i="5" s="1"/>
  <c r="E112" i="2"/>
  <c r="J112" i="5" s="1"/>
  <c r="D112" i="2"/>
  <c r="H112" i="5" s="1"/>
  <c r="C112" i="2"/>
  <c r="E112" i="5" s="1"/>
  <c r="B112" i="2"/>
  <c r="C112" i="5" s="1"/>
  <c r="A112" i="2"/>
  <c r="A112" i="5" s="1"/>
  <c r="B112" i="5" s="1"/>
  <c r="F111" i="2"/>
  <c r="L111" i="5" s="1"/>
  <c r="E111" i="2"/>
  <c r="J111" i="5" s="1"/>
  <c r="D111" i="2"/>
  <c r="H111" i="5" s="1"/>
  <c r="C111" i="2"/>
  <c r="E111" i="5" s="1"/>
  <c r="B111" i="2"/>
  <c r="C111" i="5" s="1"/>
  <c r="A111" i="2"/>
  <c r="A111" i="5" s="1"/>
  <c r="B111" i="5" s="1"/>
  <c r="F110" i="2"/>
  <c r="L110" i="5" s="1"/>
  <c r="E110" i="2"/>
  <c r="J110" i="5" s="1"/>
  <c r="D110" i="2"/>
  <c r="H110" i="5" s="1"/>
  <c r="C110" i="2"/>
  <c r="E110" i="5" s="1"/>
  <c r="B110" i="2"/>
  <c r="C110" i="5" s="1"/>
  <c r="A110" i="2"/>
  <c r="A110" i="5" s="1"/>
  <c r="B110" i="5" s="1"/>
  <c r="F109" i="2"/>
  <c r="L109" i="5" s="1"/>
  <c r="E109" i="2"/>
  <c r="J109" i="5" s="1"/>
  <c r="D109" i="2"/>
  <c r="H109" i="5" s="1"/>
  <c r="C109" i="2"/>
  <c r="E109" i="5" s="1"/>
  <c r="B109" i="2"/>
  <c r="C109" i="5" s="1"/>
  <c r="A109" i="2"/>
  <c r="A109" i="5" s="1"/>
  <c r="B109" i="5" s="1"/>
  <c r="F108" i="2"/>
  <c r="L108" i="5" s="1"/>
  <c r="E108" i="2"/>
  <c r="J108" i="5" s="1"/>
  <c r="D108" i="2"/>
  <c r="H108" i="5" s="1"/>
  <c r="C108" i="2"/>
  <c r="E108" i="5" s="1"/>
  <c r="B108" i="2"/>
  <c r="C108" i="5" s="1"/>
  <c r="A108" i="2"/>
  <c r="A108" i="5" s="1"/>
  <c r="B108" i="5" s="1"/>
  <c r="F107" i="2"/>
  <c r="L107" i="5" s="1"/>
  <c r="E107" i="2"/>
  <c r="J107" i="5" s="1"/>
  <c r="D107" i="2"/>
  <c r="H107" i="5" s="1"/>
  <c r="C107" i="2"/>
  <c r="E107" i="5" s="1"/>
  <c r="B107" i="2"/>
  <c r="C107" i="5" s="1"/>
  <c r="A107" i="2"/>
  <c r="A107" i="5" s="1"/>
  <c r="B107" i="5" s="1"/>
  <c r="F106" i="2"/>
  <c r="L106" i="5" s="1"/>
  <c r="E106" i="2"/>
  <c r="J106" i="5" s="1"/>
  <c r="D106" i="2"/>
  <c r="H106" i="5" s="1"/>
  <c r="C106" i="2"/>
  <c r="E106" i="5" s="1"/>
  <c r="B106" i="2"/>
  <c r="C106" i="5" s="1"/>
  <c r="A106" i="2"/>
  <c r="A106" i="5" s="1"/>
  <c r="B106" i="5" s="1"/>
  <c r="F105" i="2"/>
  <c r="L105" i="5" s="1"/>
  <c r="E105" i="2"/>
  <c r="J105" i="5" s="1"/>
  <c r="D105" i="2"/>
  <c r="H105" i="5" s="1"/>
  <c r="C105" i="2"/>
  <c r="E105" i="5" s="1"/>
  <c r="B105" i="2"/>
  <c r="C105" i="5" s="1"/>
  <c r="A105" i="2"/>
  <c r="A105" i="5" s="1"/>
  <c r="B105" i="5" s="1"/>
  <c r="F104" i="2"/>
  <c r="L104" i="5" s="1"/>
  <c r="E104" i="2"/>
  <c r="J104" i="5" s="1"/>
  <c r="D104" i="2"/>
  <c r="H104" i="5" s="1"/>
  <c r="C104" i="2"/>
  <c r="E104" i="5" s="1"/>
  <c r="B104" i="2"/>
  <c r="C104" i="5" s="1"/>
  <c r="A104" i="2"/>
  <c r="A104" i="5" s="1"/>
  <c r="B104" i="5" s="1"/>
  <c r="F103" i="2"/>
  <c r="L103" i="5" s="1"/>
  <c r="E103" i="2"/>
  <c r="J103" i="5" s="1"/>
  <c r="D103" i="2"/>
  <c r="H103" i="5" s="1"/>
  <c r="C103" i="2"/>
  <c r="E103" i="5" s="1"/>
  <c r="B103" i="2"/>
  <c r="C103" i="5" s="1"/>
  <c r="A103" i="2"/>
  <c r="A103" i="5" s="1"/>
  <c r="B103" i="5" s="1"/>
  <c r="F102" i="2"/>
  <c r="L102" i="5" s="1"/>
  <c r="E102" i="2"/>
  <c r="J102" i="5" s="1"/>
  <c r="D102" i="2"/>
  <c r="H102" i="5" s="1"/>
  <c r="C102" i="2"/>
  <c r="E102" i="5" s="1"/>
  <c r="B102" i="2"/>
  <c r="C102" i="5" s="1"/>
  <c r="A102" i="2"/>
  <c r="A102" i="5" s="1"/>
  <c r="B102" i="5" s="1"/>
  <c r="F101" i="2"/>
  <c r="L101" i="5" s="1"/>
  <c r="E101" i="2"/>
  <c r="J101" i="5" s="1"/>
  <c r="D101" i="2"/>
  <c r="H101" i="5" s="1"/>
  <c r="C101" i="2"/>
  <c r="E101" i="5" s="1"/>
  <c r="B101" i="2"/>
  <c r="C101" i="5" s="1"/>
  <c r="A101" i="2"/>
  <c r="A101" i="5" s="1"/>
  <c r="B101" i="5" s="1"/>
  <c r="F100" i="2"/>
  <c r="L100" i="5" s="1"/>
  <c r="E100" i="2"/>
  <c r="J100" i="5" s="1"/>
  <c r="D100" i="2"/>
  <c r="H100" i="5" s="1"/>
  <c r="C100" i="2"/>
  <c r="E100" i="5" s="1"/>
  <c r="B100" i="2"/>
  <c r="C100" i="5" s="1"/>
  <c r="A100" i="2"/>
  <c r="A100" i="5" s="1"/>
  <c r="B100" i="5" s="1"/>
  <c r="F99" i="2"/>
  <c r="L99" i="5" s="1"/>
  <c r="E99" i="2"/>
  <c r="J99" i="5" s="1"/>
  <c r="D99" i="2"/>
  <c r="H99" i="5" s="1"/>
  <c r="C99" i="2"/>
  <c r="E99" i="5" s="1"/>
  <c r="B99" i="2"/>
  <c r="C99" i="5" s="1"/>
  <c r="A99" i="2"/>
  <c r="A99" i="5" s="1"/>
  <c r="B99" i="5" s="1"/>
  <c r="F98" i="2"/>
  <c r="L98" i="5" s="1"/>
  <c r="E98" i="2"/>
  <c r="J98" i="5" s="1"/>
  <c r="D98" i="2"/>
  <c r="H98" i="5" s="1"/>
  <c r="C98" i="2"/>
  <c r="E98" i="5" s="1"/>
  <c r="B98" i="2"/>
  <c r="C98" i="5" s="1"/>
  <c r="A98" i="2"/>
  <c r="A98" i="5" s="1"/>
  <c r="B98" i="5" s="1"/>
  <c r="F97" i="2"/>
  <c r="L97" i="5" s="1"/>
  <c r="E97" i="2"/>
  <c r="J97" i="5" s="1"/>
  <c r="D97" i="2"/>
  <c r="H97" i="5" s="1"/>
  <c r="C97" i="2"/>
  <c r="E97" i="5" s="1"/>
  <c r="B97" i="2"/>
  <c r="C97" i="5" s="1"/>
  <c r="A97" i="2"/>
  <c r="A97" i="5" s="1"/>
  <c r="B97" i="5" s="1"/>
  <c r="F96" i="2"/>
  <c r="L96" i="5" s="1"/>
  <c r="E96" i="2"/>
  <c r="J96" i="5" s="1"/>
  <c r="D96" i="2"/>
  <c r="H96" i="5" s="1"/>
  <c r="C96" i="2"/>
  <c r="E96" i="5" s="1"/>
  <c r="B96" i="2"/>
  <c r="C96" i="5" s="1"/>
  <c r="A96" i="2"/>
  <c r="A96" i="5" s="1"/>
  <c r="B96" i="5" s="1"/>
  <c r="F95" i="2"/>
  <c r="L95" i="5" s="1"/>
  <c r="E95" i="2"/>
  <c r="J95" i="5" s="1"/>
  <c r="D95" i="2"/>
  <c r="H95" i="5" s="1"/>
  <c r="C95" i="2"/>
  <c r="E95" i="5" s="1"/>
  <c r="B95" i="2"/>
  <c r="C95" i="5" s="1"/>
  <c r="A95" i="2"/>
  <c r="A95" i="5" s="1"/>
  <c r="B95" i="5" s="1"/>
  <c r="F94" i="2"/>
  <c r="L94" i="5" s="1"/>
  <c r="E94" i="2"/>
  <c r="J94" i="5" s="1"/>
  <c r="D94" i="2"/>
  <c r="H94" i="5" s="1"/>
  <c r="C94" i="2"/>
  <c r="E94" i="5" s="1"/>
  <c r="B94" i="2"/>
  <c r="C94" i="5" s="1"/>
  <c r="A94" i="2"/>
  <c r="A94" i="5" s="1"/>
  <c r="B94" i="5" s="1"/>
  <c r="F93" i="2"/>
  <c r="L93" i="5" s="1"/>
  <c r="E93" i="2"/>
  <c r="J93" i="5" s="1"/>
  <c r="D93" i="2"/>
  <c r="H93" i="5" s="1"/>
  <c r="C93" i="2"/>
  <c r="E93" i="5" s="1"/>
  <c r="B93" i="2"/>
  <c r="C93" i="5" s="1"/>
  <c r="A93" i="2"/>
  <c r="A93" i="5" s="1"/>
  <c r="B93" i="5" s="1"/>
  <c r="F92" i="2"/>
  <c r="L92" i="5" s="1"/>
  <c r="E92" i="2"/>
  <c r="J92" i="5" s="1"/>
  <c r="D92" i="2"/>
  <c r="H92" i="5" s="1"/>
  <c r="C92" i="2"/>
  <c r="E92" i="5" s="1"/>
  <c r="B92" i="2"/>
  <c r="C92" i="5" s="1"/>
  <c r="A92" i="2"/>
  <c r="A92" i="5" s="1"/>
  <c r="B92" i="5" s="1"/>
  <c r="F91" i="2"/>
  <c r="L91" i="5" s="1"/>
  <c r="E91" i="2"/>
  <c r="J91" i="5" s="1"/>
  <c r="D91" i="2"/>
  <c r="H91" i="5" s="1"/>
  <c r="C91" i="2"/>
  <c r="E91" i="5" s="1"/>
  <c r="B91" i="2"/>
  <c r="C91" i="5" s="1"/>
  <c r="A91" i="2"/>
  <c r="A91" i="5" s="1"/>
  <c r="B91" i="5" s="1"/>
  <c r="F90" i="2"/>
  <c r="L90" i="5" s="1"/>
  <c r="E90" i="2"/>
  <c r="J90" i="5" s="1"/>
  <c r="D90" i="2"/>
  <c r="H90" i="5" s="1"/>
  <c r="C90" i="2"/>
  <c r="E90" i="5" s="1"/>
  <c r="B90" i="2"/>
  <c r="C90" i="5" s="1"/>
  <c r="A90" i="2"/>
  <c r="A90" i="5" s="1"/>
  <c r="B90" i="5" s="1"/>
  <c r="F89" i="2"/>
  <c r="L89" i="5" s="1"/>
  <c r="E89" i="2"/>
  <c r="J89" i="5" s="1"/>
  <c r="D89" i="2"/>
  <c r="H89" i="5" s="1"/>
  <c r="C89" i="2"/>
  <c r="E89" i="5" s="1"/>
  <c r="B89" i="2"/>
  <c r="C89" i="5" s="1"/>
  <c r="A89" i="2"/>
  <c r="A89" i="5" s="1"/>
  <c r="B89" i="5" s="1"/>
  <c r="F88" i="2"/>
  <c r="L88" i="5" s="1"/>
  <c r="E88" i="2"/>
  <c r="J88" i="5" s="1"/>
  <c r="D88" i="2"/>
  <c r="H88" i="5" s="1"/>
  <c r="C88" i="2"/>
  <c r="E88" i="5" s="1"/>
  <c r="B88" i="2"/>
  <c r="C88" i="5" s="1"/>
  <c r="A88" i="2"/>
  <c r="A88" i="5" s="1"/>
  <c r="B88" i="5" s="1"/>
  <c r="F87" i="2"/>
  <c r="L87" i="5" s="1"/>
  <c r="E87" i="2"/>
  <c r="J87" i="5" s="1"/>
  <c r="D87" i="2"/>
  <c r="H87" i="5" s="1"/>
  <c r="C87" i="2"/>
  <c r="E87" i="5" s="1"/>
  <c r="B87" i="2"/>
  <c r="C87" i="5" s="1"/>
  <c r="A87" i="2"/>
  <c r="A87" i="5" s="1"/>
  <c r="B87" i="5" s="1"/>
  <c r="F86" i="2"/>
  <c r="L86" i="5" s="1"/>
  <c r="E86" i="2"/>
  <c r="J86" i="5" s="1"/>
  <c r="D86" i="2"/>
  <c r="H86" i="5" s="1"/>
  <c r="C86" i="2"/>
  <c r="E86" i="5" s="1"/>
  <c r="B86" i="2"/>
  <c r="C86" i="5" s="1"/>
  <c r="A86" i="2"/>
  <c r="A86" i="5" s="1"/>
  <c r="B86" i="5" s="1"/>
  <c r="F85" i="2"/>
  <c r="L85" i="5" s="1"/>
  <c r="E85" i="2"/>
  <c r="J85" i="5" s="1"/>
  <c r="D85" i="2"/>
  <c r="H85" i="5" s="1"/>
  <c r="C85" i="2"/>
  <c r="E85" i="5" s="1"/>
  <c r="B85" i="2"/>
  <c r="C85" i="5" s="1"/>
  <c r="A85" i="2"/>
  <c r="A85" i="5" s="1"/>
  <c r="B85" i="5" s="1"/>
  <c r="F84" i="2"/>
  <c r="L84" i="5" s="1"/>
  <c r="E84" i="2"/>
  <c r="J84" i="5" s="1"/>
  <c r="D84" i="2"/>
  <c r="H84" i="5" s="1"/>
  <c r="C84" i="2"/>
  <c r="E84" i="5" s="1"/>
  <c r="B84" i="2"/>
  <c r="C84" i="5" s="1"/>
  <c r="A84" i="2"/>
  <c r="A84" i="5" s="1"/>
  <c r="B84" i="5" s="1"/>
  <c r="F83" i="2"/>
  <c r="L83" i="5" s="1"/>
  <c r="E83" i="2"/>
  <c r="J83" i="5" s="1"/>
  <c r="D83" i="2"/>
  <c r="H83" i="5" s="1"/>
  <c r="C83" i="2"/>
  <c r="E83" i="5" s="1"/>
  <c r="B83" i="2"/>
  <c r="C83" i="5" s="1"/>
  <c r="A83" i="2"/>
  <c r="A83" i="5" s="1"/>
  <c r="B83" i="5" s="1"/>
  <c r="F82" i="2"/>
  <c r="L82" i="5" s="1"/>
  <c r="E82" i="2"/>
  <c r="J82" i="5" s="1"/>
  <c r="D82" i="2"/>
  <c r="H82" i="5" s="1"/>
  <c r="C82" i="2"/>
  <c r="E82" i="5" s="1"/>
  <c r="B82" i="2"/>
  <c r="C82" i="5" s="1"/>
  <c r="A82" i="2"/>
  <c r="A82" i="5" s="1"/>
  <c r="B82" i="5" s="1"/>
  <c r="F81" i="2"/>
  <c r="L81" i="5" s="1"/>
  <c r="E81" i="2"/>
  <c r="J81" i="5" s="1"/>
  <c r="D81" i="2"/>
  <c r="H81" i="5" s="1"/>
  <c r="C81" i="2"/>
  <c r="E81" i="5" s="1"/>
  <c r="B81" i="2"/>
  <c r="C81" i="5" s="1"/>
  <c r="A81" i="2"/>
  <c r="A81" i="5" s="1"/>
  <c r="B81" i="5" s="1"/>
  <c r="F80" i="2"/>
  <c r="L80" i="5" s="1"/>
  <c r="E80" i="2"/>
  <c r="J80" i="5" s="1"/>
  <c r="D80" i="2"/>
  <c r="H80" i="5" s="1"/>
  <c r="C80" i="2"/>
  <c r="E80" i="5" s="1"/>
  <c r="B80" i="2"/>
  <c r="C80" i="5" s="1"/>
  <c r="A80" i="2"/>
  <c r="A80" i="5" s="1"/>
  <c r="B80" i="5" s="1"/>
  <c r="F79" i="2"/>
  <c r="L79" i="5" s="1"/>
  <c r="E79" i="2"/>
  <c r="J79" i="5" s="1"/>
  <c r="D79" i="2"/>
  <c r="H79" i="5" s="1"/>
  <c r="C79" i="2"/>
  <c r="E79" i="5" s="1"/>
  <c r="B79" i="2"/>
  <c r="C79" i="5" s="1"/>
  <c r="A79" i="2"/>
  <c r="A79" i="5" s="1"/>
  <c r="B79" i="5" s="1"/>
  <c r="F78" i="2"/>
  <c r="L78" i="5" s="1"/>
  <c r="E78" i="2"/>
  <c r="J78" i="5" s="1"/>
  <c r="D78" i="2"/>
  <c r="H78" i="5" s="1"/>
  <c r="C78" i="2"/>
  <c r="E78" i="5" s="1"/>
  <c r="B78" i="2"/>
  <c r="C78" i="5" s="1"/>
  <c r="A78" i="2"/>
  <c r="A78" i="5" s="1"/>
  <c r="B78" i="5" s="1"/>
  <c r="F77" i="2"/>
  <c r="L77" i="5" s="1"/>
  <c r="E77" i="2"/>
  <c r="J77" i="5" s="1"/>
  <c r="D77" i="2"/>
  <c r="H77" i="5" s="1"/>
  <c r="C77" i="2"/>
  <c r="E77" i="5" s="1"/>
  <c r="B77" i="2"/>
  <c r="C77" i="5" s="1"/>
  <c r="A77" i="2"/>
  <c r="A77" i="5" s="1"/>
  <c r="B77" i="5" s="1"/>
  <c r="F76" i="2"/>
  <c r="L76" i="5" s="1"/>
  <c r="E76" i="2"/>
  <c r="J76" i="5" s="1"/>
  <c r="D76" i="2"/>
  <c r="H76" i="5" s="1"/>
  <c r="C76" i="2"/>
  <c r="E76" i="5" s="1"/>
  <c r="B76" i="2"/>
  <c r="C76" i="5" s="1"/>
  <c r="A76" i="2"/>
  <c r="A76" i="5" s="1"/>
  <c r="B76" i="5" s="1"/>
  <c r="F75" i="2"/>
  <c r="L75" i="5" s="1"/>
  <c r="E75" i="2"/>
  <c r="J75" i="5" s="1"/>
  <c r="D75" i="2"/>
  <c r="H75" i="5" s="1"/>
  <c r="C75" i="2"/>
  <c r="E75" i="5" s="1"/>
  <c r="B75" i="2"/>
  <c r="C75" i="5" s="1"/>
  <c r="A75" i="2"/>
  <c r="A75" i="5" s="1"/>
  <c r="B75" i="5" s="1"/>
  <c r="F74" i="2"/>
  <c r="L74" i="5" s="1"/>
  <c r="E74" i="2"/>
  <c r="J74" i="5" s="1"/>
  <c r="D74" i="2"/>
  <c r="H74" i="5" s="1"/>
  <c r="C74" i="2"/>
  <c r="E74" i="5" s="1"/>
  <c r="B74" i="2"/>
  <c r="C74" i="5" s="1"/>
  <c r="A74" i="2"/>
  <c r="A74" i="5" s="1"/>
  <c r="B74" i="5" s="1"/>
  <c r="F73" i="2"/>
  <c r="L73" i="5" s="1"/>
  <c r="E73" i="2"/>
  <c r="J73" i="5" s="1"/>
  <c r="D73" i="2"/>
  <c r="H73" i="5" s="1"/>
  <c r="C73" i="2"/>
  <c r="E73" i="5" s="1"/>
  <c r="B73" i="2"/>
  <c r="C73" i="5" s="1"/>
  <c r="A73" i="2"/>
  <c r="A73" i="5" s="1"/>
  <c r="B73" i="5" s="1"/>
  <c r="F72" i="2"/>
  <c r="L72" i="5" s="1"/>
  <c r="E72" i="2"/>
  <c r="J72" i="5" s="1"/>
  <c r="D72" i="2"/>
  <c r="H72" i="5" s="1"/>
  <c r="C72" i="2"/>
  <c r="E72" i="5" s="1"/>
  <c r="B72" i="2"/>
  <c r="C72" i="5" s="1"/>
  <c r="A72" i="2"/>
  <c r="A72" i="5" s="1"/>
  <c r="B72" i="5" s="1"/>
  <c r="F71" i="2"/>
  <c r="L71" i="5" s="1"/>
  <c r="E71" i="2"/>
  <c r="J71" i="5" s="1"/>
  <c r="D71" i="2"/>
  <c r="H71" i="5" s="1"/>
  <c r="C71" i="2"/>
  <c r="E71" i="5" s="1"/>
  <c r="B71" i="2"/>
  <c r="C71" i="5" s="1"/>
  <c r="A71" i="2"/>
  <c r="A71" i="5" s="1"/>
  <c r="B71" i="5" s="1"/>
  <c r="F70" i="2"/>
  <c r="L70" i="5" s="1"/>
  <c r="E70" i="2"/>
  <c r="J70" i="5" s="1"/>
  <c r="D70" i="2"/>
  <c r="H70" i="5" s="1"/>
  <c r="C70" i="2"/>
  <c r="E70" i="5" s="1"/>
  <c r="B70" i="2"/>
  <c r="C70" i="5" s="1"/>
  <c r="A70" i="2"/>
  <c r="A70" i="5" s="1"/>
  <c r="B70" i="5" s="1"/>
  <c r="F69" i="2"/>
  <c r="L69" i="5" s="1"/>
  <c r="E69" i="2"/>
  <c r="J69" i="5" s="1"/>
  <c r="D69" i="2"/>
  <c r="H69" i="5" s="1"/>
  <c r="C69" i="2"/>
  <c r="E69" i="5" s="1"/>
  <c r="B69" i="2"/>
  <c r="C69" i="5" s="1"/>
  <c r="A69" i="2"/>
  <c r="A69" i="5" s="1"/>
  <c r="B69" i="5" s="1"/>
  <c r="F68" i="2"/>
  <c r="L68" i="5" s="1"/>
  <c r="E68" i="2"/>
  <c r="J68" i="5" s="1"/>
  <c r="D68" i="2"/>
  <c r="H68" i="5" s="1"/>
  <c r="C68" i="2"/>
  <c r="E68" i="5" s="1"/>
  <c r="B68" i="2"/>
  <c r="C68" i="5" s="1"/>
  <c r="A68" i="2"/>
  <c r="A68" i="5" s="1"/>
  <c r="B68" i="5" s="1"/>
  <c r="F67" i="2"/>
  <c r="L67" i="5" s="1"/>
  <c r="E67" i="2"/>
  <c r="J67" i="5" s="1"/>
  <c r="D67" i="2"/>
  <c r="H67" i="5" s="1"/>
  <c r="C67" i="2"/>
  <c r="E67" i="5" s="1"/>
  <c r="B67" i="2"/>
  <c r="C67" i="5" s="1"/>
  <c r="A67" i="2"/>
  <c r="A67" i="5" s="1"/>
  <c r="B67" i="5" s="1"/>
  <c r="F66" i="2"/>
  <c r="L66" i="5" s="1"/>
  <c r="E66" i="2"/>
  <c r="J66" i="5" s="1"/>
  <c r="D66" i="2"/>
  <c r="H66" i="5" s="1"/>
  <c r="C66" i="2"/>
  <c r="E66" i="5" s="1"/>
  <c r="B66" i="2"/>
  <c r="C66" i="5" s="1"/>
  <c r="A66" i="2"/>
  <c r="A66" i="5" s="1"/>
  <c r="B66" i="5" s="1"/>
  <c r="F65" i="2"/>
  <c r="L65" i="5" s="1"/>
  <c r="E65" i="2"/>
  <c r="J65" i="5" s="1"/>
  <c r="D65" i="2"/>
  <c r="H65" i="5" s="1"/>
  <c r="C65" i="2"/>
  <c r="E65" i="5" s="1"/>
  <c r="B65" i="2"/>
  <c r="C65" i="5" s="1"/>
  <c r="A65" i="2"/>
  <c r="A65" i="5" s="1"/>
  <c r="B65" i="5" s="1"/>
  <c r="F64" i="2"/>
  <c r="L64" i="5" s="1"/>
  <c r="E64" i="2"/>
  <c r="J64" i="5" s="1"/>
  <c r="D64" i="2"/>
  <c r="H64" i="5" s="1"/>
  <c r="C64" i="2"/>
  <c r="E64" i="5" s="1"/>
  <c r="B64" i="2"/>
  <c r="C64" i="5" s="1"/>
  <c r="A64" i="2"/>
  <c r="A64" i="5" s="1"/>
  <c r="B64" i="5" s="1"/>
  <c r="F63" i="2"/>
  <c r="L63" i="5" s="1"/>
  <c r="E63" i="2"/>
  <c r="J63" i="5" s="1"/>
  <c r="D63" i="2"/>
  <c r="H63" i="5" s="1"/>
  <c r="C63" i="2"/>
  <c r="E63" i="5" s="1"/>
  <c r="B63" i="2"/>
  <c r="C63" i="5" s="1"/>
  <c r="A63" i="2"/>
  <c r="A63" i="5" s="1"/>
  <c r="B63" i="5" s="1"/>
  <c r="F62" i="2"/>
  <c r="L62" i="5" s="1"/>
  <c r="E62" i="2"/>
  <c r="J62" i="5" s="1"/>
  <c r="D62" i="2"/>
  <c r="H62" i="5" s="1"/>
  <c r="C62" i="2"/>
  <c r="E62" i="5" s="1"/>
  <c r="B62" i="2"/>
  <c r="C62" i="5" s="1"/>
  <c r="A62" i="2"/>
  <c r="A62" i="5" s="1"/>
  <c r="B62" i="5" s="1"/>
  <c r="F61" i="2"/>
  <c r="L61" i="5" s="1"/>
  <c r="E61" i="2"/>
  <c r="J61" i="5" s="1"/>
  <c r="D61" i="2"/>
  <c r="H61" i="5" s="1"/>
  <c r="C61" i="2"/>
  <c r="E61" i="5" s="1"/>
  <c r="B61" i="2"/>
  <c r="C61" i="5" s="1"/>
  <c r="A61" i="2"/>
  <c r="A61" i="5" s="1"/>
  <c r="B61" i="5" s="1"/>
  <c r="F60" i="2"/>
  <c r="L60" i="5" s="1"/>
  <c r="E60" i="2"/>
  <c r="J60" i="5" s="1"/>
  <c r="D60" i="2"/>
  <c r="H60" i="5" s="1"/>
  <c r="C60" i="2"/>
  <c r="E60" i="5" s="1"/>
  <c r="B60" i="2"/>
  <c r="C60" i="5" s="1"/>
  <c r="A60" i="2"/>
  <c r="A60" i="5" s="1"/>
  <c r="B60" i="5" s="1"/>
  <c r="F59" i="2"/>
  <c r="L59" i="5" s="1"/>
  <c r="E59" i="2"/>
  <c r="J59" i="5" s="1"/>
  <c r="D59" i="2"/>
  <c r="H59" i="5" s="1"/>
  <c r="C59" i="2"/>
  <c r="E59" i="5" s="1"/>
  <c r="B59" i="2"/>
  <c r="C59" i="5" s="1"/>
  <c r="A59" i="2"/>
  <c r="A59" i="5" s="1"/>
  <c r="B59" i="5" s="1"/>
  <c r="F58" i="2"/>
  <c r="L58" i="5" s="1"/>
  <c r="E58" i="2"/>
  <c r="J58" i="5" s="1"/>
  <c r="D58" i="2"/>
  <c r="H58" i="5" s="1"/>
  <c r="C58" i="2"/>
  <c r="E58" i="5" s="1"/>
  <c r="B58" i="2"/>
  <c r="C58" i="5" s="1"/>
  <c r="A58" i="2"/>
  <c r="A58" i="5" s="1"/>
  <c r="B58" i="5" s="1"/>
  <c r="F57" i="2"/>
  <c r="L57" i="5" s="1"/>
  <c r="E57" i="2"/>
  <c r="J57" i="5" s="1"/>
  <c r="D57" i="2"/>
  <c r="H57" i="5" s="1"/>
  <c r="C57" i="2"/>
  <c r="E57" i="5" s="1"/>
  <c r="B57" i="2"/>
  <c r="C57" i="5" s="1"/>
  <c r="A57" i="2"/>
  <c r="A57" i="5" s="1"/>
  <c r="B57" i="5" s="1"/>
  <c r="F56" i="2"/>
  <c r="L56" i="5" s="1"/>
  <c r="E56" i="2"/>
  <c r="J56" i="5" s="1"/>
  <c r="D56" i="2"/>
  <c r="H56" i="5" s="1"/>
  <c r="C56" i="2"/>
  <c r="E56" i="5" s="1"/>
  <c r="B56" i="2"/>
  <c r="C56" i="5" s="1"/>
  <c r="A56" i="2"/>
  <c r="A56" i="5" s="1"/>
  <c r="B56" i="5" s="1"/>
  <c r="F55" i="2"/>
  <c r="L55" i="5" s="1"/>
  <c r="E55" i="2"/>
  <c r="J55" i="5" s="1"/>
  <c r="D55" i="2"/>
  <c r="H55" i="5" s="1"/>
  <c r="C55" i="2"/>
  <c r="E55" i="5" s="1"/>
  <c r="B55" i="2"/>
  <c r="C55" i="5" s="1"/>
  <c r="A55" i="2"/>
  <c r="A55" i="5" s="1"/>
  <c r="B55" i="5" s="1"/>
  <c r="F54" i="2"/>
  <c r="L54" i="5" s="1"/>
  <c r="E54" i="2"/>
  <c r="J54" i="5" s="1"/>
  <c r="D54" i="2"/>
  <c r="H54" i="5" s="1"/>
  <c r="C54" i="2"/>
  <c r="E54" i="5" s="1"/>
  <c r="B54" i="2"/>
  <c r="C54" i="5" s="1"/>
  <c r="A54" i="2"/>
  <c r="A54" i="5" s="1"/>
  <c r="B54" i="5" s="1"/>
  <c r="F53" i="2"/>
  <c r="L53" i="5" s="1"/>
  <c r="E53" i="2"/>
  <c r="J53" i="5" s="1"/>
  <c r="D53" i="2"/>
  <c r="H53" i="5" s="1"/>
  <c r="C53" i="2"/>
  <c r="E53" i="5" s="1"/>
  <c r="B53" i="2"/>
  <c r="C53" i="5" s="1"/>
  <c r="A53" i="2"/>
  <c r="A53" i="5" s="1"/>
  <c r="B53" i="5" s="1"/>
  <c r="F52" i="2"/>
  <c r="L52" i="5" s="1"/>
  <c r="E52" i="2"/>
  <c r="J52" i="5" s="1"/>
  <c r="D52" i="2"/>
  <c r="H52" i="5" s="1"/>
  <c r="C52" i="2"/>
  <c r="E52" i="5" s="1"/>
  <c r="B52" i="2"/>
  <c r="C52" i="5" s="1"/>
  <c r="A52" i="2"/>
  <c r="A52" i="5" s="1"/>
  <c r="B52" i="5" s="1"/>
  <c r="F51" i="2"/>
  <c r="L51" i="5" s="1"/>
  <c r="E51" i="2"/>
  <c r="J51" i="5" s="1"/>
  <c r="D51" i="2"/>
  <c r="H51" i="5" s="1"/>
  <c r="C51" i="2"/>
  <c r="E51" i="5" s="1"/>
  <c r="B51" i="2"/>
  <c r="C51" i="5" s="1"/>
  <c r="A51" i="2"/>
  <c r="A51" i="5" s="1"/>
  <c r="B51" i="5" s="1"/>
  <c r="F50" i="2"/>
  <c r="L50" i="5" s="1"/>
  <c r="E50" i="2"/>
  <c r="J50" i="5" s="1"/>
  <c r="D50" i="2"/>
  <c r="H50" i="5" s="1"/>
  <c r="C50" i="2"/>
  <c r="E50" i="5" s="1"/>
  <c r="B50" i="2"/>
  <c r="C50" i="5" s="1"/>
  <c r="A50" i="2"/>
  <c r="A50" i="5" s="1"/>
  <c r="B50" i="5" s="1"/>
  <c r="F49" i="2"/>
  <c r="L49" i="5" s="1"/>
  <c r="E49" i="2"/>
  <c r="J49" i="5" s="1"/>
  <c r="D49" i="2"/>
  <c r="H49" i="5" s="1"/>
  <c r="C49" i="2"/>
  <c r="E49" i="5" s="1"/>
  <c r="B49" i="2"/>
  <c r="C49" i="5" s="1"/>
  <c r="A49" i="2"/>
  <c r="A49" i="5" s="1"/>
  <c r="B49" i="5" s="1"/>
  <c r="F48" i="2"/>
  <c r="L48" i="5" s="1"/>
  <c r="E48" i="2"/>
  <c r="J48" i="5" s="1"/>
  <c r="D48" i="2"/>
  <c r="H48" i="5" s="1"/>
  <c r="C48" i="2"/>
  <c r="E48" i="5" s="1"/>
  <c r="B48" i="2"/>
  <c r="C48" i="5" s="1"/>
  <c r="A48" i="2"/>
  <c r="A48" i="5" s="1"/>
  <c r="B48" i="5" s="1"/>
  <c r="F47" i="2"/>
  <c r="L47" i="5" s="1"/>
  <c r="E47" i="2"/>
  <c r="J47" i="5" s="1"/>
  <c r="D47" i="2"/>
  <c r="H47" i="5" s="1"/>
  <c r="C47" i="2"/>
  <c r="E47" i="5" s="1"/>
  <c r="B47" i="2"/>
  <c r="C47" i="5" s="1"/>
  <c r="A47" i="2"/>
  <c r="A47" i="5" s="1"/>
  <c r="B47" i="5" s="1"/>
  <c r="F46" i="2"/>
  <c r="L46" i="5" s="1"/>
  <c r="E46" i="2"/>
  <c r="J46" i="5" s="1"/>
  <c r="D46" i="2"/>
  <c r="H46" i="5" s="1"/>
  <c r="C46" i="2"/>
  <c r="E46" i="5" s="1"/>
  <c r="B46" i="2"/>
  <c r="C46" i="5" s="1"/>
  <c r="A46" i="2"/>
  <c r="A46" i="5" s="1"/>
  <c r="B46" i="5" s="1"/>
  <c r="F45" i="2"/>
  <c r="L45" i="5" s="1"/>
  <c r="E45" i="2"/>
  <c r="J45" i="5" s="1"/>
  <c r="D45" i="2"/>
  <c r="H45" i="5" s="1"/>
  <c r="C45" i="2"/>
  <c r="E45" i="5" s="1"/>
  <c r="B45" i="2"/>
  <c r="C45" i="5" s="1"/>
  <c r="A45" i="2"/>
  <c r="A45" i="5" s="1"/>
  <c r="B45" i="5" s="1"/>
  <c r="F44" i="2"/>
  <c r="L44" i="5" s="1"/>
  <c r="E44" i="2"/>
  <c r="J44" i="5" s="1"/>
  <c r="D44" i="2"/>
  <c r="H44" i="5" s="1"/>
  <c r="C44" i="2"/>
  <c r="E44" i="5" s="1"/>
  <c r="B44" i="2"/>
  <c r="C44" i="5" s="1"/>
  <c r="A44" i="2"/>
  <c r="A44" i="5" s="1"/>
  <c r="B44" i="5" s="1"/>
  <c r="F43" i="2"/>
  <c r="L43" i="5" s="1"/>
  <c r="E43" i="2"/>
  <c r="J43" i="5" s="1"/>
  <c r="D43" i="2"/>
  <c r="H43" i="5" s="1"/>
  <c r="C43" i="2"/>
  <c r="E43" i="5" s="1"/>
  <c r="B43" i="2"/>
  <c r="C43" i="5" s="1"/>
  <c r="A43" i="2"/>
  <c r="A43" i="5" s="1"/>
  <c r="B43" i="5" s="1"/>
  <c r="F42" i="2"/>
  <c r="L42" i="5" s="1"/>
  <c r="E42" i="2"/>
  <c r="J42" i="5" s="1"/>
  <c r="D42" i="2"/>
  <c r="H42" i="5" s="1"/>
  <c r="C42" i="2"/>
  <c r="E42" i="5" s="1"/>
  <c r="B42" i="2"/>
  <c r="C42" i="5" s="1"/>
  <c r="A42" i="2"/>
  <c r="A42" i="5" s="1"/>
  <c r="B42" i="5" s="1"/>
  <c r="F41" i="2"/>
  <c r="L41" i="5" s="1"/>
  <c r="E41" i="2"/>
  <c r="J41" i="5" s="1"/>
  <c r="D41" i="2"/>
  <c r="H41" i="5" s="1"/>
  <c r="C41" i="2"/>
  <c r="E41" i="5" s="1"/>
  <c r="B41" i="2"/>
  <c r="C41" i="5" s="1"/>
  <c r="A41" i="2"/>
  <c r="A41" i="5" s="1"/>
  <c r="B41" i="5" s="1"/>
  <c r="F40" i="2"/>
  <c r="L40" i="5" s="1"/>
  <c r="E40" i="2"/>
  <c r="J40" i="5" s="1"/>
  <c r="D40" i="2"/>
  <c r="H40" i="5" s="1"/>
  <c r="C40" i="2"/>
  <c r="E40" i="5" s="1"/>
  <c r="B40" i="2"/>
  <c r="C40" i="5" s="1"/>
  <c r="A40" i="2"/>
  <c r="A40" i="5" s="1"/>
  <c r="B40" i="5" s="1"/>
  <c r="F39" i="2"/>
  <c r="L39" i="5" s="1"/>
  <c r="E39" i="2"/>
  <c r="J39" i="5" s="1"/>
  <c r="D39" i="2"/>
  <c r="H39" i="5" s="1"/>
  <c r="C39" i="2"/>
  <c r="E39" i="5" s="1"/>
  <c r="B39" i="2"/>
  <c r="C39" i="5" s="1"/>
  <c r="A39" i="2"/>
  <c r="A39" i="5" s="1"/>
  <c r="B39" i="5" s="1"/>
  <c r="F38" i="2"/>
  <c r="L38" i="5" s="1"/>
  <c r="E38" i="2"/>
  <c r="J38" i="5" s="1"/>
  <c r="D38" i="2"/>
  <c r="H38" i="5" s="1"/>
  <c r="C38" i="2"/>
  <c r="E38" i="5" s="1"/>
  <c r="B38" i="2"/>
  <c r="C38" i="5" s="1"/>
  <c r="A38" i="2"/>
  <c r="A38" i="5" s="1"/>
  <c r="B38" i="5" s="1"/>
  <c r="F37" i="2"/>
  <c r="L37" i="5" s="1"/>
  <c r="E37" i="2"/>
  <c r="J37" i="5" s="1"/>
  <c r="D37" i="2"/>
  <c r="H37" i="5" s="1"/>
  <c r="C37" i="2"/>
  <c r="E37" i="5" s="1"/>
  <c r="B37" i="2"/>
  <c r="C37" i="5" s="1"/>
  <c r="A37" i="2"/>
  <c r="A37" i="5" s="1"/>
  <c r="B37" i="5" s="1"/>
  <c r="F36" i="2"/>
  <c r="L36" i="5" s="1"/>
  <c r="E36" i="2"/>
  <c r="J36" i="5" s="1"/>
  <c r="D36" i="2"/>
  <c r="H36" i="5" s="1"/>
  <c r="C36" i="2"/>
  <c r="E36" i="5" s="1"/>
  <c r="B36" i="2"/>
  <c r="C36" i="5" s="1"/>
  <c r="A36" i="2"/>
  <c r="A36" i="5" s="1"/>
  <c r="B36" i="5" s="1"/>
  <c r="F35" i="2"/>
  <c r="L35" i="5" s="1"/>
  <c r="E35" i="2"/>
  <c r="J35" i="5" s="1"/>
  <c r="D35" i="2"/>
  <c r="H35" i="5" s="1"/>
  <c r="C35" i="2"/>
  <c r="E35" i="5" s="1"/>
  <c r="B35" i="2"/>
  <c r="C35" i="5" s="1"/>
  <c r="A35" i="2"/>
  <c r="A35" i="5" s="1"/>
  <c r="B35" i="5" s="1"/>
  <c r="F34" i="2"/>
  <c r="L34" i="5" s="1"/>
  <c r="E34" i="2"/>
  <c r="J34" i="5" s="1"/>
  <c r="D34" i="2"/>
  <c r="H34" i="5" s="1"/>
  <c r="C34" i="2"/>
  <c r="E34" i="5" s="1"/>
  <c r="B34" i="2"/>
  <c r="C34" i="5" s="1"/>
  <c r="A34" i="2"/>
  <c r="A34" i="5" s="1"/>
  <c r="B34" i="5" s="1"/>
  <c r="F33" i="2"/>
  <c r="L33" i="5" s="1"/>
  <c r="E33" i="2"/>
  <c r="J33" i="5" s="1"/>
  <c r="D33" i="2"/>
  <c r="H33" i="5" s="1"/>
  <c r="C33" i="2"/>
  <c r="E33" i="5" s="1"/>
  <c r="B33" i="2"/>
  <c r="C33" i="5" s="1"/>
  <c r="A33" i="2"/>
  <c r="A33" i="5" s="1"/>
  <c r="B33" i="5" s="1"/>
  <c r="F32" i="2"/>
  <c r="L32" i="5" s="1"/>
  <c r="E32" i="2"/>
  <c r="J32" i="5" s="1"/>
  <c r="D32" i="2"/>
  <c r="H32" i="5" s="1"/>
  <c r="C32" i="2"/>
  <c r="E32" i="5" s="1"/>
  <c r="B32" i="2"/>
  <c r="C32" i="5" s="1"/>
  <c r="A32" i="2"/>
  <c r="A32" i="5" s="1"/>
  <c r="B32" i="5" s="1"/>
  <c r="F31" i="2"/>
  <c r="L31" i="5" s="1"/>
  <c r="E31" i="2"/>
  <c r="J31" i="5" s="1"/>
  <c r="D31" i="2"/>
  <c r="H31" i="5" s="1"/>
  <c r="C31" i="2"/>
  <c r="E31" i="5" s="1"/>
  <c r="B31" i="2"/>
  <c r="C31" i="5" s="1"/>
  <c r="A31" i="2"/>
  <c r="A31" i="5" s="1"/>
  <c r="B31" i="5" s="1"/>
  <c r="F30" i="2"/>
  <c r="L30" i="5" s="1"/>
  <c r="E30" i="2"/>
  <c r="J30" i="5" s="1"/>
  <c r="D30" i="2"/>
  <c r="H30" i="5" s="1"/>
  <c r="C30" i="2"/>
  <c r="E30" i="5" s="1"/>
  <c r="B30" i="2"/>
  <c r="C30" i="5" s="1"/>
  <c r="A30" i="2"/>
  <c r="A30" i="5" s="1"/>
  <c r="B30" i="5" s="1"/>
  <c r="F29" i="2"/>
  <c r="L29" i="5" s="1"/>
  <c r="E29" i="2"/>
  <c r="J29" i="5" s="1"/>
  <c r="D29" i="2"/>
  <c r="H29" i="5" s="1"/>
  <c r="C29" i="2"/>
  <c r="E29" i="5" s="1"/>
  <c r="B29" i="2"/>
  <c r="C29" i="5" s="1"/>
  <c r="A29" i="2"/>
  <c r="A29" i="5" s="1"/>
  <c r="B29" i="5" s="1"/>
  <c r="F28" i="2"/>
  <c r="L28" i="5" s="1"/>
  <c r="E28" i="2"/>
  <c r="J28" i="5" s="1"/>
  <c r="D28" i="2"/>
  <c r="H28" i="5" s="1"/>
  <c r="C28" i="2"/>
  <c r="E28" i="5" s="1"/>
  <c r="B28" i="2"/>
  <c r="C28" i="5" s="1"/>
  <c r="A28" i="2"/>
  <c r="A28" i="5" s="1"/>
  <c r="B28" i="5" s="1"/>
  <c r="F27" i="2"/>
  <c r="L27" i="5" s="1"/>
  <c r="E27" i="2"/>
  <c r="J27" i="5" s="1"/>
  <c r="D27" i="2"/>
  <c r="H27" i="5" s="1"/>
  <c r="C27" i="2"/>
  <c r="E27" i="5" s="1"/>
  <c r="B27" i="2"/>
  <c r="C27" i="5" s="1"/>
  <c r="A27" i="2"/>
  <c r="A27" i="5" s="1"/>
  <c r="B27" i="5" s="1"/>
  <c r="F26" i="2"/>
  <c r="L26" i="5" s="1"/>
  <c r="E26" i="2"/>
  <c r="J26" i="5" s="1"/>
  <c r="D26" i="2"/>
  <c r="H26" i="5" s="1"/>
  <c r="C26" i="2"/>
  <c r="E26" i="5" s="1"/>
  <c r="B26" i="2"/>
  <c r="C26" i="5" s="1"/>
  <c r="A26" i="2"/>
  <c r="A26" i="5" s="1"/>
  <c r="B26" i="5" s="1"/>
  <c r="F25" i="2"/>
  <c r="L25" i="5" s="1"/>
  <c r="E25" i="2"/>
  <c r="J25" i="5" s="1"/>
  <c r="D25" i="2"/>
  <c r="H25" i="5" s="1"/>
  <c r="C25" i="2"/>
  <c r="E25" i="5" s="1"/>
  <c r="B25" i="2"/>
  <c r="C25" i="5" s="1"/>
  <c r="A25" i="2"/>
  <c r="A25" i="5" s="1"/>
  <c r="B25" i="5" s="1"/>
  <c r="F24" i="2"/>
  <c r="L24" i="5" s="1"/>
  <c r="E24" i="2"/>
  <c r="J24" i="5" s="1"/>
  <c r="D24" i="2"/>
  <c r="H24" i="5" s="1"/>
  <c r="C24" i="2"/>
  <c r="E24" i="5" s="1"/>
  <c r="B24" i="2"/>
  <c r="C24" i="5" s="1"/>
  <c r="A24" i="2"/>
  <c r="A24" i="5" s="1"/>
  <c r="B24" i="5" s="1"/>
  <c r="F23" i="2"/>
  <c r="L23" i="5" s="1"/>
  <c r="E23" i="2"/>
  <c r="J23" i="5" s="1"/>
  <c r="D23" i="2"/>
  <c r="H23" i="5" s="1"/>
  <c r="C23" i="2"/>
  <c r="E23" i="5" s="1"/>
  <c r="B23" i="2"/>
  <c r="C23" i="5" s="1"/>
  <c r="A23" i="2"/>
  <c r="A23" i="5" s="1"/>
  <c r="B23" i="5" s="1"/>
  <c r="F22" i="2"/>
  <c r="L22" i="5" s="1"/>
  <c r="E22" i="2"/>
  <c r="J22" i="5" s="1"/>
  <c r="D22" i="2"/>
  <c r="H22" i="5" s="1"/>
  <c r="C22" i="2"/>
  <c r="E22" i="5" s="1"/>
  <c r="B22" i="2"/>
  <c r="C22" i="5" s="1"/>
  <c r="A22" i="2"/>
  <c r="A22" i="5" s="1"/>
  <c r="B22" i="5" s="1"/>
  <c r="F21" i="2"/>
  <c r="L21" i="5" s="1"/>
  <c r="E21" i="2"/>
  <c r="J21" i="5" s="1"/>
  <c r="D21" i="2"/>
  <c r="H21" i="5" s="1"/>
  <c r="C21" i="2"/>
  <c r="E21" i="5" s="1"/>
  <c r="B21" i="2"/>
  <c r="C21" i="5" s="1"/>
  <c r="A21" i="2"/>
  <c r="A21" i="5" s="1"/>
  <c r="B21" i="5" s="1"/>
  <c r="F20" i="2"/>
  <c r="L20" i="5" s="1"/>
  <c r="E20" i="2"/>
  <c r="J20" i="5" s="1"/>
  <c r="D20" i="2"/>
  <c r="H20" i="5" s="1"/>
  <c r="C20" i="2"/>
  <c r="E20" i="5" s="1"/>
  <c r="B20" i="2"/>
  <c r="C20" i="5" s="1"/>
  <c r="A20" i="2"/>
  <c r="A20" i="5" s="1"/>
  <c r="B20" i="5" s="1"/>
  <c r="F19" i="2"/>
  <c r="L19" i="5" s="1"/>
  <c r="E19" i="2"/>
  <c r="J19" i="5" s="1"/>
  <c r="D19" i="2"/>
  <c r="H19" i="5" s="1"/>
  <c r="C19" i="2"/>
  <c r="E19" i="5" s="1"/>
  <c r="B19" i="2"/>
  <c r="C19" i="5" s="1"/>
  <c r="A19" i="2"/>
  <c r="A19" i="5" s="1"/>
  <c r="B19" i="5" s="1"/>
  <c r="F18" i="2"/>
  <c r="L18" i="5" s="1"/>
  <c r="E18" i="2"/>
  <c r="J18" i="5" s="1"/>
  <c r="D18" i="2"/>
  <c r="H18" i="5" s="1"/>
  <c r="C18" i="2"/>
  <c r="E18" i="5" s="1"/>
  <c r="B18" i="2"/>
  <c r="C18" i="5" s="1"/>
  <c r="A18" i="2"/>
  <c r="A18" i="5" s="1"/>
  <c r="B18" i="5" s="1"/>
  <c r="F17" i="2"/>
  <c r="L17" i="5" s="1"/>
  <c r="E17" i="2"/>
  <c r="J17" i="5" s="1"/>
  <c r="D17" i="2"/>
  <c r="H17" i="5" s="1"/>
  <c r="C17" i="2"/>
  <c r="E17" i="5" s="1"/>
  <c r="B17" i="2"/>
  <c r="C17" i="5" s="1"/>
  <c r="A17" i="2"/>
  <c r="A17" i="5" s="1"/>
  <c r="B17" i="5" s="1"/>
  <c r="F16" i="2"/>
  <c r="L16" i="5" s="1"/>
  <c r="E16" i="2"/>
  <c r="J16" i="5" s="1"/>
  <c r="D16" i="2"/>
  <c r="H16" i="5" s="1"/>
  <c r="C16" i="2"/>
  <c r="E16" i="5" s="1"/>
  <c r="B16" i="2"/>
  <c r="C16" i="5" s="1"/>
  <c r="A16" i="2"/>
  <c r="A16" i="5" s="1"/>
  <c r="B16" i="5" s="1"/>
  <c r="F15" i="2"/>
  <c r="L15" i="5" s="1"/>
  <c r="E15" i="2"/>
  <c r="J15" i="5" s="1"/>
  <c r="D15" i="2"/>
  <c r="H15" i="5" s="1"/>
  <c r="C15" i="2"/>
  <c r="E15" i="5" s="1"/>
  <c r="B15" i="2"/>
  <c r="C15" i="5" s="1"/>
  <c r="A15" i="2"/>
  <c r="A15" i="5" s="1"/>
  <c r="B15" i="5" s="1"/>
  <c r="F14" i="2"/>
  <c r="L14" i="5" s="1"/>
  <c r="E14" i="2"/>
  <c r="J14" i="5" s="1"/>
  <c r="D14" i="2"/>
  <c r="H14" i="5" s="1"/>
  <c r="C14" i="2"/>
  <c r="E14" i="5" s="1"/>
  <c r="B14" i="2"/>
  <c r="C14" i="5" s="1"/>
  <c r="A14" i="2"/>
  <c r="A14" i="5" s="1"/>
  <c r="B14" i="5" s="1"/>
  <c r="F13" i="2"/>
  <c r="L13" i="5" s="1"/>
  <c r="E13" i="2"/>
  <c r="J13" i="5" s="1"/>
  <c r="D13" i="2"/>
  <c r="H13" i="5" s="1"/>
  <c r="C13" i="2"/>
  <c r="E13" i="5" s="1"/>
  <c r="B13" i="2"/>
  <c r="C13" i="5" s="1"/>
  <c r="A13" i="2"/>
  <c r="A13" i="5" s="1"/>
  <c r="B13" i="5" s="1"/>
  <c r="F12" i="2"/>
  <c r="L12" i="5" s="1"/>
  <c r="E12" i="2"/>
  <c r="J12" i="5" s="1"/>
  <c r="D12" i="2"/>
  <c r="H12" i="5" s="1"/>
  <c r="C12" i="2"/>
  <c r="E12" i="5" s="1"/>
  <c r="B12" i="2"/>
  <c r="C12" i="5" s="1"/>
  <c r="A12" i="2"/>
  <c r="A12" i="5" s="1"/>
  <c r="B12" i="5" s="1"/>
  <c r="F11" i="2"/>
  <c r="L11" i="5" s="1"/>
  <c r="E11" i="2"/>
  <c r="J11" i="5" s="1"/>
  <c r="D11" i="2"/>
  <c r="H11" i="5" s="1"/>
  <c r="C11" i="2"/>
  <c r="E11" i="5" s="1"/>
  <c r="B11" i="2"/>
  <c r="C11" i="5" s="1"/>
  <c r="A11" i="2"/>
  <c r="A11" i="5" s="1"/>
  <c r="B11" i="5" s="1"/>
  <c r="F10" i="2"/>
  <c r="L10" i="5" s="1"/>
  <c r="E10" i="2"/>
  <c r="J10" i="5" s="1"/>
  <c r="D10" i="2"/>
  <c r="H10" i="5" s="1"/>
  <c r="C10" i="2"/>
  <c r="E10" i="5" s="1"/>
  <c r="B10" i="2"/>
  <c r="C10" i="5" s="1"/>
  <c r="A10" i="2"/>
  <c r="A10" i="5" s="1"/>
  <c r="B10" i="5" s="1"/>
  <c r="F9" i="2"/>
  <c r="L9" i="5" s="1"/>
  <c r="E9" i="2"/>
  <c r="J9" i="5" s="1"/>
  <c r="D9" i="2"/>
  <c r="H9" i="5" s="1"/>
  <c r="C9" i="2"/>
  <c r="E9" i="5" s="1"/>
  <c r="B9" i="2"/>
  <c r="C9" i="5" s="1"/>
  <c r="A9" i="2"/>
  <c r="A9" i="5" s="1"/>
  <c r="B9" i="5" s="1"/>
  <c r="F8" i="2"/>
  <c r="L8" i="5" s="1"/>
  <c r="E8" i="2"/>
  <c r="J8" i="5" s="1"/>
  <c r="D8" i="2"/>
  <c r="H8" i="5" s="1"/>
  <c r="C8" i="2"/>
  <c r="E8" i="5" s="1"/>
  <c r="B8" i="2"/>
  <c r="C8" i="5" s="1"/>
  <c r="A8" i="2"/>
  <c r="A8" i="5" s="1"/>
  <c r="B8" i="5" s="1"/>
  <c r="F7" i="2"/>
  <c r="L7" i="5" s="1"/>
  <c r="E7" i="2"/>
  <c r="J7" i="5" s="1"/>
  <c r="D7" i="2"/>
  <c r="H7" i="5" s="1"/>
  <c r="C7" i="2"/>
  <c r="E7" i="5" s="1"/>
  <c r="B7" i="2"/>
  <c r="C7" i="5" s="1"/>
  <c r="A7" i="2"/>
  <c r="A7" i="5" s="1"/>
  <c r="B7" i="5" s="1"/>
  <c r="F6" i="2"/>
  <c r="L6" i="5" s="1"/>
  <c r="E6" i="2"/>
  <c r="J6" i="5" s="1"/>
  <c r="D6" i="2"/>
  <c r="H6" i="5" s="1"/>
  <c r="C6" i="2"/>
  <c r="E6" i="5" s="1"/>
  <c r="B6" i="2"/>
  <c r="C6" i="5" s="1"/>
  <c r="A6" i="2"/>
  <c r="A6" i="5" s="1"/>
  <c r="B6" i="5" s="1"/>
  <c r="F5" i="2"/>
  <c r="L5" i="5" s="1"/>
  <c r="E5" i="2"/>
  <c r="J5" i="5" s="1"/>
  <c r="D5" i="2"/>
  <c r="H5" i="5" s="1"/>
  <c r="C5" i="2"/>
  <c r="E5" i="5" s="1"/>
  <c r="B5" i="2"/>
  <c r="C5" i="5" s="1"/>
  <c r="A5" i="2"/>
  <c r="A5" i="5" s="1"/>
  <c r="B5" i="5" s="1"/>
  <c r="F4" i="2"/>
  <c r="L4" i="5" s="1"/>
  <c r="E4" i="2"/>
  <c r="J4" i="5" s="1"/>
  <c r="D4" i="2"/>
  <c r="H4" i="5" s="1"/>
  <c r="C4" i="2"/>
  <c r="E4" i="5" s="1"/>
  <c r="B4" i="2"/>
  <c r="C4" i="5" s="1"/>
  <c r="A4" i="2"/>
  <c r="A4" i="5" s="1"/>
  <c r="B4" i="5" s="1"/>
  <c r="F3" i="2"/>
  <c r="L3" i="5" s="1"/>
  <c r="E3" i="2"/>
  <c r="J3" i="5" s="1"/>
  <c r="D3" i="2"/>
  <c r="H3" i="5" s="1"/>
  <c r="C3" i="2"/>
  <c r="E3" i="5" s="1"/>
  <c r="B3" i="2"/>
  <c r="C3" i="5" s="1"/>
  <c r="A3" i="2"/>
  <c r="A3" i="5" s="1"/>
  <c r="B3" i="5" s="1"/>
  <c r="F2" i="2"/>
  <c r="L2" i="5" s="1"/>
  <c r="E2" i="2"/>
  <c r="J2" i="5" s="1"/>
  <c r="D2" i="2"/>
  <c r="H2" i="5" s="1"/>
  <c r="C2" i="2"/>
  <c r="E2" i="5" s="1"/>
  <c r="B2" i="2"/>
  <c r="C2" i="5" s="1"/>
  <c r="A2" i="2"/>
  <c r="A2" i="5" s="1"/>
  <c r="B2" i="5" s="1"/>
  <c r="F1" i="2"/>
  <c r="E1" i="2"/>
  <c r="D1" i="2"/>
  <c r="C1" i="2"/>
  <c r="B1" i="2"/>
  <c r="A1" i="2"/>
  <c r="K167" i="5" l="1"/>
  <c r="K362" i="5"/>
  <c r="D119" i="5"/>
  <c r="D123" i="5"/>
  <c r="I12" i="5"/>
  <c r="K171" i="5"/>
  <c r="K175" i="5"/>
  <c r="K179" i="5"/>
  <c r="K183" i="5"/>
  <c r="K223" i="5"/>
  <c r="K279" i="5"/>
  <c r="K331" i="5"/>
  <c r="K335" i="5"/>
  <c r="K90" i="5"/>
  <c r="K94" i="5"/>
  <c r="K98" i="5"/>
  <c r="K102" i="5"/>
  <c r="K106" i="5"/>
  <c r="K110" i="5"/>
  <c r="K138" i="5"/>
  <c r="K142" i="5"/>
  <c r="K146" i="5"/>
  <c r="K150" i="5"/>
  <c r="K154" i="5"/>
  <c r="K158" i="5"/>
  <c r="K162" i="5"/>
  <c r="K166" i="5"/>
  <c r="K170" i="5"/>
  <c r="K174" i="5"/>
  <c r="K178" i="5"/>
  <c r="K182" i="5"/>
  <c r="K186" i="5"/>
  <c r="K190" i="5"/>
  <c r="K194" i="5"/>
  <c r="K198" i="5"/>
  <c r="K202" i="5"/>
  <c r="K206" i="5"/>
  <c r="K210" i="5"/>
  <c r="K214" i="5"/>
  <c r="K218" i="5"/>
  <c r="K222" i="5"/>
  <c r="K226" i="5"/>
  <c r="K230" i="5"/>
  <c r="K234" i="5"/>
  <c r="K254" i="5"/>
  <c r="K258" i="5"/>
  <c r="K266" i="5"/>
  <c r="K278" i="5"/>
  <c r="K282" i="5"/>
  <c r="K286" i="5"/>
  <c r="K290" i="5"/>
  <c r="K294" i="5"/>
  <c r="K298" i="5"/>
  <c r="K310" i="5"/>
  <c r="K314" i="5"/>
  <c r="K318" i="5"/>
  <c r="K322" i="5"/>
  <c r="K326" i="5"/>
  <c r="K330" i="5"/>
  <c r="K334" i="5"/>
  <c r="K338" i="5"/>
  <c r="K342" i="5"/>
  <c r="K346" i="5"/>
  <c r="K350" i="5"/>
  <c r="I365" i="5"/>
  <c r="D3" i="5"/>
  <c r="D7" i="5"/>
  <c r="K2" i="5"/>
  <c r="K42" i="5"/>
  <c r="K46" i="5"/>
  <c r="K50" i="5"/>
  <c r="K82" i="5"/>
  <c r="K86" i="5"/>
  <c r="K6" i="5"/>
  <c r="K10" i="5"/>
  <c r="K14" i="5"/>
  <c r="K18" i="5"/>
  <c r="K22" i="5"/>
  <c r="K26" i="5"/>
  <c r="K30" i="5"/>
  <c r="K34" i="5"/>
  <c r="K38" i="5"/>
  <c r="K54" i="5"/>
  <c r="K58" i="5"/>
  <c r="K62" i="5"/>
  <c r="K66" i="5"/>
  <c r="K70" i="5"/>
  <c r="K74" i="5"/>
  <c r="K78" i="5"/>
  <c r="I5" i="5"/>
  <c r="D8" i="5"/>
  <c r="I9" i="5"/>
  <c r="D12" i="5"/>
  <c r="I13" i="5"/>
  <c r="D16" i="5"/>
  <c r="I17" i="5"/>
  <c r="D20" i="5"/>
  <c r="I21" i="5"/>
  <c r="D24" i="5"/>
  <c r="I25" i="5"/>
  <c r="D28" i="5"/>
  <c r="I29" i="5"/>
  <c r="D32" i="5"/>
  <c r="I33" i="5"/>
  <c r="D36" i="5"/>
  <c r="I37" i="5"/>
  <c r="D40" i="5"/>
  <c r="I41" i="5"/>
  <c r="D44" i="5"/>
  <c r="I45" i="5"/>
  <c r="D48" i="5"/>
  <c r="I49" i="5"/>
  <c r="D52" i="5"/>
  <c r="I53" i="5"/>
  <c r="D56" i="5"/>
  <c r="I57" i="5"/>
  <c r="D60" i="5"/>
  <c r="I61" i="5"/>
  <c r="D64" i="5"/>
  <c r="I65" i="5"/>
  <c r="D68" i="5"/>
  <c r="I69" i="5"/>
  <c r="D72" i="5"/>
  <c r="I73" i="5"/>
  <c r="D76" i="5"/>
  <c r="I77" i="5"/>
  <c r="D80" i="5"/>
  <c r="I81" i="5"/>
  <c r="D84" i="5"/>
  <c r="I85" i="5"/>
  <c r="D88" i="5"/>
  <c r="I89" i="5"/>
  <c r="D92" i="5"/>
  <c r="I93" i="5"/>
  <c r="D96" i="5"/>
  <c r="I97" i="5"/>
  <c r="D100" i="5"/>
  <c r="I101" i="5"/>
  <c r="D104" i="5"/>
  <c r="I105" i="5"/>
  <c r="D108" i="5"/>
  <c r="I109" i="5"/>
  <c r="D112" i="5"/>
  <c r="I113" i="5"/>
  <c r="D116" i="5"/>
  <c r="I117" i="5"/>
  <c r="D120" i="5"/>
  <c r="I121" i="5"/>
  <c r="D15" i="5"/>
  <c r="D23" i="5"/>
  <c r="D27" i="5"/>
  <c r="D35" i="5"/>
  <c r="D51" i="5"/>
  <c r="D11" i="5"/>
  <c r="D19" i="5"/>
  <c r="D31" i="5"/>
  <c r="D39" i="5"/>
  <c r="D47" i="5"/>
  <c r="D43" i="5"/>
  <c r="K354" i="5"/>
  <c r="D124" i="5"/>
  <c r="I125" i="5"/>
  <c r="D128" i="5"/>
  <c r="I129" i="5"/>
  <c r="D132" i="5"/>
  <c r="I133" i="5"/>
  <c r="D136" i="5"/>
  <c r="I137" i="5"/>
  <c r="D140" i="5"/>
  <c r="I141" i="5"/>
  <c r="D144" i="5"/>
  <c r="I145" i="5"/>
  <c r="D148" i="5"/>
  <c r="I149" i="5"/>
  <c r="D152" i="5"/>
  <c r="I153" i="5"/>
  <c r="D156" i="5"/>
  <c r="I157" i="5"/>
  <c r="D160" i="5"/>
  <c r="I161" i="5"/>
  <c r="D164" i="5"/>
  <c r="I165" i="5"/>
  <c r="D168" i="5"/>
  <c r="I169" i="5"/>
  <c r="D172" i="5"/>
  <c r="I173" i="5"/>
  <c r="D176" i="5"/>
  <c r="I177" i="5"/>
  <c r="D180" i="5"/>
  <c r="I181" i="5"/>
  <c r="D184" i="5"/>
  <c r="I185" i="5"/>
  <c r="D188" i="5"/>
  <c r="I189" i="5"/>
  <c r="D192" i="5"/>
  <c r="I193" i="5"/>
  <c r="D196" i="5"/>
  <c r="I197" i="5"/>
  <c r="I201" i="5"/>
  <c r="I205" i="5"/>
  <c r="D208" i="5"/>
  <c r="I209" i="5"/>
  <c r="D212" i="5"/>
  <c r="I213" i="5"/>
  <c r="D216" i="5"/>
  <c r="I217" i="5"/>
  <c r="D220" i="5"/>
  <c r="I221" i="5"/>
  <c r="I225" i="5"/>
  <c r="I229" i="5"/>
  <c r="I233" i="5"/>
  <c r="I237" i="5"/>
  <c r="I241" i="5"/>
  <c r="I245" i="5"/>
  <c r="I249" i="5"/>
  <c r="I253" i="5"/>
  <c r="I257" i="5"/>
  <c r="I261" i="5"/>
  <c r="I265" i="5"/>
  <c r="I269" i="5"/>
  <c r="I273" i="5"/>
  <c r="I277" i="5"/>
  <c r="I281" i="5"/>
  <c r="I285" i="5"/>
  <c r="I289" i="5"/>
  <c r="I293" i="5"/>
  <c r="I297" i="5"/>
  <c r="I301" i="5"/>
  <c r="I305" i="5"/>
  <c r="I309" i="5"/>
  <c r="I313" i="5"/>
  <c r="I317" i="5"/>
  <c r="I321" i="5"/>
  <c r="I325" i="5"/>
  <c r="I329" i="5"/>
  <c r="I333" i="5"/>
  <c r="I337" i="5"/>
  <c r="I341" i="5"/>
  <c r="I345" i="5"/>
  <c r="I349" i="5"/>
  <c r="I353" i="5"/>
  <c r="D356" i="5"/>
  <c r="I357" i="5"/>
  <c r="D360" i="5"/>
  <c r="I361" i="5"/>
  <c r="D267" i="5"/>
  <c r="D271" i="5"/>
  <c r="D275" i="5"/>
  <c r="D283" i="5"/>
  <c r="D287" i="5"/>
  <c r="D291" i="5"/>
  <c r="D295" i="5"/>
  <c r="D299" i="5"/>
  <c r="D303" i="5"/>
  <c r="D307" i="5"/>
  <c r="D311" i="5"/>
  <c r="D315" i="5"/>
  <c r="D319" i="5"/>
  <c r="D323" i="5"/>
  <c r="D327" i="5"/>
  <c r="D331" i="5"/>
  <c r="D335" i="5"/>
  <c r="D339" i="5"/>
  <c r="D343" i="5"/>
  <c r="D347" i="5"/>
  <c r="D355" i="5"/>
  <c r="D363" i="5"/>
  <c r="K114" i="5"/>
  <c r="K118" i="5"/>
  <c r="K122" i="5"/>
  <c r="K126" i="5"/>
  <c r="K130" i="5"/>
  <c r="K134" i="5"/>
  <c r="K238" i="5"/>
  <c r="K242" i="5"/>
  <c r="K246" i="5"/>
  <c r="K250" i="5"/>
  <c r="K262" i="5"/>
  <c r="K270" i="5"/>
  <c r="K274" i="5"/>
  <c r="K302" i="5"/>
  <c r="K306" i="5"/>
  <c r="K23" i="5"/>
  <c r="D364" i="5"/>
  <c r="K27" i="5"/>
  <c r="K35" i="5"/>
  <c r="D4" i="5"/>
  <c r="K185" i="5"/>
  <c r="K189" i="5"/>
  <c r="K193" i="5"/>
  <c r="K197" i="5"/>
  <c r="K201" i="5"/>
  <c r="K205" i="5"/>
  <c r="K209" i="5"/>
  <c r="K213" i="5"/>
  <c r="K217" i="5"/>
  <c r="K221" i="5"/>
  <c r="K225" i="5"/>
  <c r="K229" i="5"/>
  <c r="K233" i="5"/>
  <c r="K237" i="5"/>
  <c r="K241" i="5"/>
  <c r="K245" i="5"/>
  <c r="K249" i="5"/>
  <c r="K253" i="5"/>
  <c r="K257" i="5"/>
  <c r="K261" i="5"/>
  <c r="K265" i="5"/>
  <c r="K289" i="5"/>
  <c r="K345" i="5"/>
  <c r="K349" i="5"/>
  <c r="I228" i="5"/>
  <c r="I232" i="5"/>
  <c r="I248" i="5"/>
  <c r="I252" i="5"/>
  <c r="I256" i="5"/>
  <c r="I264" i="5"/>
  <c r="I268" i="5"/>
  <c r="I272" i="5"/>
  <c r="I276" i="5"/>
  <c r="D279" i="5"/>
  <c r="I280" i="5"/>
  <c r="I284" i="5"/>
  <c r="I288" i="5"/>
  <c r="I292" i="5"/>
  <c r="I296" i="5"/>
  <c r="I300" i="5"/>
  <c r="I304" i="5"/>
  <c r="I308" i="5"/>
  <c r="I312" i="5"/>
  <c r="I316" i="5"/>
  <c r="I320" i="5"/>
  <c r="I324" i="5"/>
  <c r="I328" i="5"/>
  <c r="I332" i="5"/>
  <c r="I336" i="5"/>
  <c r="I340" i="5"/>
  <c r="I344" i="5"/>
  <c r="I348" i="5"/>
  <c r="I352" i="5"/>
  <c r="I356" i="5"/>
  <c r="D359" i="5"/>
  <c r="I360" i="5"/>
  <c r="I364" i="5"/>
  <c r="K68" i="5"/>
  <c r="K80" i="5"/>
  <c r="K84" i="5"/>
  <c r="K88" i="5"/>
  <c r="K92" i="5"/>
  <c r="K96" i="5"/>
  <c r="K100" i="5"/>
  <c r="K144" i="5"/>
  <c r="K148" i="5"/>
  <c r="K152" i="5"/>
  <c r="K160" i="5"/>
  <c r="K164" i="5"/>
  <c r="K168" i="5"/>
  <c r="K172" i="5"/>
  <c r="K176" i="5"/>
  <c r="K180" i="5"/>
  <c r="K184" i="5"/>
  <c r="K188" i="5"/>
  <c r="K192" i="5"/>
  <c r="K196" i="5"/>
  <c r="K200" i="5"/>
  <c r="K204" i="5"/>
  <c r="K208" i="5"/>
  <c r="K212" i="5"/>
  <c r="K216" i="5"/>
  <c r="K220" i="5"/>
  <c r="K224" i="5"/>
  <c r="K228" i="5"/>
  <c r="K232" i="5"/>
  <c r="K236" i="5"/>
  <c r="K240" i="5"/>
  <c r="K244" i="5"/>
  <c r="K248" i="5"/>
  <c r="K252" i="5"/>
  <c r="K3" i="5"/>
  <c r="K7" i="5"/>
  <c r="K11" i="5"/>
  <c r="K15" i="5"/>
  <c r="K19" i="5"/>
  <c r="K47" i="5"/>
  <c r="K55" i="5"/>
  <c r="K63" i="5"/>
  <c r="K79" i="5"/>
  <c r="K83" i="5"/>
  <c r="K87" i="5"/>
  <c r="K91" i="5"/>
  <c r="K95" i="5"/>
  <c r="K99" i="5"/>
  <c r="K103" i="5"/>
  <c r="K107" i="5"/>
  <c r="K111" i="5"/>
  <c r="K115" i="5"/>
  <c r="K119" i="5"/>
  <c r="K123" i="5"/>
  <c r="K127" i="5"/>
  <c r="K131" i="5"/>
  <c r="K135" i="5"/>
  <c r="K139" i="5"/>
  <c r="K143" i="5"/>
  <c r="K147" i="5"/>
  <c r="K151" i="5"/>
  <c r="K155" i="5"/>
  <c r="K159" i="5"/>
  <c r="K163" i="5"/>
  <c r="K187" i="5"/>
  <c r="K191" i="5"/>
  <c r="K195" i="5"/>
  <c r="K199" i="5"/>
  <c r="K203" i="5"/>
  <c r="K207" i="5"/>
  <c r="K211" i="5"/>
  <c r="K215" i="5"/>
  <c r="K219" i="5"/>
  <c r="K227" i="5"/>
  <c r="K231" i="5"/>
  <c r="K235" i="5"/>
  <c r="K239" i="5"/>
  <c r="K243" i="5"/>
  <c r="K247" i="5"/>
  <c r="K251" i="5"/>
  <c r="K255" i="5"/>
  <c r="K259" i="5"/>
  <c r="K263" i="5"/>
  <c r="K267" i="5"/>
  <c r="K271" i="5"/>
  <c r="K275" i="5"/>
  <c r="K283" i="5"/>
  <c r="K287" i="5"/>
  <c r="K291" i="5"/>
  <c r="K295" i="5"/>
  <c r="K299" i="5"/>
  <c r="K303" i="5"/>
  <c r="K307" i="5"/>
  <c r="K311" i="5"/>
  <c r="K315" i="5"/>
  <c r="K319" i="5"/>
  <c r="K323" i="5"/>
  <c r="K327" i="5"/>
  <c r="K339" i="5"/>
  <c r="K343" i="5"/>
  <c r="K347" i="5"/>
  <c r="K351" i="5"/>
  <c r="K355" i="5"/>
  <c r="K31" i="5"/>
  <c r="K39" i="5"/>
  <c r="K43" i="5"/>
  <c r="K51" i="5"/>
  <c r="K59" i="5"/>
  <c r="K67" i="5"/>
  <c r="K71" i="5"/>
  <c r="K75" i="5"/>
  <c r="I2" i="5"/>
  <c r="I6" i="5"/>
  <c r="I10" i="5"/>
  <c r="I14" i="5"/>
  <c r="I18" i="5"/>
  <c r="I22" i="5"/>
  <c r="I26" i="5"/>
  <c r="I30" i="5"/>
  <c r="I34" i="5"/>
  <c r="I78" i="5"/>
  <c r="I82" i="5"/>
  <c r="I94" i="5"/>
  <c r="I98" i="5"/>
  <c r="I102" i="5"/>
  <c r="I106" i="5"/>
  <c r="I110" i="5"/>
  <c r="I114" i="5"/>
  <c r="I118" i="5"/>
  <c r="I122" i="5"/>
  <c r="I126" i="5"/>
  <c r="I130" i="5"/>
  <c r="I134" i="5"/>
  <c r="I138" i="5"/>
  <c r="I142" i="5"/>
  <c r="I146" i="5"/>
  <c r="I150" i="5"/>
  <c r="I154" i="5"/>
  <c r="I158" i="5"/>
  <c r="I162" i="5"/>
  <c r="I190" i="5"/>
  <c r="I194" i="5"/>
  <c r="I198" i="5"/>
  <c r="I202" i="5"/>
  <c r="I206" i="5"/>
  <c r="I210" i="5"/>
  <c r="I214" i="5"/>
  <c r="I218" i="5"/>
  <c r="I222" i="5"/>
  <c r="I242" i="5"/>
  <c r="I246" i="5"/>
  <c r="I250" i="5"/>
  <c r="I254" i="5"/>
  <c r="I258" i="5"/>
  <c r="I262" i="5"/>
  <c r="I266" i="5"/>
  <c r="I270" i="5"/>
  <c r="I274" i="5"/>
  <c r="I278" i="5"/>
  <c r="D200" i="5"/>
  <c r="D204" i="5"/>
  <c r="D224" i="5"/>
  <c r="D228" i="5"/>
  <c r="D232" i="5"/>
  <c r="D236" i="5"/>
  <c r="D240" i="5"/>
  <c r="D244" i="5"/>
  <c r="D248" i="5"/>
  <c r="D252" i="5"/>
  <c r="D256" i="5"/>
  <c r="D260" i="5"/>
  <c r="D264" i="5"/>
  <c r="D268" i="5"/>
  <c r="D272" i="5"/>
  <c r="D276" i="5"/>
  <c r="D280" i="5"/>
  <c r="D284" i="5"/>
  <c r="D288" i="5"/>
  <c r="D292" i="5"/>
  <c r="D296" i="5"/>
  <c r="D300" i="5"/>
  <c r="D304" i="5"/>
  <c r="D308" i="5"/>
  <c r="D312" i="5"/>
  <c r="D316" i="5"/>
  <c r="D320" i="5"/>
  <c r="D324" i="5"/>
  <c r="D328" i="5"/>
  <c r="D332" i="5"/>
  <c r="D336" i="5"/>
  <c r="D340" i="5"/>
  <c r="M30" i="3"/>
  <c r="K30" i="3"/>
  <c r="G4" i="5"/>
  <c r="F4" i="5"/>
  <c r="K5" i="5"/>
  <c r="G8" i="5"/>
  <c r="F8" i="5"/>
  <c r="K9" i="5"/>
  <c r="G12" i="5"/>
  <c r="F12" i="5"/>
  <c r="K13" i="5"/>
  <c r="G16" i="5"/>
  <c r="F16" i="5"/>
  <c r="K17" i="5"/>
  <c r="G20" i="5"/>
  <c r="F20" i="5"/>
  <c r="K21" i="5"/>
  <c r="G24" i="5"/>
  <c r="F24" i="5"/>
  <c r="K25" i="5"/>
  <c r="G28" i="5"/>
  <c r="F28" i="5"/>
  <c r="K29" i="5"/>
  <c r="F32" i="5"/>
  <c r="G32" i="5"/>
  <c r="K33" i="5"/>
  <c r="F36" i="5"/>
  <c r="G36" i="5"/>
  <c r="K37" i="5"/>
  <c r="F40" i="5"/>
  <c r="G40" i="5"/>
  <c r="K41" i="5"/>
  <c r="F44" i="5"/>
  <c r="G44" i="5"/>
  <c r="K45" i="5"/>
  <c r="F48" i="5"/>
  <c r="G48" i="5"/>
  <c r="K49" i="5"/>
  <c r="F52" i="5"/>
  <c r="G52" i="5"/>
  <c r="K53" i="5"/>
  <c r="F56" i="5"/>
  <c r="G56" i="5"/>
  <c r="K57" i="5"/>
  <c r="F60" i="5"/>
  <c r="G60" i="5"/>
  <c r="K61" i="5"/>
  <c r="F64" i="5"/>
  <c r="G64" i="5"/>
  <c r="K65" i="5"/>
  <c r="F68" i="5"/>
  <c r="G68" i="5"/>
  <c r="K69" i="5"/>
  <c r="F72" i="5"/>
  <c r="G72" i="5"/>
  <c r="K73" i="5"/>
  <c r="F76" i="5"/>
  <c r="G76" i="5"/>
  <c r="K77" i="5"/>
  <c r="F80" i="5"/>
  <c r="G80" i="5"/>
  <c r="K81" i="5"/>
  <c r="F84" i="5"/>
  <c r="G84" i="5"/>
  <c r="K85" i="5"/>
  <c r="F88" i="5"/>
  <c r="G88" i="5"/>
  <c r="K89" i="5"/>
  <c r="F92" i="5"/>
  <c r="G92" i="5"/>
  <c r="K93" i="5"/>
  <c r="F96" i="5"/>
  <c r="G96" i="5"/>
  <c r="K97" i="5"/>
  <c r="F100" i="5"/>
  <c r="G100" i="5"/>
  <c r="K101" i="5"/>
  <c r="F104" i="5"/>
  <c r="G104" i="5"/>
  <c r="K105" i="5"/>
  <c r="F108" i="5"/>
  <c r="G108" i="5"/>
  <c r="K109" i="5"/>
  <c r="F112" i="5"/>
  <c r="G112" i="5"/>
  <c r="K113" i="5"/>
  <c r="F116" i="5"/>
  <c r="G116" i="5"/>
  <c r="K117" i="5"/>
  <c r="F120" i="5"/>
  <c r="G120" i="5"/>
  <c r="K121" i="5"/>
  <c r="F124" i="5"/>
  <c r="G124" i="5"/>
  <c r="K125" i="5"/>
  <c r="F128" i="5"/>
  <c r="G128" i="5"/>
  <c r="K129" i="5"/>
  <c r="F132" i="5"/>
  <c r="G132" i="5"/>
  <c r="K133" i="5"/>
  <c r="F136" i="5"/>
  <c r="G136" i="5"/>
  <c r="K137" i="5"/>
  <c r="F140" i="5"/>
  <c r="G140" i="5"/>
  <c r="K141" i="5"/>
  <c r="F144" i="5"/>
  <c r="G144" i="5"/>
  <c r="K145" i="5"/>
  <c r="F148" i="5"/>
  <c r="G148" i="5"/>
  <c r="K149" i="5"/>
  <c r="F152" i="5"/>
  <c r="G152" i="5"/>
  <c r="K153" i="5"/>
  <c r="F156" i="5"/>
  <c r="G156" i="5"/>
  <c r="K157" i="5"/>
  <c r="G160" i="5"/>
  <c r="F160" i="5"/>
  <c r="K161" i="5"/>
  <c r="G164" i="5"/>
  <c r="F164" i="5"/>
  <c r="K165" i="5"/>
  <c r="G168" i="5"/>
  <c r="F168" i="5"/>
  <c r="K169" i="5"/>
  <c r="G172" i="5"/>
  <c r="F172" i="5"/>
  <c r="K173" i="5"/>
  <c r="G176" i="5"/>
  <c r="F176" i="5"/>
  <c r="K177" i="5"/>
  <c r="G180" i="5"/>
  <c r="F180" i="5"/>
  <c r="K181" i="5"/>
  <c r="G184" i="5"/>
  <c r="F184" i="5"/>
  <c r="G188" i="5"/>
  <c r="F188" i="5"/>
  <c r="G192" i="5"/>
  <c r="F192" i="5"/>
  <c r="G196" i="5"/>
  <c r="F196" i="5"/>
  <c r="G200" i="5"/>
  <c r="F200" i="5"/>
  <c r="G204" i="5"/>
  <c r="F204" i="5"/>
  <c r="G208" i="5"/>
  <c r="F208" i="5"/>
  <c r="G212" i="5"/>
  <c r="F212" i="5"/>
  <c r="G216" i="5"/>
  <c r="F216" i="5"/>
  <c r="G220" i="5"/>
  <c r="F220" i="5"/>
  <c r="G224" i="5"/>
  <c r="F224" i="5"/>
  <c r="F228" i="5"/>
  <c r="G228" i="5"/>
  <c r="F232" i="5"/>
  <c r="G232" i="5"/>
  <c r="F236" i="5"/>
  <c r="G236" i="5"/>
  <c r="F240" i="5"/>
  <c r="G240" i="5"/>
  <c r="F244" i="5"/>
  <c r="G244" i="5"/>
  <c r="F248" i="5"/>
  <c r="G248" i="5"/>
  <c r="F252" i="5"/>
  <c r="G252" i="5"/>
  <c r="F256" i="5"/>
  <c r="G256" i="5"/>
  <c r="F260" i="5"/>
  <c r="G260" i="5"/>
  <c r="F264" i="5"/>
  <c r="G264" i="5"/>
  <c r="F268" i="5"/>
  <c r="G268" i="5"/>
  <c r="K269" i="5"/>
  <c r="F272" i="5"/>
  <c r="G272" i="5"/>
  <c r="K273" i="5"/>
  <c r="F276" i="5"/>
  <c r="G276" i="5"/>
  <c r="K277" i="5"/>
  <c r="F280" i="5"/>
  <c r="G280" i="5"/>
  <c r="K281" i="5"/>
  <c r="F284" i="5"/>
  <c r="G284" i="5"/>
  <c r="K285" i="5"/>
  <c r="F288" i="5"/>
  <c r="G288" i="5"/>
  <c r="F292" i="5"/>
  <c r="G292" i="5"/>
  <c r="K293" i="5"/>
  <c r="F296" i="5"/>
  <c r="G296" i="5"/>
  <c r="K297" i="5"/>
  <c r="F300" i="5"/>
  <c r="G300" i="5"/>
  <c r="K301" i="5"/>
  <c r="F304" i="5"/>
  <c r="G304" i="5"/>
  <c r="K305" i="5"/>
  <c r="G308" i="5"/>
  <c r="F308" i="5"/>
  <c r="K309" i="5"/>
  <c r="G312" i="5"/>
  <c r="F312" i="5"/>
  <c r="K313" i="5"/>
  <c r="G316" i="5"/>
  <c r="F316" i="5"/>
  <c r="K317" i="5"/>
  <c r="G320" i="5"/>
  <c r="F320" i="5"/>
  <c r="K321" i="5"/>
  <c r="G324" i="5"/>
  <c r="F324" i="5"/>
  <c r="K325" i="5"/>
  <c r="G328" i="5"/>
  <c r="F328" i="5"/>
  <c r="K329" i="5"/>
  <c r="G332" i="5"/>
  <c r="F332" i="5"/>
  <c r="K333" i="5"/>
  <c r="G336" i="5"/>
  <c r="F336" i="5"/>
  <c r="K337" i="5"/>
  <c r="G340" i="5"/>
  <c r="F340" i="5"/>
  <c r="K341" i="5"/>
  <c r="G344" i="5"/>
  <c r="F344" i="5"/>
  <c r="N48" i="3"/>
  <c r="F48" i="3"/>
  <c r="M48" i="3"/>
  <c r="G48" i="3"/>
  <c r="I20" i="5"/>
  <c r="I36" i="5"/>
  <c r="I44" i="5"/>
  <c r="I48" i="5"/>
  <c r="I52" i="5"/>
  <c r="D55" i="5"/>
  <c r="I56" i="5"/>
  <c r="D59" i="5"/>
  <c r="I60" i="5"/>
  <c r="D63" i="5"/>
  <c r="I64" i="5"/>
  <c r="D67" i="5"/>
  <c r="I68" i="5"/>
  <c r="D71" i="5"/>
  <c r="I72" i="5"/>
  <c r="D75" i="5"/>
  <c r="I76" i="5"/>
  <c r="D79" i="5"/>
  <c r="I80" i="5"/>
  <c r="D83" i="5"/>
  <c r="I84" i="5"/>
  <c r="D87" i="5"/>
  <c r="I88" i="5"/>
  <c r="D91" i="5"/>
  <c r="I92" i="5"/>
  <c r="D95" i="5"/>
  <c r="I96" i="5"/>
  <c r="D99" i="5"/>
  <c r="I100" i="5"/>
  <c r="D103" i="5"/>
  <c r="I104" i="5"/>
  <c r="D107" i="5"/>
  <c r="I108" i="5"/>
  <c r="D111" i="5"/>
  <c r="I112" i="5"/>
  <c r="D115" i="5"/>
  <c r="I116" i="5"/>
  <c r="I120" i="5"/>
  <c r="I124" i="5"/>
  <c r="D127" i="5"/>
  <c r="I128" i="5"/>
  <c r="D131" i="5"/>
  <c r="I132" i="5"/>
  <c r="D135" i="5"/>
  <c r="I136" i="5"/>
  <c r="D139" i="5"/>
  <c r="I140" i="5"/>
  <c r="D143" i="5"/>
  <c r="I144" i="5"/>
  <c r="D147" i="5"/>
  <c r="I148" i="5"/>
  <c r="D151" i="5"/>
  <c r="I152" i="5"/>
  <c r="D155" i="5"/>
  <c r="I156" i="5"/>
  <c r="D159" i="5"/>
  <c r="I160" i="5"/>
  <c r="D163" i="5"/>
  <c r="I164" i="5"/>
  <c r="D167" i="5"/>
  <c r="I168" i="5"/>
  <c r="D171" i="5"/>
  <c r="I172" i="5"/>
  <c r="D175" i="5"/>
  <c r="I176" i="5"/>
  <c r="D179" i="5"/>
  <c r="I180" i="5"/>
  <c r="D183" i="5"/>
  <c r="I184" i="5"/>
  <c r="D187" i="5"/>
  <c r="I188" i="5"/>
  <c r="D191" i="5"/>
  <c r="I192" i="5"/>
  <c r="D195" i="5"/>
  <c r="I196" i="5"/>
  <c r="D199" i="5"/>
  <c r="I200" i="5"/>
  <c r="D203" i="5"/>
  <c r="I204" i="5"/>
  <c r="D207" i="5"/>
  <c r="I208" i="5"/>
  <c r="D211" i="5"/>
  <c r="I212" i="5"/>
  <c r="D215" i="5"/>
  <c r="I216" i="5"/>
  <c r="D219" i="5"/>
  <c r="I220" i="5"/>
  <c r="D223" i="5"/>
  <c r="I224" i="5"/>
  <c r="D227" i="5"/>
  <c r="D231" i="5"/>
  <c r="D235" i="5"/>
  <c r="I236" i="5"/>
  <c r="D239" i="5"/>
  <c r="I240" i="5"/>
  <c r="D243" i="5"/>
  <c r="I244" i="5"/>
  <c r="D247" i="5"/>
  <c r="D251" i="5"/>
  <c r="D255" i="5"/>
  <c r="D259" i="5"/>
  <c r="I260" i="5"/>
  <c r="D263" i="5"/>
  <c r="D6" i="3"/>
  <c r="F6" i="3"/>
  <c r="I42" i="3"/>
  <c r="F42" i="3"/>
  <c r="D42" i="3"/>
  <c r="N56" i="3"/>
  <c r="F56" i="3"/>
  <c r="M56" i="3"/>
  <c r="G56" i="3"/>
  <c r="B12" i="6"/>
  <c r="D11" i="6"/>
  <c r="F10" i="6"/>
  <c r="B8" i="6"/>
  <c r="D7" i="6"/>
  <c r="F6" i="6"/>
  <c r="B4" i="6"/>
  <c r="D3" i="6"/>
  <c r="F2" i="6"/>
  <c r="C11" i="6"/>
  <c r="E10" i="6"/>
  <c r="C7" i="6"/>
  <c r="E6" i="6"/>
  <c r="C3" i="6"/>
  <c r="E2" i="6"/>
  <c r="F13" i="6"/>
  <c r="B11" i="6"/>
  <c r="D10" i="6"/>
  <c r="F9" i="6"/>
  <c r="B7" i="6"/>
  <c r="D6" i="6"/>
  <c r="F5" i="6"/>
  <c r="B3" i="6"/>
  <c r="D2" i="6"/>
  <c r="B13" i="6"/>
  <c r="C9" i="6"/>
  <c r="D5" i="6"/>
  <c r="C4" i="6"/>
  <c r="C10" i="6"/>
  <c r="B9" i="6"/>
  <c r="C5" i="6"/>
  <c r="E13" i="6"/>
  <c r="D12" i="6"/>
  <c r="E8" i="6"/>
  <c r="F4" i="6"/>
  <c r="E3" i="6"/>
  <c r="F11" i="6"/>
  <c r="E9" i="6"/>
  <c r="F7" i="6"/>
  <c r="E5" i="6"/>
  <c r="F3" i="6"/>
  <c r="D13" i="6"/>
  <c r="E11" i="6"/>
  <c r="D9" i="6"/>
  <c r="C13" i="6"/>
  <c r="E12" i="6"/>
  <c r="B10" i="6"/>
  <c r="D8" i="6"/>
  <c r="B6" i="6"/>
  <c r="D4" i="6"/>
  <c r="B2" i="6"/>
  <c r="C6" i="6"/>
  <c r="E7" i="6"/>
  <c r="E4" i="6"/>
  <c r="F12" i="6"/>
  <c r="C12" i="6"/>
  <c r="B5" i="6"/>
  <c r="F8" i="6"/>
  <c r="C2" i="6"/>
  <c r="C8" i="6"/>
  <c r="I4" i="5"/>
  <c r="I8" i="5"/>
  <c r="K4" i="5"/>
  <c r="F11" i="5"/>
  <c r="G11" i="5"/>
  <c r="F15" i="5"/>
  <c r="G15" i="5"/>
  <c r="K16" i="5"/>
  <c r="F27" i="5"/>
  <c r="G27" i="5"/>
  <c r="G31" i="5"/>
  <c r="F31" i="5"/>
  <c r="K32" i="5"/>
  <c r="G35" i="5"/>
  <c r="F35" i="5"/>
  <c r="K36" i="5"/>
  <c r="G39" i="5"/>
  <c r="F39" i="5"/>
  <c r="K40" i="5"/>
  <c r="G43" i="5"/>
  <c r="F43" i="5"/>
  <c r="K44" i="5"/>
  <c r="G47" i="5"/>
  <c r="F47" i="5"/>
  <c r="K48" i="5"/>
  <c r="G51" i="5"/>
  <c r="F51" i="5"/>
  <c r="K52" i="5"/>
  <c r="G55" i="5"/>
  <c r="F55" i="5"/>
  <c r="K56" i="5"/>
  <c r="G59" i="5"/>
  <c r="F59" i="5"/>
  <c r="K60" i="5"/>
  <c r="G63" i="5"/>
  <c r="F63" i="5"/>
  <c r="K64" i="5"/>
  <c r="G67" i="5"/>
  <c r="F67" i="5"/>
  <c r="G71" i="5"/>
  <c r="F71" i="5"/>
  <c r="K72" i="5"/>
  <c r="G75" i="5"/>
  <c r="F75" i="5"/>
  <c r="G79" i="5"/>
  <c r="F79" i="5"/>
  <c r="G87" i="5"/>
  <c r="F87" i="5"/>
  <c r="G95" i="5"/>
  <c r="F95" i="5"/>
  <c r="G103" i="5"/>
  <c r="F103" i="5"/>
  <c r="K104" i="5"/>
  <c r="G107" i="5"/>
  <c r="F107" i="5"/>
  <c r="K108" i="5"/>
  <c r="G111" i="5"/>
  <c r="F111" i="5"/>
  <c r="K112" i="5"/>
  <c r="G115" i="5"/>
  <c r="F115" i="5"/>
  <c r="K116" i="5"/>
  <c r="G119" i="5"/>
  <c r="F119" i="5"/>
  <c r="K120" i="5"/>
  <c r="G123" i="5"/>
  <c r="F123" i="5"/>
  <c r="K124" i="5"/>
  <c r="G127" i="5"/>
  <c r="F127" i="5"/>
  <c r="K128" i="5"/>
  <c r="G131" i="5"/>
  <c r="F131" i="5"/>
  <c r="K132" i="5"/>
  <c r="G135" i="5"/>
  <c r="F135" i="5"/>
  <c r="K136" i="5"/>
  <c r="G139" i="5"/>
  <c r="F139" i="5"/>
  <c r="K140" i="5"/>
  <c r="G143" i="5"/>
  <c r="F143" i="5"/>
  <c r="G147" i="5"/>
  <c r="F147" i="5"/>
  <c r="G151" i="5"/>
  <c r="F151" i="5"/>
  <c r="G155" i="5"/>
  <c r="F155" i="5"/>
  <c r="K156" i="5"/>
  <c r="G159" i="5"/>
  <c r="F159" i="5"/>
  <c r="G163" i="5"/>
  <c r="F163" i="5"/>
  <c r="F167" i="5"/>
  <c r="G167" i="5"/>
  <c r="F171" i="5"/>
  <c r="G171" i="5"/>
  <c r="F175" i="5"/>
  <c r="G175" i="5"/>
  <c r="F179" i="5"/>
  <c r="G179" i="5"/>
  <c r="G183" i="5"/>
  <c r="F183" i="5"/>
  <c r="F187" i="5"/>
  <c r="G187" i="5"/>
  <c r="G191" i="5"/>
  <c r="F191" i="5"/>
  <c r="G195" i="5"/>
  <c r="F195" i="5"/>
  <c r="F199" i="5"/>
  <c r="G199" i="5"/>
  <c r="F203" i="5"/>
  <c r="G203" i="5"/>
  <c r="G207" i="5"/>
  <c r="F207" i="5"/>
  <c r="G211" i="5"/>
  <c r="F211" i="5"/>
  <c r="F215" i="5"/>
  <c r="G215" i="5"/>
  <c r="F219" i="5"/>
  <c r="G219" i="5"/>
  <c r="G223" i="5"/>
  <c r="F223" i="5"/>
  <c r="G227" i="5"/>
  <c r="F227" i="5"/>
  <c r="G231" i="5"/>
  <c r="F231" i="5"/>
  <c r="G235" i="5"/>
  <c r="F235" i="5"/>
  <c r="G239" i="5"/>
  <c r="F239" i="5"/>
  <c r="G243" i="5"/>
  <c r="F243" i="5"/>
  <c r="G247" i="5"/>
  <c r="F247" i="5"/>
  <c r="F251" i="5"/>
  <c r="G251" i="5"/>
  <c r="G255" i="5"/>
  <c r="F255" i="5"/>
  <c r="K256" i="5"/>
  <c r="F259" i="5"/>
  <c r="G259" i="5"/>
  <c r="K260" i="5"/>
  <c r="G263" i="5"/>
  <c r="F263" i="5"/>
  <c r="K264" i="5"/>
  <c r="G267" i="5"/>
  <c r="F267" i="5"/>
  <c r="K268" i="5"/>
  <c r="G271" i="5"/>
  <c r="F271" i="5"/>
  <c r="K272" i="5"/>
  <c r="G275" i="5"/>
  <c r="F275" i="5"/>
  <c r="K276" i="5"/>
  <c r="G279" i="5"/>
  <c r="F279" i="5"/>
  <c r="K280" i="5"/>
  <c r="G283" i="5"/>
  <c r="F283" i="5"/>
  <c r="K284" i="5"/>
  <c r="G287" i="5"/>
  <c r="F287" i="5"/>
  <c r="K288" i="5"/>
  <c r="G291" i="5"/>
  <c r="F291" i="5"/>
  <c r="K292" i="5"/>
  <c r="G295" i="5"/>
  <c r="F295" i="5"/>
  <c r="K296" i="5"/>
  <c r="G299" i="5"/>
  <c r="F299" i="5"/>
  <c r="K300" i="5"/>
  <c r="G303" i="5"/>
  <c r="F303" i="5"/>
  <c r="K304" i="5"/>
  <c r="G307" i="5"/>
  <c r="F307" i="5"/>
  <c r="K308" i="5"/>
  <c r="G311" i="5"/>
  <c r="F311" i="5"/>
  <c r="K312" i="5"/>
  <c r="G315" i="5"/>
  <c r="F315" i="5"/>
  <c r="K316" i="5"/>
  <c r="G319" i="5"/>
  <c r="F319" i="5"/>
  <c r="K320" i="5"/>
  <c r="G323" i="5"/>
  <c r="F323" i="5"/>
  <c r="K324" i="5"/>
  <c r="G327" i="5"/>
  <c r="F327" i="5"/>
  <c r="K328" i="5"/>
  <c r="F331" i="5"/>
  <c r="G331" i="5"/>
  <c r="K332" i="5"/>
  <c r="G335" i="5"/>
  <c r="F335" i="5"/>
  <c r="K336" i="5"/>
  <c r="F339" i="5"/>
  <c r="G339" i="5"/>
  <c r="K340" i="5"/>
  <c r="G343" i="5"/>
  <c r="F343" i="5"/>
  <c r="K344" i="5"/>
  <c r="F347" i="5"/>
  <c r="G347" i="5"/>
  <c r="K348" i="5"/>
  <c r="G351" i="5"/>
  <c r="F351" i="5"/>
  <c r="K352" i="5"/>
  <c r="F355" i="5"/>
  <c r="G355" i="5"/>
  <c r="K356" i="5"/>
  <c r="G359" i="5"/>
  <c r="F359" i="5"/>
  <c r="K360" i="5"/>
  <c r="F363" i="5"/>
  <c r="G363" i="5"/>
  <c r="K364" i="5"/>
  <c r="D4" i="3"/>
  <c r="I4" i="3"/>
  <c r="M10" i="3"/>
  <c r="K10" i="3"/>
  <c r="M37" i="3"/>
  <c r="K37" i="3"/>
  <c r="N64" i="3"/>
  <c r="F64" i="3"/>
  <c r="M64" i="3"/>
  <c r="G64" i="3"/>
  <c r="I16" i="5"/>
  <c r="F3" i="5"/>
  <c r="G3" i="5"/>
  <c r="F7" i="5"/>
  <c r="G7" i="5"/>
  <c r="K8" i="5"/>
  <c r="K12" i="5"/>
  <c r="F19" i="5"/>
  <c r="G19" i="5"/>
  <c r="K20" i="5"/>
  <c r="F23" i="5"/>
  <c r="G23" i="5"/>
  <c r="K24" i="5"/>
  <c r="K28" i="5"/>
  <c r="K76" i="5"/>
  <c r="G83" i="5"/>
  <c r="F83" i="5"/>
  <c r="G91" i="5"/>
  <c r="F91" i="5"/>
  <c r="G99" i="5"/>
  <c r="F99" i="5"/>
  <c r="D2" i="5"/>
  <c r="I3" i="5"/>
  <c r="D6" i="5"/>
  <c r="I7" i="5"/>
  <c r="D10" i="5"/>
  <c r="I11" i="5"/>
  <c r="D14" i="5"/>
  <c r="I15" i="5"/>
  <c r="D18" i="5"/>
  <c r="I19" i="5"/>
  <c r="D22" i="5"/>
  <c r="I23" i="5"/>
  <c r="D26" i="5"/>
  <c r="I27" i="5"/>
  <c r="D30" i="5"/>
  <c r="I31" i="5"/>
  <c r="D34" i="5"/>
  <c r="I35" i="5"/>
  <c r="D38" i="5"/>
  <c r="I39" i="5"/>
  <c r="D42" i="5"/>
  <c r="I43" i="5"/>
  <c r="D46" i="5"/>
  <c r="I47" i="5"/>
  <c r="D50" i="5"/>
  <c r="I51" i="5"/>
  <c r="D54" i="5"/>
  <c r="I55" i="5"/>
  <c r="D58" i="5"/>
  <c r="I59" i="5"/>
  <c r="D62" i="5"/>
  <c r="I63" i="5"/>
  <c r="D66" i="5"/>
  <c r="I67" i="5"/>
  <c r="D70" i="5"/>
  <c r="I71" i="5"/>
  <c r="D74" i="5"/>
  <c r="I75" i="5"/>
  <c r="D78" i="5"/>
  <c r="I79" i="5"/>
  <c r="D82" i="5"/>
  <c r="I83" i="5"/>
  <c r="D86" i="5"/>
  <c r="I87" i="5"/>
  <c r="D90" i="5"/>
  <c r="I91" i="5"/>
  <c r="D94" i="5"/>
  <c r="I95" i="5"/>
  <c r="D98" i="5"/>
  <c r="I99" i="5"/>
  <c r="D102" i="5"/>
  <c r="I103" i="5"/>
  <c r="D106" i="5"/>
  <c r="I107" i="5"/>
  <c r="D110" i="5"/>
  <c r="I111" i="5"/>
  <c r="D114" i="5"/>
  <c r="I115" i="5"/>
  <c r="D118" i="5"/>
  <c r="I119" i="5"/>
  <c r="D122" i="5"/>
  <c r="I123" i="5"/>
  <c r="D126" i="5"/>
  <c r="I127" i="5"/>
  <c r="D130" i="5"/>
  <c r="I131" i="5"/>
  <c r="D134" i="5"/>
  <c r="I135" i="5"/>
  <c r="D138" i="5"/>
  <c r="I139" i="5"/>
  <c r="D142" i="5"/>
  <c r="I143" i="5"/>
  <c r="D146" i="5"/>
  <c r="I147" i="5"/>
  <c r="D150" i="5"/>
  <c r="I151" i="5"/>
  <c r="D154" i="5"/>
  <c r="I155" i="5"/>
  <c r="D158" i="5"/>
  <c r="I159" i="5"/>
  <c r="D162" i="5"/>
  <c r="I163" i="5"/>
  <c r="D166" i="5"/>
  <c r="I167" i="5"/>
  <c r="D170" i="5"/>
  <c r="I171" i="5"/>
  <c r="D174" i="5"/>
  <c r="I175" i="5"/>
  <c r="D178" i="5"/>
  <c r="I179" i="5"/>
  <c r="D182" i="5"/>
  <c r="I183" i="5"/>
  <c r="D186" i="5"/>
  <c r="I187" i="5"/>
  <c r="D190" i="5"/>
  <c r="I191" i="5"/>
  <c r="D194" i="5"/>
  <c r="I195" i="5"/>
  <c r="D198" i="5"/>
  <c r="I199" i="5"/>
  <c r="D202" i="5"/>
  <c r="I203" i="5"/>
  <c r="D206" i="5"/>
  <c r="I207" i="5"/>
  <c r="D210" i="5"/>
  <c r="I211" i="5"/>
  <c r="D214" i="5"/>
  <c r="I215" i="5"/>
  <c r="D218" i="5"/>
  <c r="I219" i="5"/>
  <c r="D222" i="5"/>
  <c r="I223" i="5"/>
  <c r="D226" i="5"/>
  <c r="I227" i="5"/>
  <c r="D230" i="5"/>
  <c r="I231" i="5"/>
  <c r="D234" i="5"/>
  <c r="I235" i="5"/>
  <c r="D238" i="5"/>
  <c r="I239" i="5"/>
  <c r="D242" i="5"/>
  <c r="I243" i="5"/>
  <c r="I6" i="3"/>
  <c r="N16" i="3"/>
  <c r="F16" i="3"/>
  <c r="M16" i="3"/>
  <c r="G16" i="3"/>
  <c r="D44" i="3"/>
  <c r="I44" i="3"/>
  <c r="N72" i="3"/>
  <c r="F72" i="3"/>
  <c r="M72" i="3"/>
  <c r="G72" i="3"/>
  <c r="I24" i="5"/>
  <c r="I28" i="5"/>
  <c r="I32" i="5"/>
  <c r="F6" i="5"/>
  <c r="G6" i="5"/>
  <c r="F38" i="5"/>
  <c r="G38" i="5"/>
  <c r="F42" i="5"/>
  <c r="G42" i="5"/>
  <c r="F58" i="5"/>
  <c r="G58" i="5"/>
  <c r="F62" i="5"/>
  <c r="G62" i="5"/>
  <c r="F66" i="5"/>
  <c r="G66" i="5"/>
  <c r="F70" i="5"/>
  <c r="G70" i="5"/>
  <c r="F74" i="5"/>
  <c r="G74" i="5"/>
  <c r="F78" i="5"/>
  <c r="G78" i="5"/>
  <c r="F82" i="5"/>
  <c r="G82" i="5"/>
  <c r="F86" i="5"/>
  <c r="G86" i="5"/>
  <c r="F90" i="5"/>
  <c r="G90" i="5"/>
  <c r="F94" i="5"/>
  <c r="G94" i="5"/>
  <c r="F98" i="5"/>
  <c r="G98" i="5"/>
  <c r="F102" i="5"/>
  <c r="G102" i="5"/>
  <c r="F106" i="5"/>
  <c r="G106" i="5"/>
  <c r="F110" i="5"/>
  <c r="G110" i="5"/>
  <c r="F114" i="5"/>
  <c r="G114" i="5"/>
  <c r="F118" i="5"/>
  <c r="G118" i="5"/>
  <c r="F122" i="5"/>
  <c r="G122" i="5"/>
  <c r="F126" i="5"/>
  <c r="G126" i="5"/>
  <c r="F130" i="5"/>
  <c r="G130" i="5"/>
  <c r="F134" i="5"/>
  <c r="G134" i="5"/>
  <c r="F138" i="5"/>
  <c r="G138" i="5"/>
  <c r="F142" i="5"/>
  <c r="G142" i="5"/>
  <c r="F146" i="5"/>
  <c r="G146" i="5"/>
  <c r="F150" i="5"/>
  <c r="G150" i="5"/>
  <c r="F154" i="5"/>
  <c r="G154" i="5"/>
  <c r="G158" i="5"/>
  <c r="F158" i="5"/>
  <c r="G162" i="5"/>
  <c r="F162" i="5"/>
  <c r="G166" i="5"/>
  <c r="F166" i="5"/>
  <c r="G170" i="5"/>
  <c r="F170" i="5"/>
  <c r="G174" i="5"/>
  <c r="F174" i="5"/>
  <c r="G178" i="5"/>
  <c r="F178" i="5"/>
  <c r="G182" i="5"/>
  <c r="F182" i="5"/>
  <c r="G186" i="5"/>
  <c r="F186" i="5"/>
  <c r="G190" i="5"/>
  <c r="F190" i="5"/>
  <c r="G194" i="5"/>
  <c r="F194" i="5"/>
  <c r="G198" i="5"/>
  <c r="F198" i="5"/>
  <c r="G202" i="5"/>
  <c r="F202" i="5"/>
  <c r="G206" i="5"/>
  <c r="F206" i="5"/>
  <c r="G210" i="5"/>
  <c r="F210" i="5"/>
  <c r="G214" i="5"/>
  <c r="F214" i="5"/>
  <c r="G218" i="5"/>
  <c r="F218" i="5"/>
  <c r="G222" i="5"/>
  <c r="F222" i="5"/>
  <c r="G226" i="5"/>
  <c r="F226" i="5"/>
  <c r="F230" i="5"/>
  <c r="G230" i="5"/>
  <c r="F234" i="5"/>
  <c r="G234" i="5"/>
  <c r="F238" i="5"/>
  <c r="G238" i="5"/>
  <c r="F242" i="5"/>
  <c r="G242" i="5"/>
  <c r="F246" i="5"/>
  <c r="G246" i="5"/>
  <c r="F250" i="5"/>
  <c r="G250" i="5"/>
  <c r="F254" i="5"/>
  <c r="G254" i="5"/>
  <c r="F258" i="5"/>
  <c r="G258" i="5"/>
  <c r="F262" i="5"/>
  <c r="G262" i="5"/>
  <c r="F266" i="5"/>
  <c r="G266" i="5"/>
  <c r="F270" i="5"/>
  <c r="G270" i="5"/>
  <c r="F274" i="5"/>
  <c r="G274" i="5"/>
  <c r="F278" i="5"/>
  <c r="G278" i="5"/>
  <c r="F282" i="5"/>
  <c r="G282" i="5"/>
  <c r="F286" i="5"/>
  <c r="G286" i="5"/>
  <c r="F290" i="5"/>
  <c r="G290" i="5"/>
  <c r="F294" i="5"/>
  <c r="G294" i="5"/>
  <c r="F298" i="5"/>
  <c r="G298" i="5"/>
  <c r="F302" i="5"/>
  <c r="G302" i="5"/>
  <c r="G306" i="5"/>
  <c r="F306" i="5"/>
  <c r="G310" i="5"/>
  <c r="F310" i="5"/>
  <c r="G314" i="5"/>
  <c r="F314" i="5"/>
  <c r="G318" i="5"/>
  <c r="F318" i="5"/>
  <c r="G322" i="5"/>
  <c r="F322" i="5"/>
  <c r="G326" i="5"/>
  <c r="F326" i="5"/>
  <c r="G330" i="5"/>
  <c r="F330" i="5"/>
  <c r="G334" i="5"/>
  <c r="F334" i="5"/>
  <c r="G338" i="5"/>
  <c r="F338" i="5"/>
  <c r="G342" i="5"/>
  <c r="F342" i="5"/>
  <c r="G346" i="5"/>
  <c r="F346" i="5"/>
  <c r="G350" i="5"/>
  <c r="F350" i="5"/>
  <c r="G354" i="5"/>
  <c r="F354" i="5"/>
  <c r="M31" i="3"/>
  <c r="G31" i="3"/>
  <c r="F31" i="3"/>
  <c r="N31" i="3"/>
  <c r="N80" i="3"/>
  <c r="F80" i="3"/>
  <c r="M80" i="3"/>
  <c r="G80" i="3"/>
  <c r="I40" i="5"/>
  <c r="G2" i="5"/>
  <c r="F2" i="5"/>
  <c r="G10" i="5"/>
  <c r="F10" i="5"/>
  <c r="G14" i="5"/>
  <c r="F14" i="5"/>
  <c r="F18" i="5"/>
  <c r="G18" i="5"/>
  <c r="G22" i="5"/>
  <c r="F22" i="5"/>
  <c r="F26" i="5"/>
  <c r="G26" i="5"/>
  <c r="F30" i="5"/>
  <c r="G30" i="5"/>
  <c r="F34" i="5"/>
  <c r="G34" i="5"/>
  <c r="F46" i="5"/>
  <c r="G46" i="5"/>
  <c r="F50" i="5"/>
  <c r="G50" i="5"/>
  <c r="F54" i="5"/>
  <c r="G54" i="5"/>
  <c r="D5" i="5"/>
  <c r="D9" i="5"/>
  <c r="D13" i="5"/>
  <c r="D17" i="5"/>
  <c r="D21" i="5"/>
  <c r="D25" i="5"/>
  <c r="D29" i="5"/>
  <c r="D33" i="5"/>
  <c r="D37" i="5"/>
  <c r="I38" i="5"/>
  <c r="D41" i="5"/>
  <c r="I42" i="5"/>
  <c r="D45" i="5"/>
  <c r="I46" i="5"/>
  <c r="D49" i="5"/>
  <c r="I50" i="5"/>
  <c r="D53" i="5"/>
  <c r="I54" i="5"/>
  <c r="D57" i="5"/>
  <c r="I58" i="5"/>
  <c r="D61" i="5"/>
  <c r="I62" i="5"/>
  <c r="D65" i="5"/>
  <c r="I66" i="5"/>
  <c r="D69" i="5"/>
  <c r="I70" i="5"/>
  <c r="D73" i="5"/>
  <c r="I74" i="5"/>
  <c r="D77" i="5"/>
  <c r="D81" i="5"/>
  <c r="D85" i="5"/>
  <c r="I86" i="5"/>
  <c r="D89" i="5"/>
  <c r="I90" i="5"/>
  <c r="D93" i="5"/>
  <c r="D97" i="5"/>
  <c r="D101" i="5"/>
  <c r="D105" i="5"/>
  <c r="D109" i="5"/>
  <c r="D113" i="5"/>
  <c r="D117" i="5"/>
  <c r="D121" i="5"/>
  <c r="D125" i="5"/>
  <c r="D129" i="5"/>
  <c r="D133" i="5"/>
  <c r="D137" i="5"/>
  <c r="D141" i="5"/>
  <c r="D145" i="5"/>
  <c r="D149" i="5"/>
  <c r="D153" i="5"/>
  <c r="D157" i="5"/>
  <c r="D161" i="5"/>
  <c r="D165" i="5"/>
  <c r="I166" i="5"/>
  <c r="D169" i="5"/>
  <c r="I170" i="5"/>
  <c r="D173" i="5"/>
  <c r="I174" i="5"/>
  <c r="D177" i="5"/>
  <c r="I178" i="5"/>
  <c r="D181" i="5"/>
  <c r="I182" i="5"/>
  <c r="D185" i="5"/>
  <c r="I186" i="5"/>
  <c r="D189" i="5"/>
  <c r="D193" i="5"/>
  <c r="D197" i="5"/>
  <c r="D201" i="5"/>
  <c r="D205" i="5"/>
  <c r="D209" i="5"/>
  <c r="D213" i="5"/>
  <c r="D217" i="5"/>
  <c r="D221" i="5"/>
  <c r="D225" i="5"/>
  <c r="I226" i="5"/>
  <c r="D229" i="5"/>
  <c r="I230" i="5"/>
  <c r="D233" i="5"/>
  <c r="I234" i="5"/>
  <c r="D237" i="5"/>
  <c r="I238" i="5"/>
  <c r="D241" i="5"/>
  <c r="D245" i="5"/>
  <c r="D249" i="5"/>
  <c r="D253" i="5"/>
  <c r="D257" i="5"/>
  <c r="D261" i="5"/>
  <c r="D265" i="5"/>
  <c r="D269" i="5"/>
  <c r="D273" i="5"/>
  <c r="D277" i="5"/>
  <c r="F373" i="3" a="1"/>
  <c r="F373" i="3" s="1"/>
  <c r="G25" i="3"/>
  <c r="D25" i="3"/>
  <c r="G37" i="3"/>
  <c r="D37" i="3"/>
  <c r="G5" i="5"/>
  <c r="F5" i="5"/>
  <c r="G9" i="5"/>
  <c r="F9" i="5"/>
  <c r="G13" i="5"/>
  <c r="F13" i="5"/>
  <c r="F17" i="5"/>
  <c r="G17" i="5"/>
  <c r="F21" i="5"/>
  <c r="G21" i="5"/>
  <c r="F25" i="5"/>
  <c r="G25" i="5"/>
  <c r="G29" i="5"/>
  <c r="F29" i="5"/>
  <c r="G33" i="5"/>
  <c r="F33" i="5"/>
  <c r="G37" i="5"/>
  <c r="F37" i="5"/>
  <c r="G41" i="5"/>
  <c r="F41" i="5"/>
  <c r="G45" i="5"/>
  <c r="F45" i="5"/>
  <c r="G49" i="5"/>
  <c r="F49" i="5"/>
  <c r="G53" i="5"/>
  <c r="F53" i="5"/>
  <c r="G57" i="5"/>
  <c r="F57" i="5"/>
  <c r="G61" i="5"/>
  <c r="F61" i="5"/>
  <c r="G65" i="5"/>
  <c r="F65" i="5"/>
  <c r="G69" i="5"/>
  <c r="F69" i="5"/>
  <c r="G73" i="5"/>
  <c r="F73" i="5"/>
  <c r="G77" i="5"/>
  <c r="F77" i="5"/>
  <c r="G81" i="5"/>
  <c r="F81" i="5"/>
  <c r="G85" i="5"/>
  <c r="F85" i="5"/>
  <c r="G89" i="5"/>
  <c r="F89" i="5"/>
  <c r="G93" i="5"/>
  <c r="F93" i="5"/>
  <c r="G97" i="5"/>
  <c r="F97" i="5"/>
  <c r="G101" i="5"/>
  <c r="F101" i="5"/>
  <c r="G105" i="5"/>
  <c r="F105" i="5"/>
  <c r="G109" i="5"/>
  <c r="F109" i="5"/>
  <c r="G113" i="5"/>
  <c r="F113" i="5"/>
  <c r="G117" i="5"/>
  <c r="F117" i="5"/>
  <c r="G121" i="5"/>
  <c r="F121" i="5"/>
  <c r="G125" i="5"/>
  <c r="F125" i="5"/>
  <c r="G129" i="5"/>
  <c r="F129" i="5"/>
  <c r="G133" i="5"/>
  <c r="F133" i="5"/>
  <c r="G137" i="5"/>
  <c r="F137" i="5"/>
  <c r="G141" i="5"/>
  <c r="F141" i="5"/>
  <c r="G145" i="5"/>
  <c r="F145" i="5"/>
  <c r="G149" i="5"/>
  <c r="F149" i="5"/>
  <c r="G153" i="5"/>
  <c r="F153" i="5"/>
  <c r="G157" i="5"/>
  <c r="F157" i="5"/>
  <c r="G161" i="5"/>
  <c r="F161" i="5"/>
  <c r="G165" i="5"/>
  <c r="F165" i="5"/>
  <c r="G169" i="5"/>
  <c r="F169" i="5"/>
  <c r="G173" i="5"/>
  <c r="F173" i="5"/>
  <c r="G177" i="5"/>
  <c r="F177" i="5"/>
  <c r="G181" i="5"/>
  <c r="F181" i="5"/>
  <c r="G185" i="5"/>
  <c r="F185" i="5"/>
  <c r="G189" i="5"/>
  <c r="F189" i="5"/>
  <c r="F193" i="5"/>
  <c r="G193" i="5"/>
  <c r="G197" i="5"/>
  <c r="F197" i="5"/>
  <c r="G201" i="5"/>
  <c r="F201" i="5"/>
  <c r="G205" i="5"/>
  <c r="F205" i="5"/>
  <c r="F209" i="5"/>
  <c r="G209" i="5"/>
  <c r="F213" i="5"/>
  <c r="G213" i="5"/>
  <c r="G217" i="5"/>
  <c r="F217" i="5"/>
  <c r="G221" i="5"/>
  <c r="F221" i="5"/>
  <c r="G225" i="5"/>
  <c r="F225" i="5"/>
  <c r="F229" i="5"/>
  <c r="G229" i="5"/>
  <c r="G233" i="5"/>
  <c r="F233" i="5"/>
  <c r="F237" i="5"/>
  <c r="G237" i="5"/>
  <c r="G241" i="5"/>
  <c r="F241" i="5"/>
  <c r="F245" i="5"/>
  <c r="G245" i="5"/>
  <c r="G249" i="5"/>
  <c r="F249" i="5"/>
  <c r="G253" i="5"/>
  <c r="F253" i="5"/>
  <c r="G257" i="5"/>
  <c r="F257" i="5"/>
  <c r="G261" i="5"/>
  <c r="F261" i="5"/>
  <c r="G265" i="5"/>
  <c r="F265" i="5"/>
  <c r="G269" i="5"/>
  <c r="F269" i="5"/>
  <c r="G273" i="5"/>
  <c r="F273" i="5"/>
  <c r="G277" i="5"/>
  <c r="F277" i="5"/>
  <c r="G281" i="5"/>
  <c r="F281" i="5"/>
  <c r="G285" i="5"/>
  <c r="F285" i="5"/>
  <c r="F289" i="5"/>
  <c r="G289" i="5"/>
  <c r="F293" i="5"/>
  <c r="G293" i="5"/>
  <c r="G297" i="5"/>
  <c r="F297" i="5"/>
  <c r="G301" i="5"/>
  <c r="F301" i="5"/>
  <c r="G305" i="5"/>
  <c r="F305" i="5"/>
  <c r="G309" i="5"/>
  <c r="F309" i="5"/>
  <c r="G313" i="5"/>
  <c r="F313" i="5"/>
  <c r="G317" i="5"/>
  <c r="F317" i="5"/>
  <c r="G321" i="5"/>
  <c r="F321" i="5"/>
  <c r="G325" i="5"/>
  <c r="F325" i="5"/>
  <c r="G329" i="5"/>
  <c r="F329" i="5"/>
  <c r="G333" i="5"/>
  <c r="F333" i="5"/>
  <c r="G337" i="5"/>
  <c r="F337" i="5"/>
  <c r="F341" i="5"/>
  <c r="G341" i="5"/>
  <c r="G345" i="5"/>
  <c r="F345" i="5"/>
  <c r="G349" i="5"/>
  <c r="F349" i="5"/>
  <c r="F353" i="5"/>
  <c r="G353" i="5"/>
  <c r="N45" i="3"/>
  <c r="K45" i="3"/>
  <c r="I45" i="3"/>
  <c r="G18" i="3"/>
  <c r="M19" i="3"/>
  <c r="I27" i="3"/>
  <c r="N40" i="3"/>
  <c r="F40" i="3"/>
  <c r="G45" i="3"/>
  <c r="G50" i="3"/>
  <c r="M51" i="3"/>
  <c r="G58" i="3"/>
  <c r="M59" i="3"/>
  <c r="M67" i="3"/>
  <c r="M75" i="3"/>
  <c r="M83" i="3"/>
  <c r="N92" i="3"/>
  <c r="F92" i="3"/>
  <c r="N100" i="3"/>
  <c r="F100" i="3"/>
  <c r="M104" i="3"/>
  <c r="N108" i="3"/>
  <c r="F108" i="3"/>
  <c r="M112" i="3"/>
  <c r="N116" i="3"/>
  <c r="F116" i="3"/>
  <c r="M120" i="3"/>
  <c r="N124" i="3"/>
  <c r="F124" i="3"/>
  <c r="M128" i="3"/>
  <c r="N132" i="3"/>
  <c r="F132" i="3"/>
  <c r="M136" i="3"/>
  <c r="N140" i="3"/>
  <c r="F140" i="3"/>
  <c r="M144" i="3"/>
  <c r="N148" i="3"/>
  <c r="F148" i="3"/>
  <c r="M152" i="3"/>
  <c r="N156" i="3"/>
  <c r="F156" i="3"/>
  <c r="M160" i="3"/>
  <c r="N164" i="3"/>
  <c r="F164" i="3"/>
  <c r="M164" i="3"/>
  <c r="F183" i="3"/>
  <c r="I187" i="3"/>
  <c r="D187" i="3"/>
  <c r="N187" i="3"/>
  <c r="M191" i="3"/>
  <c r="N193" i="3"/>
  <c r="N196" i="3"/>
  <c r="F196" i="3"/>
  <c r="M196" i="3"/>
  <c r="F215" i="3"/>
  <c r="I219" i="3"/>
  <c r="D219" i="3"/>
  <c r="N219" i="3"/>
  <c r="M223" i="3"/>
  <c r="N225" i="3"/>
  <c r="N249" i="3"/>
  <c r="M250" i="3"/>
  <c r="I253" i="3"/>
  <c r="G266" i="3"/>
  <c r="G267" i="3"/>
  <c r="N267" i="3"/>
  <c r="M267" i="3"/>
  <c r="F267" i="3"/>
  <c r="N272" i="3"/>
  <c r="F272" i="3"/>
  <c r="M278" i="3"/>
  <c r="K278" i="3"/>
  <c r="I283" i="3"/>
  <c r="N284" i="3"/>
  <c r="F284" i="3"/>
  <c r="G284" i="3"/>
  <c r="N301" i="3"/>
  <c r="K309" i="3"/>
  <c r="M309" i="3"/>
  <c r="M320" i="3"/>
  <c r="K320" i="3"/>
  <c r="N323" i="3"/>
  <c r="N326" i="3"/>
  <c r="F326" i="3"/>
  <c r="G327" i="3"/>
  <c r="M327" i="3"/>
  <c r="N336" i="3"/>
  <c r="F336" i="3"/>
  <c r="N338" i="3"/>
  <c r="G338" i="3"/>
  <c r="F338" i="3"/>
  <c r="G352" i="3"/>
  <c r="D352" i="3"/>
  <c r="D344" i="5"/>
  <c r="D348" i="5"/>
  <c r="D352" i="5"/>
  <c r="F13" i="7"/>
  <c r="E13" i="7"/>
  <c r="D13" i="7"/>
  <c r="C13" i="7"/>
  <c r="B13" i="7"/>
  <c r="F10" i="7"/>
  <c r="E9" i="7"/>
  <c r="D8" i="7"/>
  <c r="C7" i="7"/>
  <c r="B6" i="7"/>
  <c r="F2" i="7"/>
  <c r="F11" i="7"/>
  <c r="E10" i="7"/>
  <c r="D9" i="7"/>
  <c r="C8" i="7"/>
  <c r="B7" i="7"/>
  <c r="F3" i="7"/>
  <c r="E2" i="7"/>
  <c r="F12" i="7"/>
  <c r="E11" i="7"/>
  <c r="D10" i="7"/>
  <c r="C9" i="7"/>
  <c r="B8" i="7"/>
  <c r="F4" i="7"/>
  <c r="E3" i="7"/>
  <c r="D2" i="7"/>
  <c r="D11" i="7"/>
  <c r="C6" i="7"/>
  <c r="C4" i="7"/>
  <c r="C2" i="7"/>
  <c r="C11" i="7"/>
  <c r="F9" i="7"/>
  <c r="F7" i="7"/>
  <c r="F5" i="7"/>
  <c r="B4" i="7"/>
  <c r="B2" i="7"/>
  <c r="B11" i="7"/>
  <c r="C12" i="7"/>
  <c r="C10" i="7"/>
  <c r="F8" i="7"/>
  <c r="F6" i="7"/>
  <c r="B5" i="7"/>
  <c r="B3" i="7"/>
  <c r="E7" i="7"/>
  <c r="E4" i="7"/>
  <c r="B10" i="7"/>
  <c r="D7" i="7"/>
  <c r="D4" i="7"/>
  <c r="E12" i="7"/>
  <c r="B9" i="7"/>
  <c r="E6" i="7"/>
  <c r="D3" i="7"/>
  <c r="D12" i="7"/>
  <c r="D6" i="7"/>
  <c r="B12" i="7"/>
  <c r="E8" i="7"/>
  <c r="D5" i="7"/>
  <c r="C3" i="7"/>
  <c r="E5" i="7"/>
  <c r="C5" i="7"/>
  <c r="K2" i="3"/>
  <c r="G3" i="3"/>
  <c r="D11" i="3"/>
  <c r="N11" i="3"/>
  <c r="D14" i="3"/>
  <c r="M14" i="3"/>
  <c r="I15" i="3"/>
  <c r="K17" i="3"/>
  <c r="I19" i="3"/>
  <c r="D19" i="3"/>
  <c r="N19" i="3"/>
  <c r="D22" i="3"/>
  <c r="M22" i="3"/>
  <c r="I25" i="3"/>
  <c r="F26" i="3"/>
  <c r="K32" i="3"/>
  <c r="G33" i="3"/>
  <c r="D34" i="3"/>
  <c r="M34" i="3"/>
  <c r="G38" i="3"/>
  <c r="G43" i="3"/>
  <c r="I47" i="3"/>
  <c r="K49" i="3"/>
  <c r="D51" i="3"/>
  <c r="N51" i="3"/>
  <c r="D54" i="3"/>
  <c r="M54" i="3"/>
  <c r="I55" i="3"/>
  <c r="K57" i="3"/>
  <c r="D59" i="3"/>
  <c r="N59" i="3"/>
  <c r="D62" i="3"/>
  <c r="M62" i="3"/>
  <c r="I63" i="3"/>
  <c r="K65" i="3"/>
  <c r="I67" i="3"/>
  <c r="D67" i="3"/>
  <c r="N67" i="3"/>
  <c r="D70" i="3"/>
  <c r="M70" i="3"/>
  <c r="K73" i="3"/>
  <c r="I75" i="3"/>
  <c r="D75" i="3"/>
  <c r="N75" i="3"/>
  <c r="D78" i="3"/>
  <c r="M78" i="3"/>
  <c r="K81" i="3"/>
  <c r="I83" i="3"/>
  <c r="D83" i="3"/>
  <c r="N83" i="3"/>
  <c r="D86" i="3"/>
  <c r="M86" i="3"/>
  <c r="I87" i="3"/>
  <c r="G90" i="3"/>
  <c r="I92" i="3"/>
  <c r="I100" i="3"/>
  <c r="I108" i="3"/>
  <c r="I116" i="3"/>
  <c r="I124" i="3"/>
  <c r="I132" i="3"/>
  <c r="I140" i="3"/>
  <c r="I148" i="3"/>
  <c r="I156" i="3"/>
  <c r="I164" i="3"/>
  <c r="N165" i="3"/>
  <c r="N168" i="3"/>
  <c r="F168" i="3"/>
  <c r="M168" i="3"/>
  <c r="D170" i="3"/>
  <c r="D173" i="3"/>
  <c r="M174" i="3"/>
  <c r="K182" i="3"/>
  <c r="G183" i="3"/>
  <c r="K185" i="3"/>
  <c r="F187" i="3"/>
  <c r="I191" i="3"/>
  <c r="D191" i="3"/>
  <c r="N191" i="3"/>
  <c r="F194" i="3"/>
  <c r="I196" i="3"/>
  <c r="N197" i="3"/>
  <c r="N200" i="3"/>
  <c r="F200" i="3"/>
  <c r="M200" i="3"/>
  <c r="D202" i="3"/>
  <c r="D205" i="3"/>
  <c r="M206" i="3"/>
  <c r="K214" i="3"/>
  <c r="G215" i="3"/>
  <c r="K217" i="3"/>
  <c r="F219" i="3"/>
  <c r="I223" i="3"/>
  <c r="D223" i="3"/>
  <c r="N223" i="3"/>
  <c r="F226" i="3"/>
  <c r="K228" i="3"/>
  <c r="N230" i="3"/>
  <c r="G230" i="3"/>
  <c r="F230" i="3"/>
  <c r="K236" i="3"/>
  <c r="N238" i="3"/>
  <c r="G238" i="3"/>
  <c r="F238" i="3"/>
  <c r="K244" i="3"/>
  <c r="N246" i="3"/>
  <c r="G246" i="3"/>
  <c r="F246" i="3"/>
  <c r="K252" i="3"/>
  <c r="M257" i="3"/>
  <c r="D261" i="3"/>
  <c r="F273" i="3"/>
  <c r="F281" i="3"/>
  <c r="I281" i="3"/>
  <c r="D286" i="3"/>
  <c r="K289" i="3"/>
  <c r="K296" i="3"/>
  <c r="I297" i="3"/>
  <c r="G299" i="3"/>
  <c r="N299" i="3"/>
  <c r="M299" i="3"/>
  <c r="F299" i="3"/>
  <c r="N304" i="3"/>
  <c r="F304" i="3"/>
  <c r="M310" i="3"/>
  <c r="K310" i="3"/>
  <c r="N316" i="3"/>
  <c r="F316" i="3"/>
  <c r="G316" i="3"/>
  <c r="D332" i="3"/>
  <c r="N348" i="3"/>
  <c r="F348" i="3"/>
  <c r="G348" i="3"/>
  <c r="K362" i="3"/>
  <c r="G348" i="5"/>
  <c r="F348" i="5"/>
  <c r="N8" i="3"/>
  <c r="F8" i="3"/>
  <c r="N13" i="3"/>
  <c r="N21" i="3"/>
  <c r="N28" i="3"/>
  <c r="F28" i="3"/>
  <c r="N53" i="3"/>
  <c r="N61" i="3"/>
  <c r="N69" i="3"/>
  <c r="N77" i="3"/>
  <c r="N85" i="3"/>
  <c r="K89" i="3"/>
  <c r="I91" i="3"/>
  <c r="D91" i="3"/>
  <c r="D94" i="3"/>
  <c r="K97" i="3"/>
  <c r="I99" i="3"/>
  <c r="D99" i="3"/>
  <c r="D102" i="3"/>
  <c r="I107" i="3"/>
  <c r="D107" i="3"/>
  <c r="I115" i="3"/>
  <c r="D115" i="3"/>
  <c r="I123" i="3"/>
  <c r="D123" i="3"/>
  <c r="I131" i="3"/>
  <c r="D131" i="3"/>
  <c r="I139" i="3"/>
  <c r="D139" i="3"/>
  <c r="I147" i="3"/>
  <c r="D147" i="3"/>
  <c r="I155" i="3"/>
  <c r="D155" i="3"/>
  <c r="I163" i="3"/>
  <c r="D163" i="3"/>
  <c r="N169" i="3"/>
  <c r="N172" i="3"/>
  <c r="F172" i="3"/>
  <c r="M172" i="3"/>
  <c r="F191" i="3"/>
  <c r="I195" i="3"/>
  <c r="D195" i="3"/>
  <c r="N201" i="3"/>
  <c r="N204" i="3"/>
  <c r="F204" i="3"/>
  <c r="M204" i="3"/>
  <c r="F223" i="3"/>
  <c r="N274" i="3"/>
  <c r="G274" i="3"/>
  <c r="F274" i="3"/>
  <c r="N280" i="3"/>
  <c r="F280" i="3"/>
  <c r="F313" i="3"/>
  <c r="I313" i="3"/>
  <c r="G331" i="3"/>
  <c r="N331" i="3"/>
  <c r="M331" i="3"/>
  <c r="F331" i="3"/>
  <c r="I348" i="3"/>
  <c r="K348" i="3"/>
  <c r="G351" i="3"/>
  <c r="M351" i="3"/>
  <c r="N351" i="3"/>
  <c r="N365" i="3"/>
  <c r="I365" i="3"/>
  <c r="N88" i="3"/>
  <c r="F88" i="3"/>
  <c r="F107" i="3"/>
  <c r="F115" i="3"/>
  <c r="F123" i="3"/>
  <c r="F131" i="3"/>
  <c r="F139" i="3"/>
  <c r="F147" i="3"/>
  <c r="F155" i="3"/>
  <c r="F163" i="3"/>
  <c r="I167" i="3"/>
  <c r="D167" i="3"/>
  <c r="I169" i="3"/>
  <c r="F170" i="3"/>
  <c r="I172" i="3"/>
  <c r="N176" i="3"/>
  <c r="F176" i="3"/>
  <c r="M176" i="3"/>
  <c r="D178" i="3"/>
  <c r="D181" i="3"/>
  <c r="K190" i="3"/>
  <c r="K193" i="3"/>
  <c r="F195" i="3"/>
  <c r="I199" i="3"/>
  <c r="D199" i="3"/>
  <c r="I201" i="3"/>
  <c r="F202" i="3"/>
  <c r="I204" i="3"/>
  <c r="N208" i="3"/>
  <c r="F208" i="3"/>
  <c r="M208" i="3"/>
  <c r="D210" i="3"/>
  <c r="D213" i="3"/>
  <c r="K222" i="3"/>
  <c r="K225" i="3"/>
  <c r="K230" i="3"/>
  <c r="N232" i="3"/>
  <c r="G232" i="3"/>
  <c r="F232" i="3"/>
  <c r="K238" i="3"/>
  <c r="N240" i="3"/>
  <c r="G240" i="3"/>
  <c r="F240" i="3"/>
  <c r="K246" i="3"/>
  <c r="N248" i="3"/>
  <c r="G248" i="3"/>
  <c r="F248" i="3"/>
  <c r="G255" i="3"/>
  <c r="M255" i="3"/>
  <c r="N255" i="3"/>
  <c r="K267" i="3"/>
  <c r="G275" i="3"/>
  <c r="N275" i="3"/>
  <c r="M275" i="3"/>
  <c r="D278" i="3"/>
  <c r="D288" i="3"/>
  <c r="K298" i="3"/>
  <c r="K304" i="3"/>
  <c r="N306" i="3"/>
  <c r="G306" i="3"/>
  <c r="F306" i="3"/>
  <c r="K311" i="3"/>
  <c r="N312" i="3"/>
  <c r="F312" i="3"/>
  <c r="K316" i="3"/>
  <c r="M321" i="3"/>
  <c r="D325" i="3"/>
  <c r="M342" i="3"/>
  <c r="K342" i="3"/>
  <c r="I353" i="3"/>
  <c r="K365" i="3"/>
  <c r="M365" i="3"/>
  <c r="D7" i="3"/>
  <c r="N24" i="3"/>
  <c r="F24" i="3"/>
  <c r="D27" i="3"/>
  <c r="N36" i="3"/>
  <c r="F36" i="3"/>
  <c r="F94" i="3"/>
  <c r="N96" i="3"/>
  <c r="F96" i="3"/>
  <c r="D97" i="3"/>
  <c r="F102" i="3"/>
  <c r="N104" i="3"/>
  <c r="F104" i="3"/>
  <c r="N112" i="3"/>
  <c r="F112" i="3"/>
  <c r="N120" i="3"/>
  <c r="F120" i="3"/>
  <c r="N128" i="3"/>
  <c r="F128" i="3"/>
  <c r="N136" i="3"/>
  <c r="F136" i="3"/>
  <c r="N144" i="3"/>
  <c r="F144" i="3"/>
  <c r="N152" i="3"/>
  <c r="F152" i="3"/>
  <c r="N160" i="3"/>
  <c r="F160" i="3"/>
  <c r="I171" i="3"/>
  <c r="D171" i="3"/>
  <c r="N180" i="3"/>
  <c r="F180" i="3"/>
  <c r="M180" i="3"/>
  <c r="I203" i="3"/>
  <c r="D203" i="3"/>
  <c r="N212" i="3"/>
  <c r="F212" i="3"/>
  <c r="M212" i="3"/>
  <c r="N260" i="3"/>
  <c r="F260" i="3"/>
  <c r="D263" i="3"/>
  <c r="I263" i="3"/>
  <c r="D264" i="3"/>
  <c r="G264" i="3"/>
  <c r="D271" i="3"/>
  <c r="F271" i="3"/>
  <c r="I271" i="3"/>
  <c r="G287" i="3"/>
  <c r="M287" i="3"/>
  <c r="N287" i="3"/>
  <c r="G307" i="3"/>
  <c r="N307" i="3"/>
  <c r="M307" i="3"/>
  <c r="M352" i="3"/>
  <c r="K352" i="3"/>
  <c r="D246" i="5"/>
  <c r="I247" i="5"/>
  <c r="D250" i="5"/>
  <c r="I251" i="5"/>
  <c r="D254" i="5"/>
  <c r="I255" i="5"/>
  <c r="D258" i="5"/>
  <c r="I259" i="5"/>
  <c r="D262" i="5"/>
  <c r="I263" i="5"/>
  <c r="D266" i="5"/>
  <c r="I267" i="5"/>
  <c r="D270" i="5"/>
  <c r="I271" i="5"/>
  <c r="D274" i="5"/>
  <c r="I275" i="5"/>
  <c r="D278" i="5"/>
  <c r="I279" i="5"/>
  <c r="D282" i="5"/>
  <c r="I283" i="5"/>
  <c r="D286" i="5"/>
  <c r="I287" i="5"/>
  <c r="D290" i="5"/>
  <c r="I291" i="5"/>
  <c r="D294" i="5"/>
  <c r="I295" i="5"/>
  <c r="D298" i="5"/>
  <c r="I299" i="5"/>
  <c r="D302" i="5"/>
  <c r="I303" i="5"/>
  <c r="D306" i="5"/>
  <c r="I307" i="5"/>
  <c r="D310" i="5"/>
  <c r="I311" i="5"/>
  <c r="D314" i="5"/>
  <c r="I315" i="5"/>
  <c r="D318" i="5"/>
  <c r="I319" i="5"/>
  <c r="D322" i="5"/>
  <c r="I323" i="5"/>
  <c r="D326" i="5"/>
  <c r="I327" i="5"/>
  <c r="D330" i="5"/>
  <c r="I331" i="5"/>
  <c r="D334" i="5"/>
  <c r="I335" i="5"/>
  <c r="D338" i="5"/>
  <c r="I339" i="5"/>
  <c r="D342" i="5"/>
  <c r="I343" i="5"/>
  <c r="D346" i="5"/>
  <c r="I347" i="5"/>
  <c r="D350" i="5"/>
  <c r="I351" i="5"/>
  <c r="D354" i="5"/>
  <c r="I355" i="5"/>
  <c r="D358" i="5"/>
  <c r="I359" i="5"/>
  <c r="D362" i="5"/>
  <c r="I363" i="5"/>
  <c r="D366" i="5"/>
  <c r="F2" i="3"/>
  <c r="N4" i="3"/>
  <c r="F4" i="3"/>
  <c r="D5" i="3"/>
  <c r="F7" i="3"/>
  <c r="K8" i="3"/>
  <c r="D15" i="3"/>
  <c r="N15" i="3"/>
  <c r="I24" i="3"/>
  <c r="F27" i="3"/>
  <c r="K28" i="3"/>
  <c r="K33" i="3"/>
  <c r="I36" i="3"/>
  <c r="N44" i="3"/>
  <c r="F44" i="3"/>
  <c r="D47" i="3"/>
  <c r="N47" i="3"/>
  <c r="D55" i="3"/>
  <c r="N55" i="3"/>
  <c r="D63" i="3"/>
  <c r="N63" i="3"/>
  <c r="D66" i="3"/>
  <c r="I71" i="3"/>
  <c r="D71" i="3"/>
  <c r="N71" i="3"/>
  <c r="D74" i="3"/>
  <c r="I79" i="3"/>
  <c r="D79" i="3"/>
  <c r="N79" i="3"/>
  <c r="D82" i="3"/>
  <c r="D87" i="3"/>
  <c r="N87" i="3"/>
  <c r="I96" i="3"/>
  <c r="I104" i="3"/>
  <c r="I112" i="3"/>
  <c r="I120" i="3"/>
  <c r="I128" i="3"/>
  <c r="I136" i="3"/>
  <c r="I144" i="3"/>
  <c r="I152" i="3"/>
  <c r="I160" i="3"/>
  <c r="F171" i="3"/>
  <c r="I175" i="3"/>
  <c r="D175" i="3"/>
  <c r="N175" i="3"/>
  <c r="F178" i="3"/>
  <c r="N184" i="3"/>
  <c r="F184" i="3"/>
  <c r="M184" i="3"/>
  <c r="D186" i="3"/>
  <c r="D189" i="3"/>
  <c r="F203" i="3"/>
  <c r="I207" i="3"/>
  <c r="D207" i="3"/>
  <c r="N207" i="3"/>
  <c r="F210" i="3"/>
  <c r="N216" i="3"/>
  <c r="F216" i="3"/>
  <c r="M216" i="3"/>
  <c r="D218" i="3"/>
  <c r="D221" i="3"/>
  <c r="M226" i="3"/>
  <c r="N227" i="3"/>
  <c r="M227" i="3"/>
  <c r="K232" i="3"/>
  <c r="N234" i="3"/>
  <c r="G234" i="3"/>
  <c r="F234" i="3"/>
  <c r="K240" i="3"/>
  <c r="N242" i="3"/>
  <c r="G242" i="3"/>
  <c r="F242" i="3"/>
  <c r="K248" i="3"/>
  <c r="N250" i="3"/>
  <c r="G250" i="3"/>
  <c r="F250" i="3"/>
  <c r="I260" i="3"/>
  <c r="K260" i="3"/>
  <c r="I261" i="3"/>
  <c r="F263" i="3"/>
  <c r="K269" i="3"/>
  <c r="M274" i="3"/>
  <c r="M281" i="3"/>
  <c r="K291" i="3"/>
  <c r="N292" i="3"/>
  <c r="F292" i="3"/>
  <c r="D295" i="3"/>
  <c r="I295" i="3"/>
  <c r="D296" i="3"/>
  <c r="G296" i="3"/>
  <c r="D303" i="3"/>
  <c r="F303" i="3"/>
  <c r="I303" i="3"/>
  <c r="G319" i="3"/>
  <c r="M319" i="3"/>
  <c r="N319" i="3"/>
  <c r="N333" i="3"/>
  <c r="I333" i="3"/>
  <c r="D359" i="3"/>
  <c r="I359" i="3"/>
  <c r="F359" i="3"/>
  <c r="G358" i="5"/>
  <c r="F358" i="5"/>
  <c r="K359" i="5"/>
  <c r="G362" i="5"/>
  <c r="F362" i="5"/>
  <c r="K363" i="5"/>
  <c r="G366" i="5"/>
  <c r="F366" i="5"/>
  <c r="M3" i="3"/>
  <c r="M8" i="3"/>
  <c r="F15" i="3"/>
  <c r="K16" i="3"/>
  <c r="N17" i="3"/>
  <c r="D23" i="3"/>
  <c r="N23" i="3"/>
  <c r="M28" i="3"/>
  <c r="N32" i="3"/>
  <c r="F32" i="3"/>
  <c r="D35" i="3"/>
  <c r="N35" i="3"/>
  <c r="I39" i="3"/>
  <c r="M43" i="3"/>
  <c r="F47" i="3"/>
  <c r="K48" i="3"/>
  <c r="F55" i="3"/>
  <c r="K56" i="3"/>
  <c r="N57" i="3"/>
  <c r="F63" i="3"/>
  <c r="K64" i="3"/>
  <c r="N65" i="3"/>
  <c r="F71" i="3"/>
  <c r="K72" i="3"/>
  <c r="N73" i="3"/>
  <c r="F79" i="3"/>
  <c r="N81" i="3"/>
  <c r="F87" i="3"/>
  <c r="K88" i="3"/>
  <c r="I95" i="3"/>
  <c r="D95" i="3"/>
  <c r="N95" i="3"/>
  <c r="D98" i="3"/>
  <c r="I103" i="3"/>
  <c r="D103" i="3"/>
  <c r="N103" i="3"/>
  <c r="D106" i="3"/>
  <c r="I111" i="3"/>
  <c r="D111" i="3"/>
  <c r="N111" i="3"/>
  <c r="D114" i="3"/>
  <c r="I119" i="3"/>
  <c r="D119" i="3"/>
  <c r="N119" i="3"/>
  <c r="D122" i="3"/>
  <c r="I127" i="3"/>
  <c r="D127" i="3"/>
  <c r="N127" i="3"/>
  <c r="D130" i="3"/>
  <c r="I135" i="3"/>
  <c r="D135" i="3"/>
  <c r="N135" i="3"/>
  <c r="D138" i="3"/>
  <c r="I143" i="3"/>
  <c r="D143" i="3"/>
  <c r="N143" i="3"/>
  <c r="D146" i="3"/>
  <c r="I151" i="3"/>
  <c r="D151" i="3"/>
  <c r="N151" i="3"/>
  <c r="D154" i="3"/>
  <c r="I159" i="3"/>
  <c r="D159" i="3"/>
  <c r="N159" i="3"/>
  <c r="D162" i="3"/>
  <c r="F175" i="3"/>
  <c r="I179" i="3"/>
  <c r="D179" i="3"/>
  <c r="N179" i="3"/>
  <c r="F182" i="3"/>
  <c r="M183" i="3"/>
  <c r="N185" i="3"/>
  <c r="N188" i="3"/>
  <c r="F188" i="3"/>
  <c r="M188" i="3"/>
  <c r="D190" i="3"/>
  <c r="D193" i="3"/>
  <c r="F207" i="3"/>
  <c r="I211" i="3"/>
  <c r="D211" i="3"/>
  <c r="N211" i="3"/>
  <c r="F214" i="3"/>
  <c r="M215" i="3"/>
  <c r="N217" i="3"/>
  <c r="N220" i="3"/>
  <c r="F220" i="3"/>
  <c r="M220" i="3"/>
  <c r="D222" i="3"/>
  <c r="D225" i="3"/>
  <c r="N231" i="3"/>
  <c r="M232" i="3"/>
  <c r="F235" i="3"/>
  <c r="N239" i="3"/>
  <c r="M240" i="3"/>
  <c r="F243" i="3"/>
  <c r="N247" i="3"/>
  <c r="M248" i="3"/>
  <c r="F251" i="3"/>
  <c r="F253" i="3"/>
  <c r="M256" i="3"/>
  <c r="K256" i="3"/>
  <c r="N259" i="3"/>
  <c r="N262" i="3"/>
  <c r="F262" i="3"/>
  <c r="G263" i="3"/>
  <c r="M263" i="3"/>
  <c r="M269" i="3"/>
  <c r="F283" i="3"/>
  <c r="I292" i="3"/>
  <c r="K292" i="3"/>
  <c r="I293" i="3"/>
  <c r="F295" i="3"/>
  <c r="K301" i="3"/>
  <c r="M306" i="3"/>
  <c r="M313" i="3"/>
  <c r="K323" i="3"/>
  <c r="N324" i="3"/>
  <c r="F324" i="3"/>
  <c r="D327" i="3"/>
  <c r="I327" i="3"/>
  <c r="D328" i="3"/>
  <c r="G328" i="3"/>
  <c r="K333" i="3"/>
  <c r="D342" i="3"/>
  <c r="I349" i="3"/>
  <c r="D349" i="3"/>
  <c r="N355" i="3"/>
  <c r="I355" i="3"/>
  <c r="D364" i="3"/>
  <c r="D281" i="5"/>
  <c r="I282" i="5"/>
  <c r="D285" i="5"/>
  <c r="I286" i="5"/>
  <c r="D289" i="5"/>
  <c r="I290" i="5"/>
  <c r="D293" i="5"/>
  <c r="I294" i="5"/>
  <c r="D297" i="5"/>
  <c r="I298" i="5"/>
  <c r="D301" i="5"/>
  <c r="I302" i="5"/>
  <c r="D305" i="5"/>
  <c r="I306" i="5"/>
  <c r="D309" i="5"/>
  <c r="I310" i="5"/>
  <c r="D313" i="5"/>
  <c r="I314" i="5"/>
  <c r="D317" i="5"/>
  <c r="I318" i="5"/>
  <c r="D321" i="5"/>
  <c r="I322" i="5"/>
  <c r="D325" i="5"/>
  <c r="I326" i="5"/>
  <c r="D329" i="5"/>
  <c r="I330" i="5"/>
  <c r="D333" i="5"/>
  <c r="I334" i="5"/>
  <c r="D337" i="5"/>
  <c r="I338" i="5"/>
  <c r="I358" i="5"/>
  <c r="I3" i="3"/>
  <c r="D3" i="3"/>
  <c r="G10" i="3"/>
  <c r="N12" i="3"/>
  <c r="F12" i="3"/>
  <c r="N20" i="3"/>
  <c r="F20" i="3"/>
  <c r="K24" i="3"/>
  <c r="G30" i="3"/>
  <c r="K36" i="3"/>
  <c r="N37" i="3"/>
  <c r="G40" i="3"/>
  <c r="D43" i="3"/>
  <c r="I49" i="3"/>
  <c r="N52" i="3"/>
  <c r="F52" i="3"/>
  <c r="N60" i="3"/>
  <c r="F60" i="3"/>
  <c r="N68" i="3"/>
  <c r="F68" i="3"/>
  <c r="N76" i="3"/>
  <c r="F76" i="3"/>
  <c r="N84" i="3"/>
  <c r="F84" i="3"/>
  <c r="M88" i="3"/>
  <c r="N89" i="3"/>
  <c r="G92" i="3"/>
  <c r="N97" i="3"/>
  <c r="G100" i="3"/>
  <c r="N105" i="3"/>
  <c r="G108" i="3"/>
  <c r="N113" i="3"/>
  <c r="G116" i="3"/>
  <c r="N121" i="3"/>
  <c r="G124" i="3"/>
  <c r="N129" i="3"/>
  <c r="G132" i="3"/>
  <c r="N137" i="3"/>
  <c r="G140" i="3"/>
  <c r="N145" i="3"/>
  <c r="G148" i="3"/>
  <c r="N153" i="3"/>
  <c r="G156" i="3"/>
  <c r="N161" i="3"/>
  <c r="G164" i="3"/>
  <c r="D165" i="3"/>
  <c r="K177" i="3"/>
  <c r="I183" i="3"/>
  <c r="D183" i="3"/>
  <c r="F186" i="3"/>
  <c r="I188" i="3"/>
  <c r="N189" i="3"/>
  <c r="N192" i="3"/>
  <c r="F192" i="3"/>
  <c r="M192" i="3"/>
  <c r="D194" i="3"/>
  <c r="G196" i="3"/>
  <c r="D197" i="3"/>
  <c r="K209" i="3"/>
  <c r="I215" i="3"/>
  <c r="D215" i="3"/>
  <c r="F218" i="3"/>
  <c r="I220" i="3"/>
  <c r="N221" i="3"/>
  <c r="N224" i="3"/>
  <c r="F224" i="3"/>
  <c r="M224" i="3"/>
  <c r="K234" i="3"/>
  <c r="N236" i="3"/>
  <c r="G236" i="3"/>
  <c r="F236" i="3"/>
  <c r="K242" i="3"/>
  <c r="N244" i="3"/>
  <c r="G244" i="3"/>
  <c r="F244" i="3"/>
  <c r="K250" i="3"/>
  <c r="N252" i="3"/>
  <c r="G252" i="3"/>
  <c r="F252" i="3"/>
  <c r="N269" i="3"/>
  <c r="G272" i="3"/>
  <c r="D273" i="3"/>
  <c r="K277" i="3"/>
  <c r="M277" i="3"/>
  <c r="F285" i="3"/>
  <c r="M288" i="3"/>
  <c r="K288" i="3"/>
  <c r="I289" i="3"/>
  <c r="N291" i="3"/>
  <c r="N294" i="3"/>
  <c r="F294" i="3"/>
  <c r="G295" i="3"/>
  <c r="M295" i="3"/>
  <c r="M301" i="3"/>
  <c r="K308" i="3"/>
  <c r="F315" i="3"/>
  <c r="I324" i="3"/>
  <c r="K324" i="3"/>
  <c r="I325" i="3"/>
  <c r="G326" i="3"/>
  <c r="F327" i="3"/>
  <c r="M333" i="3"/>
  <c r="G336" i="3"/>
  <c r="I337" i="3"/>
  <c r="F337" i="3"/>
  <c r="D339" i="3"/>
  <c r="I339" i="3"/>
  <c r="M345" i="3"/>
  <c r="F349" i="3"/>
  <c r="K355" i="3"/>
  <c r="N358" i="3"/>
  <c r="F358" i="3"/>
  <c r="G362" i="3"/>
  <c r="G363" i="3"/>
  <c r="N363" i="3"/>
  <c r="M363" i="3"/>
  <c r="F363" i="3"/>
  <c r="I226" i="3"/>
  <c r="M270" i="3"/>
  <c r="N276" i="3"/>
  <c r="F276" i="3"/>
  <c r="M280" i="3"/>
  <c r="M302" i="3"/>
  <c r="N308" i="3"/>
  <c r="F308" i="3"/>
  <c r="M312" i="3"/>
  <c r="M334" i="3"/>
  <c r="I335" i="3"/>
  <c r="M339" i="3"/>
  <c r="N340" i="3"/>
  <c r="F340" i="3"/>
  <c r="M344" i="3"/>
  <c r="I345" i="3"/>
  <c r="G350" i="3"/>
  <c r="G360" i="3"/>
  <c r="M366" i="3"/>
  <c r="G352" i="5"/>
  <c r="F352" i="5"/>
  <c r="K353" i="5"/>
  <c r="G356" i="5"/>
  <c r="F356" i="5"/>
  <c r="K357" i="5"/>
  <c r="G360" i="5"/>
  <c r="F360" i="5"/>
  <c r="K361" i="5"/>
  <c r="G364" i="5"/>
  <c r="F364" i="5"/>
  <c r="K365" i="5"/>
  <c r="M229" i="3"/>
  <c r="M231" i="3"/>
  <c r="M233" i="3"/>
  <c r="M235" i="3"/>
  <c r="M237" i="3"/>
  <c r="M239" i="3"/>
  <c r="M241" i="3"/>
  <c r="M243" i="3"/>
  <c r="M245" i="3"/>
  <c r="M247" i="3"/>
  <c r="M249" i="3"/>
  <c r="M251" i="3"/>
  <c r="K261" i="3"/>
  <c r="N264" i="3"/>
  <c r="F264" i="3"/>
  <c r="M273" i="3"/>
  <c r="F277" i="3"/>
  <c r="K283" i="3"/>
  <c r="K293" i="3"/>
  <c r="N296" i="3"/>
  <c r="F296" i="3"/>
  <c r="M305" i="3"/>
  <c r="F309" i="3"/>
  <c r="K315" i="3"/>
  <c r="K325" i="3"/>
  <c r="N328" i="3"/>
  <c r="F328" i="3"/>
  <c r="M337" i="3"/>
  <c r="N339" i="3"/>
  <c r="F341" i="3"/>
  <c r="K347" i="3"/>
  <c r="K357" i="3"/>
  <c r="M359" i="3"/>
  <c r="N360" i="3"/>
  <c r="F360" i="3"/>
  <c r="K343" i="3"/>
  <c r="K353" i="3"/>
  <c r="N356" i="3"/>
  <c r="F356" i="3"/>
  <c r="K331" i="3"/>
  <c r="K336" i="3"/>
  <c r="M338" i="3"/>
  <c r="K341" i="3"/>
  <c r="N344" i="3"/>
  <c r="F344" i="3"/>
  <c r="F347" i="3"/>
  <c r="M348" i="3"/>
  <c r="M353" i="3"/>
  <c r="K363" i="3"/>
  <c r="D341" i="5"/>
  <c r="I342" i="5"/>
  <c r="D345" i="5"/>
  <c r="I346" i="5"/>
  <c r="D349" i="5"/>
  <c r="I350" i="5"/>
  <c r="D353" i="5"/>
  <c r="I354" i="5"/>
  <c r="D357" i="5"/>
  <c r="D361" i="5"/>
  <c r="I362" i="5"/>
  <c r="D365" i="5"/>
  <c r="I366" i="5"/>
  <c r="N228" i="3"/>
  <c r="K255" i="3"/>
  <c r="M262" i="3"/>
  <c r="K265" i="3"/>
  <c r="F266" i="3"/>
  <c r="N268" i="3"/>
  <c r="F268" i="3"/>
  <c r="M272" i="3"/>
  <c r="N279" i="3"/>
  <c r="K287" i="3"/>
  <c r="M294" i="3"/>
  <c r="K297" i="3"/>
  <c r="F298" i="3"/>
  <c r="N300" i="3"/>
  <c r="F300" i="3"/>
  <c r="M304" i="3"/>
  <c r="N311" i="3"/>
  <c r="K319" i="3"/>
  <c r="M326" i="3"/>
  <c r="K329" i="3"/>
  <c r="F330" i="3"/>
  <c r="N332" i="3"/>
  <c r="F332" i="3"/>
  <c r="F335" i="3"/>
  <c r="M336" i="3"/>
  <c r="M341" i="3"/>
  <c r="N343" i="3"/>
  <c r="K351" i="3"/>
  <c r="K356" i="3"/>
  <c r="M358" i="3"/>
  <c r="K361" i="3"/>
  <c r="F362" i="3"/>
  <c r="N364" i="3"/>
  <c r="F364" i="3"/>
  <c r="F357" i="5"/>
  <c r="G357" i="5"/>
  <c r="K358" i="5"/>
  <c r="G361" i="5"/>
  <c r="F361" i="5"/>
  <c r="G365" i="5"/>
  <c r="F365" i="5"/>
  <c r="K366" i="5"/>
  <c r="F9" i="3"/>
  <c r="F13" i="3"/>
  <c r="F17" i="3"/>
  <c r="F21" i="3"/>
  <c r="F29" i="3"/>
  <c r="F41" i="3"/>
  <c r="F53" i="3"/>
  <c r="F57" i="3"/>
  <c r="F61" i="3"/>
  <c r="F65" i="3"/>
  <c r="F69" i="3"/>
  <c r="F77" i="3"/>
  <c r="F81" i="3"/>
  <c r="F85" i="3"/>
  <c r="F93" i="3"/>
  <c r="F97" i="3"/>
  <c r="F101" i="3"/>
  <c r="F105" i="3"/>
  <c r="F109" i="3"/>
  <c r="F113" i="3"/>
  <c r="F117" i="3"/>
  <c r="F121" i="3"/>
  <c r="F125" i="3"/>
  <c r="F129" i="3"/>
  <c r="F133" i="3"/>
  <c r="F137" i="3"/>
  <c r="F141" i="3"/>
  <c r="F145" i="3"/>
  <c r="F149" i="3"/>
  <c r="F153" i="3"/>
  <c r="F157" i="3"/>
  <c r="F161" i="3"/>
  <c r="F165" i="3"/>
  <c r="F169" i="3"/>
  <c r="F173" i="3"/>
  <c r="F177" i="3"/>
  <c r="F181" i="3"/>
  <c r="F185" i="3"/>
  <c r="F189" i="3"/>
  <c r="F193" i="3"/>
  <c r="F197" i="3"/>
  <c r="F201" i="3"/>
  <c r="F205" i="3"/>
  <c r="F209" i="3"/>
  <c r="F213" i="3"/>
  <c r="F217" i="3"/>
  <c r="F221" i="3"/>
  <c r="F225" i="3"/>
  <c r="K227" i="3"/>
  <c r="K253" i="3"/>
  <c r="N256" i="3"/>
  <c r="F256" i="3"/>
  <c r="F259" i="3"/>
  <c r="M260" i="3"/>
  <c r="M265" i="3"/>
  <c r="K270" i="3"/>
  <c r="K275" i="3"/>
  <c r="G276" i="3"/>
  <c r="K280" i="3"/>
  <c r="M282" i="3"/>
  <c r="K285" i="3"/>
  <c r="N288" i="3"/>
  <c r="F288" i="3"/>
  <c r="F291" i="3"/>
  <c r="M292" i="3"/>
  <c r="M297" i="3"/>
  <c r="K302" i="3"/>
  <c r="K307" i="3"/>
  <c r="G308" i="3"/>
  <c r="K312" i="3"/>
  <c r="M314" i="3"/>
  <c r="K317" i="3"/>
  <c r="N320" i="3"/>
  <c r="F320" i="3"/>
  <c r="F323" i="3"/>
  <c r="M324" i="3"/>
  <c r="M329" i="3"/>
  <c r="K334" i="3"/>
  <c r="K339" i="3"/>
  <c r="G340" i="3"/>
  <c r="K344" i="3"/>
  <c r="M346" i="3"/>
  <c r="K349" i="3"/>
  <c r="N352" i="3"/>
  <c r="F352" i="3"/>
  <c r="F355" i="3"/>
  <c r="M356" i="3"/>
  <c r="M361" i="3"/>
  <c r="K366" i="3"/>
  <c r="G11" i="7" l="1"/>
  <c r="H11" i="7"/>
  <c r="H12" i="6"/>
  <c r="G12" i="6"/>
  <c r="H7" i="6"/>
  <c r="G7" i="6"/>
  <c r="H12" i="7"/>
  <c r="G12" i="7"/>
  <c r="G2" i="7"/>
  <c r="H2" i="7"/>
  <c r="H5" i="6"/>
  <c r="G5" i="6"/>
  <c r="H6" i="6"/>
  <c r="G6" i="6"/>
  <c r="H11" i="6"/>
  <c r="G11" i="6"/>
  <c r="K6" i="6"/>
  <c r="I6" i="6"/>
  <c r="J6" i="6"/>
  <c r="K7" i="6"/>
  <c r="J7" i="6"/>
  <c r="I7" i="6"/>
  <c r="H5" i="7"/>
  <c r="G5" i="7"/>
  <c r="H6" i="7"/>
  <c r="G6" i="7"/>
  <c r="G7" i="7"/>
  <c r="H7" i="7"/>
  <c r="G3" i="7"/>
  <c r="H3" i="7"/>
  <c r="H13" i="7"/>
  <c r="G13" i="7"/>
  <c r="I9" i="6"/>
  <c r="J9" i="6"/>
  <c r="K9" i="6"/>
  <c r="H4" i="6"/>
  <c r="G4" i="6"/>
  <c r="J5" i="6"/>
  <c r="I5" i="6"/>
  <c r="K5" i="6"/>
  <c r="H9" i="6"/>
  <c r="G9" i="6"/>
  <c r="G10" i="6"/>
  <c r="H10" i="6"/>
  <c r="H8" i="7"/>
  <c r="G8" i="7"/>
  <c r="G9" i="7"/>
  <c r="H9" i="7"/>
  <c r="H4" i="7"/>
  <c r="G4" i="7"/>
  <c r="H8" i="6"/>
  <c r="G8" i="6"/>
  <c r="J4" i="6"/>
  <c r="I4" i="6"/>
  <c r="K4" i="6"/>
  <c r="J13" i="6"/>
  <c r="I13" i="6"/>
  <c r="K13" i="6"/>
  <c r="J10" i="6"/>
  <c r="K10" i="6"/>
  <c r="I10" i="6"/>
  <c r="K11" i="6"/>
  <c r="J11" i="6"/>
  <c r="I11" i="6"/>
  <c r="G10" i="7"/>
  <c r="H10" i="7"/>
  <c r="G3" i="6"/>
  <c r="H3" i="6"/>
  <c r="J12" i="6"/>
  <c r="I12" i="6"/>
  <c r="K12" i="6"/>
  <c r="H2" i="6"/>
  <c r="G2" i="6"/>
  <c r="J8" i="6"/>
  <c r="I8" i="6"/>
  <c r="K8" i="6"/>
  <c r="I2" i="6"/>
  <c r="K2" i="6"/>
  <c r="J2" i="6"/>
  <c r="H13" i="6"/>
  <c r="G13" i="6"/>
  <c r="K3" i="6"/>
  <c r="J3" i="6"/>
  <c r="I3" i="6"/>
</calcChain>
</file>

<file path=xl/sharedStrings.xml><?xml version="1.0" encoding="utf-8"?>
<sst xmlns="http://schemas.openxmlformats.org/spreadsheetml/2006/main" count="124" uniqueCount="62">
  <si>
    <t>Date</t>
  </si>
  <si>
    <t>Impressions</t>
  </si>
  <si>
    <t>Clicks</t>
  </si>
  <si>
    <t>Spending ($)</t>
  </si>
  <si>
    <t>Conversions</t>
  </si>
  <si>
    <t>Revenue ($)</t>
  </si>
  <si>
    <t>Month</t>
  </si>
  <si>
    <t>CTR</t>
  </si>
  <si>
    <t>CPC</t>
  </si>
  <si>
    <t>CPM</t>
  </si>
  <si>
    <t>Spend</t>
  </si>
  <si>
    <t>Conversion rate</t>
  </si>
  <si>
    <t>Avg. conversion value</t>
  </si>
  <si>
    <t>Revenue</t>
  </si>
  <si>
    <t>ROAS</t>
  </si>
  <si>
    <t>CPA</t>
  </si>
  <si>
    <t>Avg. conversion amount</t>
  </si>
  <si>
    <t>INSTAGRAM</t>
  </si>
  <si>
    <t>SUM of Impressions</t>
  </si>
  <si>
    <t>SUM of Clicks</t>
  </si>
  <si>
    <t>SUM of Spend</t>
  </si>
  <si>
    <t>SUM of Conversions</t>
  </si>
  <si>
    <t>SUM of Revenue</t>
  </si>
  <si>
    <t>AVERAGE of Avg. conversion value</t>
  </si>
  <si>
    <t>Calculated Field 1</t>
  </si>
  <si>
    <t>Grand Total</t>
  </si>
  <si>
    <t>TIKTOK</t>
  </si>
  <si>
    <t>MEDIAN of Avg. conversion amount</t>
  </si>
  <si>
    <t>Q</t>
  </si>
  <si>
    <t>Bu yıl bu reklam kanalına toplam ne kadar harcadık?</t>
  </si>
  <si>
    <t>Toplam kaç tıklama elde ettik?</t>
  </si>
  <si>
    <t>Toplam kaç gösterim elde ettik?</t>
  </si>
  <si>
    <t>Ortalama Tıklama Başına Maliyet (CPC) nedir?</t>
  </si>
  <si>
    <t>Ortalama CPM nedir?</t>
  </si>
  <si>
    <t>Bu yıl kaç conversion (dönüşüm) elde ettik?</t>
  </si>
  <si>
    <t>Ortalama conversion başına maliyet nedir?</t>
  </si>
  <si>
    <t>Bu yıl bu reklam kanalından elde edilen gelir ne kadar?</t>
  </si>
  <si>
    <t>Bu yılki ROAS nedir?</t>
  </si>
  <si>
    <t>Bütçemizin çoğunu hangi ayda harcadık?</t>
  </si>
  <si>
    <t>Aralik</t>
  </si>
  <si>
    <t>En çok conversion (dönüşüm) hangi ayda elde ettik?</t>
  </si>
  <si>
    <t>En çok geliri hangi ayda elde ettik?</t>
  </si>
  <si>
    <t>Temmuz</t>
  </si>
  <si>
    <t>En yüksek gelirli ay için CPC ne?</t>
  </si>
  <si>
    <t>En yüksek gelirli ay için CPM ne?</t>
  </si>
  <si>
    <t>O ay için ortalama donusum miktari?</t>
  </si>
  <si>
    <t>Hangi kanala daha fazla para harcıyoruz?</t>
  </si>
  <si>
    <t>Instagram Ads’e daha fazla harcama yapıyoruz.</t>
  </si>
  <si>
    <t>Hangi kanal en iyi performansı gösteriyor?</t>
  </si>
  <si>
    <t>Tiktok’un ROAS’ı Instagram Ads’ten 1,06 daha yüksek</t>
  </si>
  <si>
    <t>İki kanal da iyi performanslarını aynı aylarda gösteriyorlar mı?</t>
  </si>
  <si>
    <t>Her ikisi de en yuksek karliligi ekim ayinda gerceklestiriyor</t>
  </si>
  <si>
    <t>İki kanal arasında bütçe dağılımında veya stratejide yapabileceğiniz olası değişiklikler.</t>
  </si>
  <si>
    <t xml:space="preserve">TikTok'un yıl boyunca ROAS'ı hep 3.00 civarında gezerken, 12. ayda (Aralık) sert bir düşüşle 2.34'e geriliyor. </t>
  </si>
  <si>
    <t>Yani TikTok, yıl sonuna doğru bütçeyi verimsiz kullanmaya başlıyor. Bu yüzden o dönemde TikTok'un bütçesini kısmak mantikli olacak.</t>
  </si>
  <si>
    <t xml:space="preserve">Temmuz (7. ay) ve Ağustos (8. ay) aylarında TikTok'un ROAS değerleri sırasıyla 3.12 ve 3.19 ile zirve yapıyor. </t>
  </si>
  <si>
    <t>Yani yatırdığımiz parayı fazlasıyla geri veriyor. Bu iki ayda TikTok'a daha fazla bütçe vermek kasayı doldurur.</t>
  </si>
  <si>
    <t xml:space="preserve">Genel toplama (Grand Total) baktığında; Instagram'ın yıllık ROAS'ı 1.94 iken, TikTok'unki 2.99. </t>
  </si>
  <si>
    <t xml:space="preserve">Yani genel anlamda TikTok, Instagram'a göre yaklaşık %50 daha kârlı bir kanal. </t>
  </si>
  <si>
    <t>Bu yüzden yıl genelinde parayı Instagram'dan söküp TikTok'a yatırmak doğru bir stratejidir.</t>
  </si>
  <si>
    <t/>
  </si>
  <si>
    <t>SUM of Calculated Field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</si>
</sst>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&quot;$&quot;#,##0"/>
    <numFmt numFmtId="166" formatCode="d&quot;/&quot;m&quot;/&quot;yyyy"/>
    <numFmt numFmtId="167" formatCode="&quot;$&quot;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6" fontId="3" fillId="0" borderId="0" xfId="0" applyNumberFormat="1" applyFont="1"/>
    <xf numFmtId="0" fontId="3" fillId="0" borderId="0" xfId="0" applyFont="1"/>
    <xf numFmtId="167" fontId="3" fillId="0" borderId="0" xfId="0" applyNumberFormat="1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7" fontId="4" fillId="3" borderId="0" xfId="0" applyNumberFormat="1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7" fontId="1" fillId="0" borderId="0" xfId="0" applyNumberFormat="1" applyFont="1" applyAlignment="1">
      <alignment horizontal="right"/>
    </xf>
    <xf numFmtId="10" fontId="1" fillId="0" borderId="0" xfId="0" applyNumberFormat="1" applyFont="1"/>
    <xf numFmtId="165" fontId="1" fillId="0" borderId="0" xfId="0" applyNumberFormat="1" applyFont="1"/>
    <xf numFmtId="9" fontId="3" fillId="0" borderId="0" xfId="0" applyNumberFormat="1" applyFont="1"/>
    <xf numFmtId="165" fontId="3" fillId="0" borderId="0" xfId="0" applyNumberFormat="1" applyFont="1"/>
    <xf numFmtId="10" fontId="3" fillId="0" borderId="0" xfId="0" applyNumberFormat="1" applyFont="1"/>
    <xf numFmtId="3" fontId="4" fillId="2" borderId="0" xfId="0" applyNumberFormat="1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0" fontId="4" fillId="0" borderId="0" xfId="0" applyFont="1"/>
    <xf numFmtId="3" fontId="3" fillId="0" borderId="0" xfId="0" applyNumberFormat="1" applyFont="1"/>
    <xf numFmtId="4" fontId="3" fillId="0" borderId="0" xfId="0" applyNumberFormat="1" applyFont="1"/>
    <xf numFmtId="167" fontId="4" fillId="0" borderId="0" xfId="0" applyNumberFormat="1" applyFont="1"/>
    <xf numFmtId="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" fontId="1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Aylık Tıklama ve Gösterim Analizi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'Instagram Ads Monthly'!$B$1</c:f>
              <c:strCache>
                <c:ptCount val="1"/>
                <c:pt idx="0">
                  <c:v>Impressions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'Instagram Ads Monthly'!$A$2:$A$999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'Instagram Ads Monthly'!$B$2:$B$999</c:f>
              <c:numCache>
                <c:formatCode>General</c:formatCode>
                <c:ptCount val="998"/>
                <c:pt idx="0">
                  <c:v>1720107</c:v>
                </c:pt>
                <c:pt idx="1">
                  <c:v>1557121</c:v>
                </c:pt>
                <c:pt idx="2">
                  <c:v>1570479</c:v>
                </c:pt>
                <c:pt idx="3">
                  <c:v>1921842</c:v>
                </c:pt>
                <c:pt idx="4">
                  <c:v>1828461</c:v>
                </c:pt>
                <c:pt idx="5">
                  <c:v>1704404</c:v>
                </c:pt>
                <c:pt idx="6">
                  <c:v>1631972</c:v>
                </c:pt>
                <c:pt idx="7">
                  <c:v>1673314</c:v>
                </c:pt>
                <c:pt idx="8">
                  <c:v>1486196</c:v>
                </c:pt>
                <c:pt idx="9">
                  <c:v>1780444</c:v>
                </c:pt>
                <c:pt idx="10">
                  <c:v>1567977</c:v>
                </c:pt>
                <c:pt idx="11">
                  <c:v>2294197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D6-FA46-886B-39A622F57778}"/>
            </c:ext>
          </c:extLst>
        </c:ser>
        <c:ser>
          <c:idx val="1"/>
          <c:order val="1"/>
          <c:tx>
            <c:strRef>
              <c:f>'Instagram Ads Monthly'!$C$1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'Instagram Ads Monthly'!$A$2:$A$999</c:f>
              <c:numCache>
                <c:formatCode>General</c:formatCode>
                <c:ptCount val="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'Instagram Ads Monthly'!$C$2:$C$999</c:f>
              <c:numCache>
                <c:formatCode>General</c:formatCode>
                <c:ptCount val="998"/>
                <c:pt idx="0">
                  <c:v>32172</c:v>
                </c:pt>
                <c:pt idx="1">
                  <c:v>31502</c:v>
                </c:pt>
                <c:pt idx="2">
                  <c:v>31937</c:v>
                </c:pt>
                <c:pt idx="3">
                  <c:v>37631</c:v>
                </c:pt>
                <c:pt idx="4">
                  <c:v>36388</c:v>
                </c:pt>
                <c:pt idx="5">
                  <c:v>36581</c:v>
                </c:pt>
                <c:pt idx="6">
                  <c:v>35440</c:v>
                </c:pt>
                <c:pt idx="7">
                  <c:v>32435</c:v>
                </c:pt>
                <c:pt idx="8">
                  <c:v>28665</c:v>
                </c:pt>
                <c:pt idx="9">
                  <c:v>36765</c:v>
                </c:pt>
                <c:pt idx="10">
                  <c:v>31184</c:v>
                </c:pt>
                <c:pt idx="11">
                  <c:v>47640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D6-FA46-886B-39A622F57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095258"/>
        <c:axId val="1782380001"/>
      </c:barChart>
      <c:catAx>
        <c:axId val="1340952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PL"/>
          </a:p>
        </c:txPr>
        <c:crossAx val="1782380001"/>
        <c:crosses val="autoZero"/>
        <c:auto val="1"/>
        <c:lblAlgn val="ctr"/>
        <c:lblOffset val="100"/>
        <c:noMultiLvlLbl val="1"/>
      </c:catAx>
      <c:valAx>
        <c:axId val="178238000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PL"/>
          </a:p>
        </c:txPr>
        <c:crossAx val="13409525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P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ROAS vs. Spend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1"/>
          <c:tx>
            <c:strRef>
              <c:f>'Instagram Ads Monthly'!$D$1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'Instagram Ads Monthly'!$D$2:$D$999</c:f>
              <c:numCache>
                <c:formatCode>"$"#\ ##0.00</c:formatCode>
                <c:ptCount val="998"/>
                <c:pt idx="0">
                  <c:v>48783</c:v>
                </c:pt>
                <c:pt idx="1">
                  <c:v>47406</c:v>
                </c:pt>
                <c:pt idx="2">
                  <c:v>45220</c:v>
                </c:pt>
                <c:pt idx="3">
                  <c:v>59285</c:v>
                </c:pt>
                <c:pt idx="4">
                  <c:v>57348</c:v>
                </c:pt>
                <c:pt idx="5">
                  <c:v>56754</c:v>
                </c:pt>
                <c:pt idx="6">
                  <c:v>54023</c:v>
                </c:pt>
                <c:pt idx="7">
                  <c:v>50112</c:v>
                </c:pt>
                <c:pt idx="8">
                  <c:v>43521</c:v>
                </c:pt>
                <c:pt idx="9">
                  <c:v>49918</c:v>
                </c:pt>
                <c:pt idx="10">
                  <c:v>42580</c:v>
                </c:pt>
                <c:pt idx="11">
                  <c:v>69955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89-8F49-912B-2F627A995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7309852"/>
        <c:axId val="824440962"/>
      </c:barChart>
      <c:lineChart>
        <c:grouping val="standard"/>
        <c:varyColors val="0"/>
        <c:ser>
          <c:idx val="0"/>
          <c:order val="0"/>
          <c:tx>
            <c:strRef>
              <c:f>'Instagram Ads Monthly'!$H$1</c:f>
              <c:strCache>
                <c:ptCount val="1"/>
                <c:pt idx="0">
                  <c:v>ROAS</c:v>
                </c:pt>
              </c:strCache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'Instagram Ads Monthly'!$H$2:$H$999</c:f>
              <c:numCache>
                <c:formatCode>#,##0.00</c:formatCode>
                <c:ptCount val="998"/>
                <c:pt idx="0">
                  <c:v>2.0295594776868993</c:v>
                </c:pt>
                <c:pt idx="1">
                  <c:v>1.9568620005906425</c:v>
                </c:pt>
                <c:pt idx="2">
                  <c:v>2.0179566563467493</c:v>
                </c:pt>
                <c:pt idx="3">
                  <c:v>1.895471029771443</c:v>
                </c:pt>
                <c:pt idx="4">
                  <c:v>1.8645288414591616</c:v>
                </c:pt>
                <c:pt idx="5">
                  <c:v>1.9968460372837158</c:v>
                </c:pt>
                <c:pt idx="6">
                  <c:v>1.7690983470003516</c:v>
                </c:pt>
                <c:pt idx="7">
                  <c:v>1.7840836526181354</c:v>
                </c:pt>
                <c:pt idx="8">
                  <c:v>2.0035385216332346</c:v>
                </c:pt>
                <c:pt idx="9">
                  <c:v>2.0748828078048001</c:v>
                </c:pt>
                <c:pt idx="10">
                  <c:v>2.0747768905589479</c:v>
                </c:pt>
                <c:pt idx="11">
                  <c:v>1.9084983203487957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89-8F49-912B-2F627A995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024477"/>
        <c:axId val="899360703"/>
      </c:lineChart>
      <c:catAx>
        <c:axId val="697309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PL"/>
          </a:p>
        </c:txPr>
        <c:crossAx val="824440962"/>
        <c:crosses val="autoZero"/>
        <c:auto val="1"/>
        <c:lblAlgn val="ctr"/>
        <c:lblOffset val="100"/>
        <c:noMultiLvlLbl val="1"/>
      </c:catAx>
      <c:valAx>
        <c:axId val="824440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\ 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PL"/>
          </a:p>
        </c:txPr>
        <c:crossAx val="697309852"/>
        <c:crosses val="autoZero"/>
        <c:crossBetween val="between"/>
      </c:valAx>
      <c:catAx>
        <c:axId val="8240244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9360703"/>
        <c:crosses val="autoZero"/>
        <c:auto val="1"/>
        <c:lblAlgn val="ctr"/>
        <c:lblOffset val="100"/>
        <c:noMultiLvlLbl val="1"/>
      </c:catAx>
      <c:valAx>
        <c:axId val="8993607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PL"/>
          </a:p>
        </c:txPr>
        <c:crossAx val="82402447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P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ROAS vs. Spend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'Tiktok Ads Monthly'!$D$1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'Tiktok Ads Monthly'!$D$2:$D$1000</c:f>
              <c:numCache>
                <c:formatCode>"$"#\ ##0.00</c:formatCode>
                <c:ptCount val="999"/>
                <c:pt idx="0">
                  <c:v>40140</c:v>
                </c:pt>
                <c:pt idx="1">
                  <c:v>37924</c:v>
                </c:pt>
                <c:pt idx="2">
                  <c:v>37093</c:v>
                </c:pt>
                <c:pt idx="3">
                  <c:v>47533</c:v>
                </c:pt>
                <c:pt idx="4">
                  <c:v>46113</c:v>
                </c:pt>
                <c:pt idx="5">
                  <c:v>45535</c:v>
                </c:pt>
                <c:pt idx="6">
                  <c:v>45540</c:v>
                </c:pt>
                <c:pt idx="7">
                  <c:v>44106</c:v>
                </c:pt>
                <c:pt idx="8">
                  <c:v>35760</c:v>
                </c:pt>
                <c:pt idx="9">
                  <c:v>39690</c:v>
                </c:pt>
                <c:pt idx="10">
                  <c:v>34809</c:v>
                </c:pt>
                <c:pt idx="11">
                  <c:v>56662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14-8C4A-B18B-5E5EAA58B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7410512"/>
        <c:axId val="608617999"/>
      </c:barChart>
      <c:lineChart>
        <c:grouping val="standard"/>
        <c:varyColors val="0"/>
        <c:ser>
          <c:idx val="1"/>
          <c:order val="1"/>
          <c:tx>
            <c:strRef>
              <c:f>'Tiktok Ads Monthly'!$H$1</c:f>
              <c:strCache>
                <c:ptCount val="1"/>
                <c:pt idx="0">
                  <c:v>ROAS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'Tiktok Ads Monthly'!$H$2:$H$1000</c:f>
              <c:numCache>
                <c:formatCode>#,##0.00</c:formatCode>
                <c:ptCount val="999"/>
                <c:pt idx="0">
                  <c:v>3.0993771798704532</c:v>
                </c:pt>
                <c:pt idx="1">
                  <c:v>2.9883451112751818</c:v>
                </c:pt>
                <c:pt idx="2">
                  <c:v>3.1283800177931145</c:v>
                </c:pt>
                <c:pt idx="3">
                  <c:v>2.907180274756485</c:v>
                </c:pt>
                <c:pt idx="4">
                  <c:v>2.8576973955283758</c:v>
                </c:pt>
                <c:pt idx="5">
                  <c:v>2.9888437465685738</c:v>
                </c:pt>
                <c:pt idx="6">
                  <c:v>3.1227272727272726</c:v>
                </c:pt>
                <c:pt idx="7">
                  <c:v>3.193307033056727</c:v>
                </c:pt>
                <c:pt idx="8">
                  <c:v>3.008668903803132</c:v>
                </c:pt>
                <c:pt idx="9">
                  <c:v>3.2206853111615015</c:v>
                </c:pt>
                <c:pt idx="10">
                  <c:v>3.2094860524576978</c:v>
                </c:pt>
                <c:pt idx="11">
                  <c:v>2.3447460379090042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4-8C4A-B18B-5E5EAA58B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822343"/>
        <c:axId val="1785266583"/>
      </c:lineChart>
      <c:catAx>
        <c:axId val="161741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PL"/>
          </a:p>
        </c:txPr>
        <c:crossAx val="608617999"/>
        <c:crosses val="autoZero"/>
        <c:auto val="1"/>
        <c:lblAlgn val="ctr"/>
        <c:lblOffset val="100"/>
        <c:noMultiLvlLbl val="1"/>
      </c:catAx>
      <c:valAx>
        <c:axId val="608617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\ 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PL"/>
          </a:p>
        </c:txPr>
        <c:crossAx val="1617410512"/>
        <c:crosses val="autoZero"/>
        <c:crossBetween val="between"/>
      </c:valAx>
      <c:catAx>
        <c:axId val="1226822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5266583"/>
        <c:crosses val="autoZero"/>
        <c:auto val="1"/>
        <c:lblAlgn val="ctr"/>
        <c:lblOffset val="100"/>
        <c:noMultiLvlLbl val="1"/>
      </c:catAx>
      <c:valAx>
        <c:axId val="17852665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PL"/>
          </a:p>
        </c:txPr>
        <c:crossAx val="122682234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P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Instagram Ads and Tiktok Ads Spend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490-1240-8378-A4DEE6A4FD6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Summary!$B$2:$C$2</c:f>
              <c:numCache>
                <c:formatCode>"$"#\ ##0</c:formatCode>
                <c:ptCount val="2"/>
                <c:pt idx="0">
                  <c:v>624905</c:v>
                </c:pt>
                <c:pt idx="1">
                  <c:v>510905</c:v>
                </c:pt>
              </c:numCache>
            </c:numRef>
          </c:cat>
          <c:val>
            <c:numRef>
              <c:f>Summary!$B$2:$C$2</c:f>
              <c:numCache>
                <c:formatCode>"$"#\ ##0</c:formatCode>
                <c:ptCount val="2"/>
                <c:pt idx="0">
                  <c:v>624905</c:v>
                </c:pt>
                <c:pt idx="1">
                  <c:v>510905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90-1240-8378-A4DEE6A4F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P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942975</xdr:colOff>
      <xdr:row>2</xdr:row>
      <xdr:rowOff>57150</xdr:rowOff>
    </xdr:from>
    <xdr:ext cx="5762625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942975</xdr:colOff>
      <xdr:row>21</xdr:row>
      <xdr:rowOff>180975</xdr:rowOff>
    </xdr:from>
    <xdr:ext cx="5762625" cy="35814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9525</xdr:colOff>
      <xdr:row>42</xdr:row>
      <xdr:rowOff>0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</xdr:colOff>
      <xdr:row>63</xdr:row>
      <xdr:rowOff>0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erve Solmaz" refreshedDate="46161.590356597226" refreshedVersion="8" recordCount="365" xr:uid="{00000000-000A-0000-FFFF-FFFF00000000}">
  <cacheSource type="worksheet">
    <worksheetSource ref="A1:M366" sheet="Instagram Ads Performance Metri"/>
  </cacheSource>
  <cacheFields count="14">
    <cacheField name="Date" numFmtId="164">
      <sharedItems containsSemiMixedTypes="0" containsNonDate="0" containsDate="1" containsString="0" minDate="2025-01-01T00:00:00" maxDate="2026-01-0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Impressions" numFmtId="0">
      <sharedItems containsSemiMixedTypes="0" containsString="0" containsNumber="1" containsInteger="1" minValue="10360" maxValue="118209"/>
    </cacheField>
    <cacheField name="CTR" numFmtId="0">
      <sharedItems containsSemiMixedTypes="0" containsString="0" containsNumber="1" minValue="8.2654222098395673E-3" maxValue="3.4768973803964348E-2"/>
    </cacheField>
    <cacheField name="Clicks" numFmtId="0">
      <sharedItems containsSemiMixedTypes="0" containsString="0" containsNumber="1" containsInteger="1" minValue="135" maxValue="3022"/>
    </cacheField>
    <cacheField name="CPC" numFmtId="167">
      <sharedItems containsSemiMixedTypes="0" containsString="0" containsNumber="1" minValue="0.8510158013544018" maxValue="2.2282352941176469"/>
    </cacheField>
    <cacheField name="CPM" numFmtId="165">
      <sharedItems containsSemiMixedTypes="0" containsString="0" containsNumber="1" minValue="11.038561766169883" maxValue="65.121824007152966"/>
    </cacheField>
    <cacheField name="Spend" numFmtId="165">
      <sharedItems containsSemiMixedTypes="0" containsString="0" containsNumber="1" containsInteger="1" minValue="146" maxValue="5060"/>
    </cacheField>
    <cacheField name="Conversion rate" numFmtId="0">
      <sharedItems containsSemiMixedTypes="0" containsString="0" containsNumber="1" minValue="7.4074074074074077E-3" maxValue="2.7180067950169876E-2"/>
    </cacheField>
    <cacheField name="Conversions" numFmtId="0">
      <sharedItems containsSemiMixedTypes="0" containsString="0" containsNumber="1" containsInteger="1" minValue="1" maxValue="66"/>
    </cacheField>
    <cacheField name="Avg. conversion value" numFmtId="165">
      <sharedItems containsSemiMixedTypes="0" containsString="0" containsNumber="1" minValue="94.07692307692308" maxValue="249.66666666666666"/>
    </cacheField>
    <cacheField name="Revenue" numFmtId="165">
      <sharedItems containsSemiMixedTypes="0" containsString="0" containsNumber="1" containsInteger="1" minValue="204" maxValue="11025"/>
    </cacheField>
    <cacheField name="ROAS" numFmtId="10">
      <sharedItems containsSemiMixedTypes="0" containsString="0" containsNumber="1" minValue="0.71462513199577615" maxValue="4.5765696784073508"/>
    </cacheField>
    <cacheField name="Calculated Field 1" numFmtId="0" formula="Revenue/Spen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5-01-01T00:00:00"/>
    <x v="0"/>
    <n v="27382"/>
    <n v="1.7639325104082976E-2"/>
    <n v="483"/>
    <n v="1.3374741200828157"/>
    <n v="23.592140822438097"/>
    <n v="646"/>
    <n v="1.6563146997929608E-2"/>
    <n v="8"/>
    <n v="171.875"/>
    <n v="1375"/>
    <n v="2.1284829721362231"/>
  </r>
  <r>
    <d v="2025-01-02T00:00:00"/>
    <x v="0"/>
    <n v="99168"/>
    <n v="1.5740964827363667E-2"/>
    <n v="1561"/>
    <n v="1.4445868033311979"/>
    <n v="22.739190061310097"/>
    <n v="2255"/>
    <n v="2.2421524663677129E-2"/>
    <n v="35"/>
    <n v="147.4"/>
    <n v="5159"/>
    <n v="2.2878048780487803"/>
  </r>
  <r>
    <d v="2025-01-03T00:00:00"/>
    <x v="0"/>
    <n v="14891"/>
    <n v="1.8333221408904709E-2"/>
    <n v="273"/>
    <n v="1.1391941391941391"/>
    <n v="20.885098381572764"/>
    <n v="311"/>
    <n v="2.197802197802198E-2"/>
    <n v="6"/>
    <n v="119.5"/>
    <n v="717"/>
    <n v="2.305466237942122"/>
  </r>
  <r>
    <d v="2025-01-04T00:00:00"/>
    <x v="0"/>
    <n v="42989"/>
    <n v="1.5864523482751403E-2"/>
    <n v="682"/>
    <n v="1.7478005865102639"/>
    <n v="27.728023447858757"/>
    <n v="1192"/>
    <n v="1.906158357771261E-2"/>
    <n v="13"/>
    <n v="228.38461538461539"/>
    <n v="2969"/>
    <n v="2.4907718120805371"/>
  </r>
  <r>
    <d v="2025-01-05T00:00:00"/>
    <x v="0"/>
    <n v="36381"/>
    <n v="1.5365163134603227E-2"/>
    <n v="559"/>
    <n v="1.4025044722719142"/>
    <n v="21.54971001346857"/>
    <n v="784"/>
    <n v="2.3255813953488372E-2"/>
    <n v="13"/>
    <n v="196.61538461538461"/>
    <n v="2556"/>
    <n v="3.260204081632653"/>
  </r>
  <r>
    <d v="2025-01-06T00:00:00"/>
    <x v="0"/>
    <n v="56836"/>
    <n v="1.9864170596101061E-2"/>
    <n v="1129"/>
    <n v="1.7847652790079716"/>
    <n v="35.452881976212261"/>
    <n v="2015"/>
    <n v="1.4171833480956599E-2"/>
    <n v="16"/>
    <n v="168.5625"/>
    <n v="2697"/>
    <n v="1.3384615384615384"/>
  </r>
  <r>
    <d v="2025-01-07T00:00:00"/>
    <x v="0"/>
    <n v="45926"/>
    <n v="2.4931411400949354E-2"/>
    <n v="1145"/>
    <n v="1.0637554585152837"/>
    <n v="26.520924966250053"/>
    <n v="1218"/>
    <n v="2.4454148471615721E-2"/>
    <n v="28"/>
    <n v="198.17857142857142"/>
    <n v="5549"/>
    <n v="4.5558292282430211"/>
  </r>
  <r>
    <d v="2025-01-08T00:00:00"/>
    <x v="0"/>
    <n v="43071"/>
    <n v="8.2654222098395673E-3"/>
    <n v="356"/>
    <n v="1.6910112359550562"/>
    <n v="13.976921826751179"/>
    <n v="602"/>
    <n v="2.5280898876404494E-2"/>
    <n v="9"/>
    <n v="155"/>
    <n v="1395"/>
    <n v="2.3172757475083055"/>
  </r>
  <r>
    <d v="2025-01-09T00:00:00"/>
    <x v="0"/>
    <n v="82343"/>
    <n v="2.2673451295192062E-2"/>
    <n v="1867"/>
    <n v="1.2581681842528121"/>
    <n v="28.527015046816363"/>
    <n v="2349"/>
    <n v="1.6068559185859668E-2"/>
    <n v="30"/>
    <n v="194.5"/>
    <n v="5835"/>
    <n v="2.4840357598978287"/>
  </r>
  <r>
    <d v="2025-01-10T00:00:00"/>
    <x v="0"/>
    <n v="76027"/>
    <n v="1.6428374130243204E-2"/>
    <n v="1249"/>
    <n v="1.9343474779823859"/>
    <n v="31.778184066187013"/>
    <n v="2416"/>
    <n v="1.2810248198558846E-2"/>
    <n v="16"/>
    <n v="192.8125"/>
    <n v="3085"/>
    <n v="1.2769039735099337"/>
  </r>
  <r>
    <d v="2025-01-11T00:00:00"/>
    <x v="0"/>
    <n v="80956"/>
    <n v="9.0543011018330948E-3"/>
    <n v="733"/>
    <n v="1.7448840381991815"/>
    <n v="15.798705469637827"/>
    <n v="1279"/>
    <n v="2.4556616643929059E-2"/>
    <n v="18"/>
    <n v="161.77777777777777"/>
    <n v="2912"/>
    <n v="2.2767787333854574"/>
  </r>
  <r>
    <d v="2025-01-12T00:00:00"/>
    <x v="0"/>
    <n v="68072"/>
    <n v="1.9567516746973792E-2"/>
    <n v="1332"/>
    <n v="1.777027027027027"/>
    <n v="34.772006111176402"/>
    <n v="2367"/>
    <n v="1.1261261261261261E-2"/>
    <n v="15"/>
    <n v="215.6"/>
    <n v="3234"/>
    <n v="1.3662864385297846"/>
  </r>
  <r>
    <d v="2025-01-13T00:00:00"/>
    <x v="0"/>
    <n v="97608"/>
    <n v="1.9947135480698302E-2"/>
    <n v="1947"/>
    <n v="1.0898818695428865"/>
    <n v="21.740021309728711"/>
    <n v="2122"/>
    <n v="1.4894709809964048E-2"/>
    <n v="29"/>
    <n v="117.06896551724138"/>
    <n v="3395"/>
    <n v="1.5999057492931197"/>
  </r>
  <r>
    <d v="2025-01-14T00:00:00"/>
    <x v="0"/>
    <n v="68669"/>
    <n v="1.7999388370298096E-2"/>
    <n v="1236"/>
    <n v="2.0088996763754046"/>
    <n v="36.158965472047065"/>
    <n v="2483"/>
    <n v="1.9417475728155338E-2"/>
    <n v="24"/>
    <n v="149.375"/>
    <n v="3585"/>
    <n v="1.4438179621425695"/>
  </r>
  <r>
    <d v="2025-01-15T00:00:00"/>
    <x v="0"/>
    <n v="65250"/>
    <n v="3.0697318007662837E-2"/>
    <n v="2003"/>
    <n v="1.2391412880678982"/>
    <n v="38.038314176245208"/>
    <n v="2482"/>
    <n v="1.1982026959560658E-2"/>
    <n v="24"/>
    <n v="101.5"/>
    <n v="2436"/>
    <n v="0.98146655922643034"/>
  </r>
  <r>
    <d v="2025-01-16T00:00:00"/>
    <x v="0"/>
    <n v="20589"/>
    <n v="2.8170382242945262E-2"/>
    <n v="580"/>
    <n v="1.9724137931034482"/>
    <n v="55.563650492981694"/>
    <n v="1144"/>
    <n v="1.7241379310344827E-2"/>
    <n v="10"/>
    <n v="151.80000000000001"/>
    <n v="1518"/>
    <n v="1.3269230769230769"/>
  </r>
  <r>
    <d v="2025-01-17T00:00:00"/>
    <x v="0"/>
    <n v="92484"/>
    <n v="2.3247264391678561E-2"/>
    <n v="2150"/>
    <n v="1.6469767441860466"/>
    <n v="38.287703819038974"/>
    <n v="3541"/>
    <n v="2.6046511627906978E-2"/>
    <n v="56"/>
    <n v="165.125"/>
    <n v="9247"/>
    <n v="2.611409206438859"/>
  </r>
  <r>
    <d v="2025-01-18T00:00:00"/>
    <x v="0"/>
    <n v="56463"/>
    <n v="2.7646423321467155E-2"/>
    <n v="1561"/>
    <n v="1.242152466367713"/>
    <n v="34.341072915006286"/>
    <n v="1939"/>
    <n v="1.4093529788597053E-2"/>
    <n v="22"/>
    <n v="151.27272727272728"/>
    <n v="3328"/>
    <n v="1.7163486333161424"/>
  </r>
  <r>
    <d v="2025-01-19T00:00:00"/>
    <x v="0"/>
    <n v="70426"/>
    <n v="1.1018657882032204E-2"/>
    <n v="776"/>
    <n v="1.7886597938144331"/>
    <n v="19.708630335387497"/>
    <n v="1388"/>
    <n v="2.4484536082474227E-2"/>
    <n v="19"/>
    <n v="120.78947368421052"/>
    <n v="2295"/>
    <n v="1.6534582132564841"/>
  </r>
  <r>
    <d v="2025-01-20T00:00:00"/>
    <x v="0"/>
    <n v="70773"/>
    <n v="1.3451457476721348E-2"/>
    <n v="952"/>
    <n v="1.3109243697478992"/>
    <n v="17.633843414861602"/>
    <n v="1248"/>
    <n v="1.7857142857142856E-2"/>
    <n v="17"/>
    <n v="201"/>
    <n v="3417"/>
    <n v="2.7379807692307692"/>
  </r>
  <r>
    <d v="2025-01-21T00:00:00"/>
    <x v="0"/>
    <n v="62871"/>
    <n v="2.3126719791318733E-2"/>
    <n v="1454"/>
    <n v="1.5226960110041265"/>
    <n v="35.214963973851219"/>
    <n v="2214"/>
    <n v="1.8569463548830812E-2"/>
    <n v="27"/>
    <n v="164.40740740740742"/>
    <n v="4439"/>
    <n v="2.0049683830171636"/>
  </r>
  <r>
    <d v="2025-01-22T00:00:00"/>
    <x v="0"/>
    <n v="37897"/>
    <n v="1.2718684856321081E-2"/>
    <n v="482"/>
    <n v="1.3672199170124482"/>
    <n v="17.389239253766789"/>
    <n v="659"/>
    <n v="2.0746887966804978E-2"/>
    <n v="10"/>
    <n v="115.6"/>
    <n v="1156"/>
    <n v="1.7541729893778453"/>
  </r>
  <r>
    <d v="2025-01-23T00:00:00"/>
    <x v="0"/>
    <n v="12972"/>
    <n v="1.2025901942645698E-2"/>
    <n v="156"/>
    <n v="0.9358974358974359"/>
    <n v="11.255010792476103"/>
    <n v="146"/>
    <n v="1.9230769230769232E-2"/>
    <n v="3"/>
    <n v="182"/>
    <n v="546"/>
    <n v="3.7397260273972601"/>
  </r>
  <r>
    <d v="2025-01-24T00:00:00"/>
    <x v="0"/>
    <n v="71010"/>
    <n v="1.6406139980284468E-2"/>
    <n v="1165"/>
    <n v="1.5708154506437768"/>
    <n v="25.771018166455427"/>
    <n v="1830"/>
    <n v="2.0600858369098713E-2"/>
    <n v="24"/>
    <n v="211.08333333333334"/>
    <n v="5066"/>
    <n v="2.7683060109289617"/>
  </r>
  <r>
    <d v="2025-01-25T00:00:00"/>
    <x v="0"/>
    <n v="43205"/>
    <n v="3.057516491146858E-2"/>
    <n v="1321"/>
    <n v="1.6426949280847842"/>
    <n v="50.225668325425303"/>
    <n v="2170"/>
    <n v="2.0439061317183951E-2"/>
    <n v="27"/>
    <n v="182.74074074074073"/>
    <n v="4934"/>
    <n v="2.2737327188940091"/>
  </r>
  <r>
    <d v="2025-01-26T00:00:00"/>
    <x v="0"/>
    <n v="27299"/>
    <n v="1.2894245210447269E-2"/>
    <n v="352"/>
    <n v="1.5795454545454546"/>
    <n v="20.367046411956483"/>
    <n v="556"/>
    <n v="1.7045454545454544E-2"/>
    <n v="6"/>
    <n v="176.5"/>
    <n v="1059"/>
    <n v="1.9046762589928057"/>
  </r>
  <r>
    <d v="2025-01-27T00:00:00"/>
    <x v="0"/>
    <n v="25667"/>
    <n v="1.4727081466474461E-2"/>
    <n v="378"/>
    <n v="1.9285714285714286"/>
    <n v="28.402228542486458"/>
    <n v="729"/>
    <n v="1.8518518518518517E-2"/>
    <n v="7"/>
    <n v="185.57142857142858"/>
    <n v="1299"/>
    <n v="1.7818930041152263"/>
  </r>
  <r>
    <d v="2025-01-28T00:00:00"/>
    <x v="0"/>
    <n v="69148"/>
    <n v="9.8195175565453808E-3"/>
    <n v="679"/>
    <n v="1.8114874815905744"/>
    <n v="17.787933128940825"/>
    <n v="1230"/>
    <n v="2.5036818851251842E-2"/>
    <n v="17"/>
    <n v="198.41176470588235"/>
    <n v="3373"/>
    <n v="2.7422764227642276"/>
  </r>
  <r>
    <d v="2025-01-29T00:00:00"/>
    <x v="0"/>
    <n v="28266"/>
    <n v="2.7630368640769828E-2"/>
    <n v="781"/>
    <n v="1.0358514724711907"/>
    <n v="28.620958041463243"/>
    <n v="809"/>
    <n v="1.5364916773367477E-2"/>
    <n v="12"/>
    <n v="204.16666666666666"/>
    <n v="2450"/>
    <n v="3.0284301606922126"/>
  </r>
  <r>
    <d v="2025-01-30T00:00:00"/>
    <x v="0"/>
    <n v="47724"/>
    <n v="2.9167714357555947E-2"/>
    <n v="1392"/>
    <n v="1.7011494252873562"/>
    <n v="49.618640516302072"/>
    <n v="2368"/>
    <n v="1.8678160919540231E-2"/>
    <n v="26"/>
    <n v="130.61538461538461"/>
    <n v="3396"/>
    <n v="1.4341216216216217"/>
  </r>
  <r>
    <d v="2025-01-31T00:00:00"/>
    <x v="0"/>
    <n v="77744"/>
    <n v="1.8496604239555466E-2"/>
    <n v="1438"/>
    <n v="1.5931849791376913"/>
    <n v="29.468512039514305"/>
    <n v="2291"/>
    <n v="2.2253129346314324E-2"/>
    <n v="32"/>
    <n v="143.3125"/>
    <n v="4586"/>
    <n v="2.0017459624618072"/>
  </r>
  <r>
    <d v="2025-02-01T00:00:00"/>
    <x v="1"/>
    <n v="99439"/>
    <n v="2.6086344392039339E-2"/>
    <n v="2594"/>
    <n v="1.0990747879722436"/>
    <n v="28.670843431651566"/>
    <n v="2851"/>
    <n v="2.1202775636083269E-2"/>
    <n v="55"/>
    <n v="133.38181818181818"/>
    <n v="7336"/>
    <n v="2.573132234303753"/>
  </r>
  <r>
    <d v="2025-02-02T00:00:00"/>
    <x v="1"/>
    <n v="29408"/>
    <n v="1.404379760609358E-2"/>
    <n v="413"/>
    <n v="1.6682808716707023"/>
    <n v="23.428998911860717"/>
    <n v="689"/>
    <n v="1.9370460048426151E-2"/>
    <n v="8"/>
    <n v="176.25"/>
    <n v="1410"/>
    <n v="2.0464441219158198"/>
  </r>
  <r>
    <d v="2025-02-03T00:00:00"/>
    <x v="1"/>
    <n v="27715"/>
    <n v="2.4066390041493777E-2"/>
    <n v="667"/>
    <n v="1.0389805097451275"/>
    <n v="25.004510193036261"/>
    <n v="693"/>
    <n v="2.0989505247376312E-2"/>
    <n v="14"/>
    <n v="164.71428571428572"/>
    <n v="2306"/>
    <n v="3.3275613275613276"/>
  </r>
  <r>
    <d v="2025-02-04T00:00:00"/>
    <x v="1"/>
    <n v="15515"/>
    <n v="2.5974863035771834E-2"/>
    <n v="403"/>
    <n v="1.2009925558312655"/>
    <n v="31.195617144698677"/>
    <n v="484"/>
    <n v="1.7369727047146403E-2"/>
    <n v="7"/>
    <n v="149.85714285714286"/>
    <n v="1049"/>
    <n v="2.1673553719008263"/>
  </r>
  <r>
    <d v="2025-02-05T00:00:00"/>
    <x v="1"/>
    <n v="70280"/>
    <n v="2.9553215708594194E-2"/>
    <n v="2077"/>
    <n v="1.9090033702455464"/>
    <n v="56.417188389299945"/>
    <n v="3965"/>
    <n v="1.6369764082811749E-2"/>
    <n v="34"/>
    <n v="207.47058823529412"/>
    <n v="7054"/>
    <n v="1.7790668348045398"/>
  </r>
  <r>
    <d v="2025-02-06T00:00:00"/>
    <x v="1"/>
    <n v="81872"/>
    <n v="1.1371409028727771E-2"/>
    <n v="931"/>
    <n v="1.6283566058002148"/>
    <n v="18.516709009185071"/>
    <n v="1516"/>
    <n v="2.0408163265306121E-2"/>
    <n v="19"/>
    <n v="123.10526315789474"/>
    <n v="2339"/>
    <n v="1.5428759894459103"/>
  </r>
  <r>
    <d v="2025-02-07T00:00:00"/>
    <x v="1"/>
    <n v="81286"/>
    <n v="2.7077233471938588E-2"/>
    <n v="2201"/>
    <n v="1.587005906406179"/>
    <n v="42.971729449105624"/>
    <n v="3493"/>
    <n v="1.6810540663334848E-2"/>
    <n v="37"/>
    <n v="176.83783783783784"/>
    <n v="6543"/>
    <n v="1.8731749212711137"/>
  </r>
  <r>
    <d v="2025-02-08T00:00:00"/>
    <x v="1"/>
    <n v="77915"/>
    <n v="1.1743566707309248E-2"/>
    <n v="915"/>
    <n v="1.0098360655737706"/>
    <n v="11.859077199512289"/>
    <n v="924"/>
    <n v="1.8579234972677595E-2"/>
    <n v="17"/>
    <n v="184.76470588235293"/>
    <n v="3141"/>
    <n v="3.3993506493506493"/>
  </r>
  <r>
    <d v="2025-02-09T00:00:00"/>
    <x v="1"/>
    <n v="60396"/>
    <n v="2.8097887277303134E-2"/>
    <n v="1697"/>
    <n v="1.9345904537418974"/>
    <n v="54.357904496986556"/>
    <n v="3283"/>
    <n v="1.1785503830288745E-2"/>
    <n v="20"/>
    <n v="131.35"/>
    <n v="2627"/>
    <n v="0.80018275967103258"/>
  </r>
  <r>
    <d v="2025-02-10T00:00:00"/>
    <x v="1"/>
    <n v="43446"/>
    <n v="2.6354555079869262E-2"/>
    <n v="1145"/>
    <n v="1.1406113537117903"/>
    <n v="30.060304746121624"/>
    <n v="1306"/>
    <n v="2.6200873362445413E-2"/>
    <n v="30"/>
    <n v="199.23333333333332"/>
    <n v="5977"/>
    <n v="4.5765696784073508"/>
  </r>
  <r>
    <d v="2025-02-11T00:00:00"/>
    <x v="1"/>
    <n v="70724"/>
    <n v="2.6935693682484021E-2"/>
    <n v="1905"/>
    <n v="1.1679790026246719"/>
    <n v="31.460324642271363"/>
    <n v="2225"/>
    <n v="1.3123359580052493E-2"/>
    <n v="25"/>
    <n v="213.16"/>
    <n v="5329"/>
    <n v="2.3950561797752807"/>
  </r>
  <r>
    <d v="2025-02-12T00:00:00"/>
    <x v="1"/>
    <n v="85306"/>
    <n v="1.9588305629146836E-2"/>
    <n v="1671"/>
    <n v="0.98384201077199285"/>
    <n v="19.27179799779617"/>
    <n v="1644"/>
    <n v="1.5559545182525433E-2"/>
    <n v="26"/>
    <n v="182.15384615384616"/>
    <n v="4736"/>
    <n v="2.8807785888077859"/>
  </r>
  <r>
    <d v="2025-02-13T00:00:00"/>
    <x v="1"/>
    <n v="23751"/>
    <n v="2.2483263862574206E-2"/>
    <n v="534"/>
    <n v="1.3932584269662922"/>
    <n v="31.324996842238221"/>
    <n v="744"/>
    <n v="2.0599250936329586E-2"/>
    <n v="11"/>
    <n v="165.36363636363637"/>
    <n v="1819"/>
    <n v="2.4448924731182795"/>
  </r>
  <r>
    <d v="2025-02-14T00:00:00"/>
    <x v="1"/>
    <n v="82792"/>
    <n v="2.3528843366508841E-2"/>
    <n v="1948"/>
    <n v="1.3069815195071868"/>
    <n v="30.751763455406319"/>
    <n v="2546"/>
    <n v="1.8993839835728953E-2"/>
    <n v="37"/>
    <n v="182.64864864864865"/>
    <n v="6758"/>
    <n v="2.6543597800471326"/>
  </r>
  <r>
    <d v="2025-02-15T00:00:00"/>
    <x v="1"/>
    <n v="68924"/>
    <n v="2.7697173698566536E-2"/>
    <n v="1909"/>
    <n v="1.7647983237297014"/>
    <n v="48.879925715280592"/>
    <n v="3369"/>
    <n v="1.2048192771084338E-2"/>
    <n v="23"/>
    <n v="199.39130434782609"/>
    <n v="4586"/>
    <n v="1.3612347877708519"/>
  </r>
  <r>
    <d v="2025-02-16T00:00:00"/>
    <x v="1"/>
    <n v="13626"/>
    <n v="1.4384265375018346E-2"/>
    <n v="196"/>
    <n v="1.8979591836734695"/>
    <n v="27.300748568912375"/>
    <n v="372"/>
    <n v="2.0408163265306121E-2"/>
    <n v="4"/>
    <n v="194"/>
    <n v="776"/>
    <n v="2.086021505376344"/>
  </r>
  <r>
    <d v="2025-02-17T00:00:00"/>
    <x v="1"/>
    <n v="10725"/>
    <n v="1.6317016317016316E-2"/>
    <n v="175"/>
    <n v="2.0514285714285716"/>
    <n v="33.473193473193476"/>
    <n v="359"/>
    <n v="1.7142857142857144E-2"/>
    <n v="3"/>
    <n v="249.66666666666666"/>
    <n v="749"/>
    <n v="2.0863509749303621"/>
  </r>
  <r>
    <d v="2025-02-18T00:00:00"/>
    <x v="1"/>
    <n v="50562"/>
    <n v="1.3527945888216448E-2"/>
    <n v="684"/>
    <n v="2.1257309941520468"/>
    <n v="28.756773861793445"/>
    <n v="1454"/>
    <n v="1.3157894736842105E-2"/>
    <n v="9"/>
    <n v="191"/>
    <n v="1719"/>
    <n v="1.1822558459422283"/>
  </r>
  <r>
    <d v="2025-02-19T00:00:00"/>
    <x v="1"/>
    <n v="27479"/>
    <n v="2.3181338476654899E-2"/>
    <n v="637"/>
    <n v="1.957613814756672"/>
    <n v="45.380108446450016"/>
    <n v="1247"/>
    <n v="1.8838304552590265E-2"/>
    <n v="12"/>
    <n v="121"/>
    <n v="1452"/>
    <n v="1.1643945469125903"/>
  </r>
  <r>
    <d v="2025-02-20T00:00:00"/>
    <x v="1"/>
    <n v="75592"/>
    <n v="1.5649804212085935E-2"/>
    <n v="1183"/>
    <n v="1.8672865595942518"/>
    <n v="29.222669065509578"/>
    <n v="2209"/>
    <n v="2.3668639053254437E-2"/>
    <n v="28"/>
    <n v="164.07142857142858"/>
    <n v="4594"/>
    <n v="2.0796740606609325"/>
  </r>
  <r>
    <d v="2025-02-21T00:00:00"/>
    <x v="1"/>
    <n v="91898"/>
    <n v="1.0598707262399617E-2"/>
    <n v="974"/>
    <n v="1.7535934291581108"/>
    <n v="18.585823412914319"/>
    <n v="1708"/>
    <n v="1.3347022587268994E-2"/>
    <n v="13"/>
    <n v="118.53846153846153"/>
    <n v="1541"/>
    <n v="0.90222482435597184"/>
  </r>
  <r>
    <d v="2025-02-22T00:00:00"/>
    <x v="1"/>
    <n v="61770"/>
    <n v="1.342075441152663E-2"/>
    <n v="829"/>
    <n v="1.985524728588661"/>
    <n v="26.647239760401487"/>
    <n v="1646"/>
    <n v="1.8094089264173704E-2"/>
    <n v="15"/>
    <n v="152.33333333333334"/>
    <n v="2285"/>
    <n v="1.388213851761847"/>
  </r>
  <r>
    <d v="2025-02-23T00:00:00"/>
    <x v="1"/>
    <n v="82545"/>
    <n v="1.1448300926767218E-2"/>
    <n v="945"/>
    <n v="1.7206349206349207"/>
    <n v="19.698346356532799"/>
    <n v="1626"/>
    <n v="2.328042328042328E-2"/>
    <n v="22"/>
    <n v="205"/>
    <n v="4510"/>
    <n v="2.7736777367773677"/>
  </r>
  <r>
    <d v="2025-02-24T00:00:00"/>
    <x v="1"/>
    <n v="16999"/>
    <n v="2.6589799399964704E-2"/>
    <n v="452"/>
    <n v="1.2743362831858407"/>
    <n v="33.884346138008119"/>
    <n v="576"/>
    <n v="1.3274336283185841E-2"/>
    <n v="6"/>
    <n v="118.5"/>
    <n v="711"/>
    <n v="1.234375"/>
  </r>
  <r>
    <d v="2025-02-25T00:00:00"/>
    <x v="1"/>
    <n v="61190"/>
    <n v="1.3270142180094787E-2"/>
    <n v="812"/>
    <n v="1.2487684729064039"/>
    <n v="16.571335185487825"/>
    <n v="1014"/>
    <n v="1.8472906403940888E-2"/>
    <n v="15"/>
    <n v="122.4"/>
    <n v="1836"/>
    <n v="1.8106508875739644"/>
  </r>
  <r>
    <d v="2025-02-26T00:00:00"/>
    <x v="1"/>
    <n v="89019"/>
    <n v="2.4388051988901246E-2"/>
    <n v="2171"/>
    <n v="1.4440350069092585"/>
    <n v="35.217200822296363"/>
    <n v="3135"/>
    <n v="1.704283740211884E-2"/>
    <n v="37"/>
    <n v="162.29729729729729"/>
    <n v="6005"/>
    <n v="1.9154704944178629"/>
  </r>
  <r>
    <d v="2025-02-27T00:00:00"/>
    <x v="1"/>
    <n v="42261"/>
    <n v="3.0027685099737345E-2"/>
    <n v="1269"/>
    <n v="1.6201733648542158"/>
    <n v="48.650055606824253"/>
    <n v="2056"/>
    <n v="1.3396375098502758E-2"/>
    <n v="17"/>
    <n v="190.29411764705881"/>
    <n v="3235"/>
    <n v="1.5734435797665369"/>
  </r>
  <r>
    <d v="2025-02-28T00:00:00"/>
    <x v="1"/>
    <n v="14686"/>
    <n v="1.1235189976848699E-2"/>
    <n v="165"/>
    <n v="1.6484848484848484"/>
    <n v="18.521040446683916"/>
    <n v="272"/>
    <n v="1.2121212121212121E-2"/>
    <n v="2"/>
    <n v="172"/>
    <n v="344"/>
    <n v="1.2647058823529411"/>
  </r>
  <r>
    <d v="2025-03-01T00:00:00"/>
    <x v="2"/>
    <n v="74275"/>
    <n v="1.6560080780881857E-2"/>
    <n v="1230"/>
    <n v="1.2910569105691057"/>
    <n v="21.380006731740153"/>
    <n v="1588"/>
    <n v="2.5203252032520326E-2"/>
    <n v="31"/>
    <n v="130.2258064516129"/>
    <n v="4037"/>
    <n v="2.5421914357682618"/>
  </r>
  <r>
    <d v="2025-03-02T00:00:00"/>
    <x v="2"/>
    <n v="43481"/>
    <n v="3.2450955589797846E-2"/>
    <n v="1411"/>
    <n v="1.5237420269312545"/>
    <n v="49.446884846254683"/>
    <n v="2150"/>
    <n v="1.7009213323883769E-2"/>
    <n v="24"/>
    <n v="143.25"/>
    <n v="3438"/>
    <n v="1.5990697674418604"/>
  </r>
  <r>
    <d v="2025-03-03T00:00:00"/>
    <x v="2"/>
    <n v="24107"/>
    <n v="2.5594225743559962E-2"/>
    <n v="617"/>
    <n v="1.0777957860615883"/>
    <n v="27.585348653917951"/>
    <n v="665"/>
    <n v="2.2690437601296597E-2"/>
    <n v="14"/>
    <n v="192"/>
    <n v="2688"/>
    <n v="4.0421052631578949"/>
  </r>
  <r>
    <d v="2025-03-04T00:00:00"/>
    <x v="2"/>
    <n v="34969"/>
    <n v="1.4841716949297949E-2"/>
    <n v="519"/>
    <n v="1.6589595375722543"/>
    <n v="24.621807886985614"/>
    <n v="861"/>
    <n v="1.7341040462427744E-2"/>
    <n v="9"/>
    <n v="228.66666666666666"/>
    <n v="2058"/>
    <n v="2.3902439024390243"/>
  </r>
  <r>
    <d v="2025-03-05T00:00:00"/>
    <x v="2"/>
    <n v="56378"/>
    <n v="2.3856823583667388E-2"/>
    <n v="1345"/>
    <n v="1.7591078066914498"/>
    <n v="41.96672460888999"/>
    <n v="2366"/>
    <n v="2.3048327137546468E-2"/>
    <n v="31"/>
    <n v="109.25806451612904"/>
    <n v="3387"/>
    <n v="1.4315300084530853"/>
  </r>
  <r>
    <d v="2025-03-06T00:00:00"/>
    <x v="2"/>
    <n v="57170"/>
    <n v="2.4051075739023965E-2"/>
    <n v="1375"/>
    <n v="1.2421818181818183"/>
    <n v="29.875808990729404"/>
    <n v="1708"/>
    <n v="1.3818181818181818E-2"/>
    <n v="19"/>
    <n v="221.26315789473685"/>
    <n v="4204"/>
    <n v="2.4613583138173301"/>
  </r>
  <r>
    <d v="2025-03-07T00:00:00"/>
    <x v="2"/>
    <n v="26837"/>
    <n v="2.2021835525580357E-2"/>
    <n v="591"/>
    <n v="1"/>
    <n v="22.021835525580357"/>
    <n v="591"/>
    <n v="1.8612521150592216E-2"/>
    <n v="11"/>
    <n v="94.63636363636364"/>
    <n v="1041"/>
    <n v="1.7614213197969544"/>
  </r>
  <r>
    <d v="2025-03-08T00:00:00"/>
    <x v="2"/>
    <n v="81804"/>
    <n v="2.211383306439783E-2"/>
    <n v="1809"/>
    <n v="1.1420674405749032"/>
    <n v="25.255488729157499"/>
    <n v="2066"/>
    <n v="2.4322830292979547E-2"/>
    <n v="44"/>
    <n v="114.75"/>
    <n v="5049"/>
    <n v="2.4438528557599226"/>
  </r>
  <r>
    <d v="2025-03-09T00:00:00"/>
    <x v="2"/>
    <n v="69650"/>
    <n v="3.1299353912419239E-2"/>
    <n v="2180"/>
    <n v="1.1614678899082569"/>
    <n v="36.353194544149318"/>
    <n v="2532"/>
    <n v="2.0642201834862386E-2"/>
    <n v="45"/>
    <n v="164.2"/>
    <n v="7389"/>
    <n v="2.9182464454976302"/>
  </r>
  <r>
    <d v="2025-03-10T00:00:00"/>
    <x v="2"/>
    <n v="88162"/>
    <n v="2.1902860642907376E-2"/>
    <n v="1931"/>
    <n v="1.5914034179181771"/>
    <n v="34.85628728930832"/>
    <n v="3073"/>
    <n v="2.1232522009321596E-2"/>
    <n v="41"/>
    <n v="172.95121951219511"/>
    <n v="7091"/>
    <n v="2.3075170842824599"/>
  </r>
  <r>
    <d v="2025-03-11T00:00:00"/>
    <x v="2"/>
    <n v="35355"/>
    <n v="2.0817423278178475E-2"/>
    <n v="736"/>
    <n v="1.3016304347826086"/>
    <n v="27.096591712629049"/>
    <n v="958"/>
    <n v="1.2228260869565218E-2"/>
    <n v="9"/>
    <n v="190.33333333333334"/>
    <n v="1713"/>
    <n v="1.7881002087682671"/>
  </r>
  <r>
    <d v="2025-03-12T00:00:00"/>
    <x v="2"/>
    <n v="90027"/>
    <n v="1.5706399191353707E-2"/>
    <n v="1414"/>
    <n v="1.4632248939179633"/>
    <n v="22.981994290601708"/>
    <n v="2069"/>
    <n v="1.768033946251768E-2"/>
    <n v="25"/>
    <n v="208.68"/>
    <n v="5217"/>
    <n v="2.5215079748670854"/>
  </r>
  <r>
    <d v="2025-03-13T00:00:00"/>
    <x v="2"/>
    <n v="25328"/>
    <n v="1.8714466203411245E-2"/>
    <n v="474"/>
    <n v="1.5021097046413503"/>
    <n v="28.111181301326596"/>
    <n v="712"/>
    <n v="2.1097046413502109E-2"/>
    <n v="10"/>
    <n v="139.19999999999999"/>
    <n v="1392"/>
    <n v="1.9550561797752808"/>
  </r>
  <r>
    <d v="2025-03-14T00:00:00"/>
    <x v="2"/>
    <n v="59348"/>
    <n v="1.1120846532317853E-2"/>
    <n v="660"/>
    <n v="1.5969696969696969"/>
    <n v="17.759654916762148"/>
    <n v="1054"/>
    <n v="1.0606060606060607E-2"/>
    <n v="7"/>
    <n v="136.85714285714286"/>
    <n v="958"/>
    <n v="0.90891840607210628"/>
  </r>
  <r>
    <d v="2025-03-15T00:00:00"/>
    <x v="2"/>
    <n v="24427"/>
    <n v="1.3264011135219224E-2"/>
    <n v="324"/>
    <n v="1.0802469135802468"/>
    <n v="14.328407090514595"/>
    <n v="350"/>
    <n v="1.5432098765432098E-2"/>
    <n v="5"/>
    <n v="190.2"/>
    <n v="951"/>
    <n v="2.7171428571428571"/>
  </r>
  <r>
    <d v="2025-03-16T00:00:00"/>
    <x v="2"/>
    <n v="23408"/>
    <n v="2.1445659603554341E-2"/>
    <n v="502"/>
    <n v="1.6573705179282869"/>
    <n v="35.543403964456594"/>
    <n v="832"/>
    <n v="1.7928286852589643E-2"/>
    <n v="9"/>
    <n v="109"/>
    <n v="981"/>
    <n v="1.1790865384615385"/>
  </r>
  <r>
    <d v="2025-03-17T00:00:00"/>
    <x v="2"/>
    <n v="48565"/>
    <n v="3.1504169669515081E-2"/>
    <n v="1530"/>
    <n v="1.7490196078431373"/>
    <n v="55.101410480798933"/>
    <n v="2676"/>
    <n v="2.5490196078431372E-2"/>
    <n v="39"/>
    <n v="175.05128205128204"/>
    <n v="6827"/>
    <n v="2.5511958146487292"/>
  </r>
  <r>
    <d v="2025-03-18T00:00:00"/>
    <x v="2"/>
    <n v="37692"/>
    <n v="1.7457285365594821E-2"/>
    <n v="658"/>
    <n v="1.4376899696048633"/>
    <n v="25.098164066645442"/>
    <n v="946"/>
    <n v="1.3677811550151976E-2"/>
    <n v="9"/>
    <n v="107.66666666666667"/>
    <n v="969"/>
    <n v="1.0243128964059196"/>
  </r>
  <r>
    <d v="2025-03-19T00:00:00"/>
    <x v="2"/>
    <n v="29345"/>
    <n v="2.0310103935934572E-2"/>
    <n v="596"/>
    <n v="1.4144295302013423"/>
    <n v="28.727210768444369"/>
    <n v="843"/>
    <n v="2.0134228187919462E-2"/>
    <n v="12"/>
    <n v="195.75"/>
    <n v="2349"/>
    <n v="2.7864768683274019"/>
  </r>
  <r>
    <d v="2025-03-20T00:00:00"/>
    <x v="2"/>
    <n v="86428"/>
    <n v="1.0216596473365112E-2"/>
    <n v="883"/>
    <n v="1.6976217440543602"/>
    <n v="17.343916323413708"/>
    <n v="1499"/>
    <n v="2.7180067950169876E-2"/>
    <n v="24"/>
    <n v="155.91666666666666"/>
    <n v="3742"/>
    <n v="2.4963308872581722"/>
  </r>
  <r>
    <d v="2025-03-21T00:00:00"/>
    <x v="2"/>
    <n v="29192"/>
    <n v="2.5657714442312962E-2"/>
    <n v="749"/>
    <n v="1.7449933244325768"/>
    <n v="44.772540422033437"/>
    <n v="1307"/>
    <n v="2.0026702269692925E-2"/>
    <n v="15"/>
    <n v="108.26666666666667"/>
    <n v="1624"/>
    <n v="1.2425401683244071"/>
  </r>
  <r>
    <d v="2025-03-22T00:00:00"/>
    <x v="2"/>
    <n v="35448"/>
    <n v="2.7364026179192057E-2"/>
    <n v="970"/>
    <n v="1.1329896907216495"/>
    <n v="31.003159557661927"/>
    <n v="1099"/>
    <n v="1.443298969072165E-2"/>
    <n v="14"/>
    <n v="158.71428571428572"/>
    <n v="2222"/>
    <n v="2.0218380345768883"/>
  </r>
  <r>
    <d v="2025-03-23T00:00:00"/>
    <x v="2"/>
    <n v="101862"/>
    <n v="1.7091751585478394E-2"/>
    <n v="1741"/>
    <n v="1.2377943710511201"/>
    <n v="21.15607390390921"/>
    <n v="2155"/>
    <n v="1.6082711085582999E-2"/>
    <n v="28"/>
    <n v="131.71428571428572"/>
    <n v="3688"/>
    <n v="1.7113689095127611"/>
  </r>
  <r>
    <d v="2025-03-24T00:00:00"/>
    <x v="2"/>
    <n v="10360"/>
    <n v="1.3030888030888031E-2"/>
    <n v="135"/>
    <n v="1.3555555555555556"/>
    <n v="17.664092664092664"/>
    <n v="183"/>
    <n v="7.4074074074074077E-3"/>
    <n v="1"/>
    <n v="204"/>
    <n v="204"/>
    <n v="1.1147540983606556"/>
  </r>
  <r>
    <d v="2025-03-25T00:00:00"/>
    <x v="2"/>
    <n v="74045"/>
    <n v="2.5119859544871361E-2"/>
    <n v="1860"/>
    <n v="1.7279569892473119"/>
    <n v="43.406036869471265"/>
    <n v="3214"/>
    <n v="1.8279569892473119E-2"/>
    <n v="34"/>
    <n v="113.38235294117646"/>
    <n v="3855"/>
    <n v="1.199439950217797"/>
  </r>
  <r>
    <d v="2025-03-26T00:00:00"/>
    <x v="2"/>
    <n v="24404"/>
    <n v="2.3151942304540239E-2"/>
    <n v="565"/>
    <n v="1.0884955752212389"/>
    <n v="25.200786756269466"/>
    <n v="615"/>
    <n v="2.3008849557522124E-2"/>
    <n v="13"/>
    <n v="116.69230769230769"/>
    <n v="1517"/>
    <n v="2.4666666666666668"/>
  </r>
  <r>
    <d v="2025-03-27T00:00:00"/>
    <x v="2"/>
    <n v="77058"/>
    <n v="1.3690986010537518E-2"/>
    <n v="1055"/>
    <n v="1.2047393364928909"/>
    <n v="16.494069402268419"/>
    <n v="1271"/>
    <n v="2.0853080568720379E-2"/>
    <n v="22"/>
    <n v="118.27272727272727"/>
    <n v="2602"/>
    <n v="2.0472069236821402"/>
  </r>
  <r>
    <d v="2025-03-28T00:00:00"/>
    <x v="2"/>
    <n v="14522"/>
    <n v="1.990084010466878E-2"/>
    <n v="289"/>
    <n v="1.3771626297577855"/>
    <n v="27.406693292934857"/>
    <n v="398"/>
    <n v="1.7301038062283738E-2"/>
    <n v="5"/>
    <n v="206.2"/>
    <n v="1031"/>
    <n v="2.5904522613065328"/>
  </r>
  <r>
    <d v="2025-03-29T00:00:00"/>
    <x v="2"/>
    <n v="76056"/>
    <n v="2.9530871989060691E-2"/>
    <n v="2246"/>
    <n v="1.5992876224398931"/>
    <n v="47.228358051961713"/>
    <n v="3592"/>
    <n v="1.5138023152270703E-2"/>
    <n v="34"/>
    <n v="177.6764705882353"/>
    <n v="6041"/>
    <n v="1.681792873051225"/>
  </r>
  <r>
    <d v="2025-03-30T00:00:00"/>
    <x v="2"/>
    <n v="62405"/>
    <n v="1.3220094543706434E-2"/>
    <n v="825"/>
    <n v="1.1309090909090909"/>
    <n v="14.950725102155277"/>
    <n v="933"/>
    <n v="1.5757575757575758E-2"/>
    <n v="13"/>
    <n v="94.07692307692308"/>
    <n v="1223"/>
    <n v="1.3108252947481243"/>
  </r>
  <r>
    <d v="2025-03-31T00:00:00"/>
    <x v="2"/>
    <n v="48371"/>
    <n v="1.4822931095077629E-2"/>
    <n v="717"/>
    <n v="1.2747559274755929"/>
    <n v="18.895619276012486"/>
    <n v="914"/>
    <n v="1.813110181311018E-2"/>
    <n v="13"/>
    <n v="135.69230769230768"/>
    <n v="1764"/>
    <n v="1.9299781181619255"/>
  </r>
  <r>
    <d v="2025-04-01T00:00:00"/>
    <x v="3"/>
    <n v="66192"/>
    <n v="1.6482354363065024E-2"/>
    <n v="1091"/>
    <n v="1.7085242896425299"/>
    <n v="28.160502779792122"/>
    <n v="1864"/>
    <n v="2.1081576535288724E-2"/>
    <n v="23"/>
    <n v="124.17391304347827"/>
    <n v="2856"/>
    <n v="1.5321888412017168"/>
  </r>
  <r>
    <d v="2025-04-02T00:00:00"/>
    <x v="3"/>
    <n v="89399"/>
    <n v="1.9754135952303718E-2"/>
    <n v="1766"/>
    <n v="1.7327293318233297"/>
    <n v="34.228570789382431"/>
    <n v="3060"/>
    <n v="2.3782559456398639E-2"/>
    <n v="42"/>
    <n v="110.14285714285714"/>
    <n v="4626"/>
    <n v="1.5117647058823529"/>
  </r>
  <r>
    <d v="2025-04-03T00:00:00"/>
    <x v="3"/>
    <n v="25304"/>
    <n v="1.2251027505532723E-2"/>
    <n v="310"/>
    <n v="1.5935483870967742"/>
    <n v="19.522605121719888"/>
    <n v="494"/>
    <n v="2.2580645161290321E-2"/>
    <n v="7"/>
    <n v="109.42857142857143"/>
    <n v="766"/>
    <n v="1.5506072874493928"/>
  </r>
  <r>
    <d v="2025-04-04T00:00:00"/>
    <x v="3"/>
    <n v="65507"/>
    <n v="3.1614941914604545E-2"/>
    <n v="2071"/>
    <n v="1.5543215837759536"/>
    <n v="49.139786587692917"/>
    <n v="3219"/>
    <n v="2.4142926122646065E-2"/>
    <n v="50"/>
    <n v="126.5"/>
    <n v="6325"/>
    <n v="1.9648959304131719"/>
  </r>
  <r>
    <d v="2025-04-05T00:00:00"/>
    <x v="3"/>
    <n v="19085"/>
    <n v="2.3369138066544407E-2"/>
    <n v="446"/>
    <n v="1.7197309417040358"/>
    <n v="40.18862981399004"/>
    <n v="767"/>
    <n v="1.5695067264573991E-2"/>
    <n v="7"/>
    <n v="99.571428571428569"/>
    <n v="697"/>
    <n v="0.90873533246414606"/>
  </r>
  <r>
    <d v="2025-04-06T00:00:00"/>
    <x v="3"/>
    <n v="93702"/>
    <n v="1.8846982988623508E-2"/>
    <n v="1766"/>
    <n v="1.7355605889014722"/>
    <n v="32.710080894751449"/>
    <n v="3065"/>
    <n v="1.9252548131370329E-2"/>
    <n v="34"/>
    <n v="132.94117647058823"/>
    <n v="4520"/>
    <n v="1.4747145187601958"/>
  </r>
  <r>
    <d v="2025-04-07T00:00:00"/>
    <x v="3"/>
    <n v="77462"/>
    <n v="2.9549972889933128E-2"/>
    <n v="2289"/>
    <n v="1.6574923547400611"/>
    <n v="48.978854147840231"/>
    <n v="3794"/>
    <n v="1.7038007863695939E-2"/>
    <n v="39"/>
    <n v="155.87179487179486"/>
    <n v="6079"/>
    <n v="1.6022667369530839"/>
  </r>
  <r>
    <d v="2025-04-08T00:00:00"/>
    <x v="3"/>
    <n v="88889"/>
    <n v="2.3039971200036001E-2"/>
    <n v="2048"/>
    <n v="1.7353515625"/>
    <n v="39.982450021937474"/>
    <n v="3554"/>
    <n v="1.3671875E-2"/>
    <n v="28"/>
    <n v="209"/>
    <n v="5852"/>
    <n v="1.6465953854811479"/>
  </r>
  <r>
    <d v="2025-04-09T00:00:00"/>
    <x v="3"/>
    <n v="52248"/>
    <n v="1.1483693155718878E-2"/>
    <n v="600"/>
    <n v="1.4016666666666666"/>
    <n v="16.096309906599295"/>
    <n v="841"/>
    <n v="1.8333333333333333E-2"/>
    <n v="11"/>
    <n v="119"/>
    <n v="1309"/>
    <n v="1.5564803804994054"/>
  </r>
  <r>
    <d v="2025-04-10T00:00:00"/>
    <x v="3"/>
    <n v="50253"/>
    <n v="1.6755218593914791E-2"/>
    <n v="842"/>
    <n v="1.2672209026128265"/>
    <n v="21.232563230055916"/>
    <n v="1067"/>
    <n v="1.3064133016627079E-2"/>
    <n v="11"/>
    <n v="145.09090909090909"/>
    <n v="1596"/>
    <n v="1.4957825679475163"/>
  </r>
  <r>
    <d v="2025-04-11T00:00:00"/>
    <x v="3"/>
    <n v="69120"/>
    <n v="3.0107060185185185E-2"/>
    <n v="2081"/>
    <n v="1.2023065833733781"/>
    <n v="36.197916666666664"/>
    <n v="2502"/>
    <n v="1.7299375300336376E-2"/>
    <n v="36"/>
    <n v="209.36111111111111"/>
    <n v="7537"/>
    <n v="3.0123900879296563"/>
  </r>
  <r>
    <d v="2025-04-12T00:00:00"/>
    <x v="3"/>
    <n v="89518"/>
    <n v="1.9437431578006658E-2"/>
    <n v="1740"/>
    <n v="1.2919540229885058"/>
    <n v="25.112267923769522"/>
    <n v="2248"/>
    <n v="1.1494252873563218E-2"/>
    <n v="20"/>
    <n v="112.25"/>
    <n v="2245"/>
    <n v="0.99866548042704628"/>
  </r>
  <r>
    <d v="2025-04-13T00:00:00"/>
    <x v="3"/>
    <n v="22275"/>
    <n v="1.9618406285072953E-2"/>
    <n v="437"/>
    <n v="1.6979405034324944"/>
    <n v="33.310886644219977"/>
    <n v="742"/>
    <n v="1.3729977116704805E-2"/>
    <n v="6"/>
    <n v="158.33333333333334"/>
    <n v="950"/>
    <n v="1.2803234501347709"/>
  </r>
  <r>
    <d v="2025-04-14T00:00:00"/>
    <x v="3"/>
    <n v="81832"/>
    <n v="1.3393293577084759E-2"/>
    <n v="1096"/>
    <n v="1.333941605839416"/>
    <n v="17.865871541695181"/>
    <n v="1462"/>
    <n v="1.916058394160584E-2"/>
    <n v="21"/>
    <n v="142.57142857142858"/>
    <n v="2994"/>
    <n v="2.0478796169630642"/>
  </r>
  <r>
    <d v="2025-04-15T00:00:00"/>
    <x v="3"/>
    <n v="93408"/>
    <n v="1.9709232613908872E-2"/>
    <n v="1841"/>
    <n v="2.0429114611624115"/>
    <n v="40.264217197670433"/>
    <n v="3761"/>
    <n v="2.0640956002172733E-2"/>
    <n v="38"/>
    <n v="173.36842105263159"/>
    <n v="6588"/>
    <n v="1.7516617920765754"/>
  </r>
  <r>
    <d v="2025-04-16T00:00:00"/>
    <x v="3"/>
    <n v="23712"/>
    <n v="1.4423076923076924E-2"/>
    <n v="342"/>
    <n v="1.1783625730994152"/>
    <n v="16.995614035087719"/>
    <n v="403"/>
    <n v="2.3391812865497075E-2"/>
    <n v="8"/>
    <n v="148.5"/>
    <n v="1188"/>
    <n v="2.9478908188585606"/>
  </r>
  <r>
    <d v="2025-04-17T00:00:00"/>
    <x v="3"/>
    <n v="82162"/>
    <n v="1.2256274190014849E-2"/>
    <n v="1007"/>
    <n v="1.7745779543197617"/>
    <n v="21.749713979698644"/>
    <n v="1787"/>
    <n v="1.9860973187686197E-2"/>
    <n v="20"/>
    <n v="171.65"/>
    <n v="3433"/>
    <n v="1.9210968102965864"/>
  </r>
  <r>
    <d v="2025-04-18T00:00:00"/>
    <x v="3"/>
    <n v="100916"/>
    <n v="1.9541004399698761E-2"/>
    <n v="1972"/>
    <n v="1.3671399594320486"/>
    <n v="26.715287962265649"/>
    <n v="2696"/>
    <n v="2.383367139959432E-2"/>
    <n v="47"/>
    <n v="124.25531914893617"/>
    <n v="5840"/>
    <n v="2.1661721068249258"/>
  </r>
  <r>
    <d v="2025-04-19T00:00:00"/>
    <x v="3"/>
    <n v="20494"/>
    <n v="2.0054650141504832E-2"/>
    <n v="411"/>
    <n v="1.7858880778588808"/>
    <n v="35.815360593344394"/>
    <n v="734"/>
    <n v="9.7323600973236012E-3"/>
    <n v="4"/>
    <n v="167.25"/>
    <n v="669"/>
    <n v="0.91144414168937327"/>
  </r>
  <r>
    <d v="2025-04-20T00:00:00"/>
    <x v="3"/>
    <n v="47284"/>
    <n v="1.4952203705270282E-2"/>
    <n v="707"/>
    <n v="1.8260254596888261"/>
    <n v="27.303104644277134"/>
    <n v="1291"/>
    <n v="2.2630834512022632E-2"/>
    <n v="16"/>
    <n v="225"/>
    <n v="3600"/>
    <n v="2.7885360185902401"/>
  </r>
  <r>
    <d v="2025-04-21T00:00:00"/>
    <x v="3"/>
    <n v="78176"/>
    <n v="2.892191977077364E-2"/>
    <n v="2261"/>
    <n v="1.442282176028306"/>
    <n v="41.71356938190749"/>
    <n v="3261"/>
    <n v="2.4767801857585141E-2"/>
    <n v="56"/>
    <n v="195.60714285714286"/>
    <n v="10954"/>
    <n v="3.3590923029745476"/>
  </r>
  <r>
    <d v="2025-04-22T00:00:00"/>
    <x v="3"/>
    <n v="89388"/>
    <n v="2.1457018839217794E-2"/>
    <n v="1918"/>
    <n v="1.8086548488008343"/>
    <n v="38.808341164362105"/>
    <n v="3469"/>
    <n v="1.4598540145985401E-2"/>
    <n v="28"/>
    <n v="156.10714285714286"/>
    <n v="4371"/>
    <n v="1.260017296050735"/>
  </r>
  <r>
    <d v="2025-04-23T00:00:00"/>
    <x v="3"/>
    <n v="77748"/>
    <n v="2.6933168698873283E-2"/>
    <n v="2094"/>
    <n v="1.0649474689589302"/>
    <n v="28.682409836908985"/>
    <n v="2230"/>
    <n v="1.7191977077363897E-2"/>
    <n v="36"/>
    <n v="180.58333333333334"/>
    <n v="6501"/>
    <n v="2.9152466367713004"/>
  </r>
  <r>
    <d v="2025-04-24T00:00:00"/>
    <x v="3"/>
    <n v="94167"/>
    <n v="1.123535845890811E-2"/>
    <n v="1058"/>
    <n v="1.8894139886578449"/>
    <n v="21.228243439846231"/>
    <n v="1999"/>
    <n v="2.2684310018903593E-2"/>
    <n v="24"/>
    <n v="177.79166666666666"/>
    <n v="4267"/>
    <n v="2.1345672836418208"/>
  </r>
  <r>
    <d v="2025-04-25T00:00:00"/>
    <x v="3"/>
    <n v="47093"/>
    <n v="2.2827171766504575E-2"/>
    <n v="1075"/>
    <n v="1.9106976744186046"/>
    <n v="43.615824007814325"/>
    <n v="2054"/>
    <n v="2.2325581395348838E-2"/>
    <n v="24"/>
    <n v="189.125"/>
    <n v="4539"/>
    <n v="2.2098344693281402"/>
  </r>
  <r>
    <d v="2025-04-26T00:00:00"/>
    <x v="3"/>
    <n v="74564"/>
    <n v="1.2915079663108203E-2"/>
    <n v="963"/>
    <n v="1.8047767393561787"/>
    <n v="23.308835362909718"/>
    <n v="1738"/>
    <n v="1.9730010384215992E-2"/>
    <n v="19"/>
    <n v="189.78947368421052"/>
    <n v="3606"/>
    <n v="2.0747986191024164"/>
  </r>
  <r>
    <d v="2025-04-27T00:00:00"/>
    <x v="3"/>
    <n v="24692"/>
    <n v="2.1464441924509962E-2"/>
    <n v="530"/>
    <n v="2.0641509433962266"/>
    <n v="44.305848047950754"/>
    <n v="1094"/>
    <n v="1.6981132075471698E-2"/>
    <n v="9"/>
    <n v="136.88888888888889"/>
    <n v="1232"/>
    <n v="1.1261425959780622"/>
  </r>
  <r>
    <d v="2025-04-28T00:00:00"/>
    <x v="3"/>
    <n v="62217"/>
    <n v="1.2183165372808075E-2"/>
    <n v="758"/>
    <n v="1.0778364116094987"/>
    <n v="13.131459247472556"/>
    <n v="817"/>
    <n v="1.8469656992084433E-2"/>
    <n v="14"/>
    <n v="151.42857142857142"/>
    <n v="2120"/>
    <n v="2.5948592411260711"/>
  </r>
  <r>
    <d v="2025-04-29T00:00:00"/>
    <x v="3"/>
    <n v="43646"/>
    <n v="1.9818540072400678E-2"/>
    <n v="865"/>
    <n v="1.2127167630057802"/>
    <n v="24.034275764102095"/>
    <n v="1049"/>
    <n v="1.7341040462427744E-2"/>
    <n v="15"/>
    <n v="127.8"/>
    <n v="1917"/>
    <n v="1.8274547187797903"/>
  </r>
  <r>
    <d v="2025-04-30T00:00:00"/>
    <x v="3"/>
    <n v="71389"/>
    <n v="1.7453669332810378E-2"/>
    <n v="1246"/>
    <n v="1.7841091492776886"/>
    <n v="31.139251145134406"/>
    <n v="2223"/>
    <n v="1.9261637239165328E-2"/>
    <n v="24"/>
    <n v="133.16666666666666"/>
    <n v="3196"/>
    <n v="1.4376968061178588"/>
  </r>
  <r>
    <d v="2025-05-01T00:00:00"/>
    <x v="4"/>
    <n v="12921"/>
    <n v="1.8264840182648401E-2"/>
    <n v="236"/>
    <n v="1.2881355932203389"/>
    <n v="23.527590743750483"/>
    <n v="304"/>
    <n v="1.6949152542372881E-2"/>
    <n v="4"/>
    <n v="134"/>
    <n v="536"/>
    <n v="1.763157894736842"/>
  </r>
  <r>
    <d v="2025-05-02T00:00:00"/>
    <x v="4"/>
    <n v="103581"/>
    <n v="1.2936735501684673E-2"/>
    <n v="1340"/>
    <n v="1.3925373134328358"/>
    <n v="18.014886900107161"/>
    <n v="1866"/>
    <n v="1.9402985074626865E-2"/>
    <n v="26"/>
    <n v="107.84615384615384"/>
    <n v="2804"/>
    <n v="1.502679528403001"/>
  </r>
  <r>
    <d v="2025-05-03T00:00:00"/>
    <x v="4"/>
    <n v="54332"/>
    <n v="2.6282853566958697E-2"/>
    <n v="1428"/>
    <n v="1.5336134453781514"/>
    <n v="40.307737613192963"/>
    <n v="2190"/>
    <n v="1.7507002801120448E-2"/>
    <n v="25"/>
    <n v="128.16"/>
    <n v="3204"/>
    <n v="1.463013698630137"/>
  </r>
  <r>
    <d v="2025-05-04T00:00:00"/>
    <x v="4"/>
    <n v="55120"/>
    <n v="2.5725689404934689E-2"/>
    <n v="1418"/>
    <n v="1.5423131170662905"/>
    <n v="39.677068214804066"/>
    <n v="2187"/>
    <n v="2.1861777150916785E-2"/>
    <n v="31"/>
    <n v="152.70967741935485"/>
    <n v="4734"/>
    <n v="2.1646090534979425"/>
  </r>
  <r>
    <d v="2025-05-05T00:00:00"/>
    <x v="4"/>
    <n v="96681"/>
    <n v="1.6642359925942016E-2"/>
    <n v="1609"/>
    <n v="1.9378495960223741"/>
    <n v="32.250390459345681"/>
    <n v="3118"/>
    <n v="2.54816656308266E-2"/>
    <n v="41"/>
    <n v="161.63414634146341"/>
    <n v="6627"/>
    <n v="2.125400898011546"/>
  </r>
  <r>
    <d v="2025-05-06T00:00:00"/>
    <x v="4"/>
    <n v="49655"/>
    <n v="2.0138958815829222E-2"/>
    <n v="1000"/>
    <n v="0.96699999999999997"/>
    <n v="19.474373174906855"/>
    <n v="967"/>
    <n v="1.7999999999999999E-2"/>
    <n v="18"/>
    <n v="166"/>
    <n v="2988"/>
    <n v="3.0899689762150984"/>
  </r>
  <r>
    <d v="2025-05-07T00:00:00"/>
    <x v="4"/>
    <n v="63861"/>
    <n v="2.6620315998809915E-2"/>
    <n v="1700"/>
    <n v="2.2282352941176469"/>
    <n v="59.316327649112921"/>
    <n v="3788"/>
    <n v="1.5294117647058824E-2"/>
    <n v="26"/>
    <n v="104.11538461538461"/>
    <n v="2707"/>
    <n v="0.71462513199577615"/>
  </r>
  <r>
    <d v="2025-05-08T00:00:00"/>
    <x v="4"/>
    <n v="21459"/>
    <n v="2.1110023766251922E-2"/>
    <n v="453"/>
    <n v="1.3134657836644592"/>
    <n v="27.727293909315438"/>
    <n v="595"/>
    <n v="1.3245033112582781E-2"/>
    <n v="6"/>
    <n v="157.83333333333334"/>
    <n v="947"/>
    <n v="1.5915966386554621"/>
  </r>
  <r>
    <d v="2025-05-09T00:00:00"/>
    <x v="4"/>
    <n v="84694"/>
    <n v="2.4594422273124424E-2"/>
    <n v="2083"/>
    <n v="1.1814690350456074"/>
    <n v="29.057548350532503"/>
    <n v="2461"/>
    <n v="2.256361017762842E-2"/>
    <n v="47"/>
    <n v="150.48936170212767"/>
    <n v="7073"/>
    <n v="2.8740349451442504"/>
  </r>
  <r>
    <d v="2025-05-10T00:00:00"/>
    <x v="4"/>
    <n v="67730"/>
    <n v="3.0149121511885427E-2"/>
    <n v="2042"/>
    <n v="1.6699314397649363"/>
    <n v="50.346965893990841"/>
    <n v="3410"/>
    <n v="2.0078354554358472E-2"/>
    <n v="41"/>
    <n v="144.95121951219511"/>
    <n v="5943"/>
    <n v="1.7428152492668623"/>
  </r>
  <r>
    <d v="2025-05-11T00:00:00"/>
    <x v="4"/>
    <n v="11298"/>
    <n v="1.9560984244999115E-2"/>
    <n v="221"/>
    <n v="2.1538461538461537"/>
    <n v="42.131350681536553"/>
    <n v="476"/>
    <n v="1.8099547511312219E-2"/>
    <n v="4"/>
    <n v="111.5"/>
    <n v="446"/>
    <n v="0.93697478991596639"/>
  </r>
  <r>
    <d v="2025-05-12T00:00:00"/>
    <x v="4"/>
    <n v="29109"/>
    <n v="2.8788347246556049E-2"/>
    <n v="838"/>
    <n v="1.5334128878281623"/>
    <n v="44.144422687141429"/>
    <n v="1285"/>
    <n v="1.4319809069212411E-2"/>
    <n v="12"/>
    <n v="200.08333333333334"/>
    <n v="2401"/>
    <n v="1.8684824902723736"/>
  </r>
  <r>
    <d v="2025-05-13T00:00:00"/>
    <x v="4"/>
    <n v="44468"/>
    <n v="1.8732571736979401E-2"/>
    <n v="833"/>
    <n v="1.1548619447779112"/>
    <n v="21.633534226859762"/>
    <n v="962"/>
    <n v="1.5606242496998799E-2"/>
    <n v="13"/>
    <n v="138.61538461538461"/>
    <n v="1802"/>
    <n v="1.8731808731808732"/>
  </r>
  <r>
    <d v="2025-05-14T00:00:00"/>
    <x v="4"/>
    <n v="90661"/>
    <n v="1.669957313508565E-2"/>
    <n v="1514"/>
    <n v="1.9828269484808454"/>
    <n v="33.112363640374582"/>
    <n v="3002"/>
    <n v="1.1889035667107001E-2"/>
    <n v="18"/>
    <n v="122.27777777777777"/>
    <n v="2201"/>
    <n v="0.73317788141239171"/>
  </r>
  <r>
    <d v="2025-05-15T00:00:00"/>
    <x v="4"/>
    <n v="16417"/>
    <n v="2.2842175793384906E-2"/>
    <n v="375"/>
    <n v="0.90133333333333332"/>
    <n v="20.588414448437593"/>
    <n v="338"/>
    <n v="1.8666666666666668E-2"/>
    <n v="7"/>
    <n v="139.57142857142858"/>
    <n v="977"/>
    <n v="2.8905325443786984"/>
  </r>
  <r>
    <d v="2025-05-16T00:00:00"/>
    <x v="4"/>
    <n v="58031"/>
    <n v="2.0213334252382347E-2"/>
    <n v="1173"/>
    <n v="1.1577152600170504"/>
    <n v="23.401285519808379"/>
    <n v="1358"/>
    <n v="2.557544757033248E-2"/>
    <n v="30"/>
    <n v="167.86666666666667"/>
    <n v="5036"/>
    <n v="3.7083946980854199"/>
  </r>
  <r>
    <d v="2025-05-17T00:00:00"/>
    <x v="4"/>
    <n v="47140"/>
    <n v="1.9389053882053458E-2"/>
    <n v="914"/>
    <n v="1.3107221006564551"/>
    <n v="25.413661434026306"/>
    <n v="1198"/>
    <n v="1.6411378555798686E-2"/>
    <n v="15"/>
    <n v="140.53333333333333"/>
    <n v="2108"/>
    <n v="1.7595993322203674"/>
  </r>
  <r>
    <d v="2025-05-18T00:00:00"/>
    <x v="4"/>
    <n v="90411"/>
    <n v="1.5020296202895665E-2"/>
    <n v="1358"/>
    <n v="1.7025036818851251"/>
    <n v="25.572109588435037"/>
    <n v="2312"/>
    <n v="2.5773195876288658E-2"/>
    <n v="35"/>
    <n v="152.42857142857142"/>
    <n v="5335"/>
    <n v="2.3075259515570936"/>
  </r>
  <r>
    <d v="2025-05-19T00:00:00"/>
    <x v="4"/>
    <n v="66203"/>
    <n v="2.8412609700466745E-2"/>
    <n v="1881"/>
    <n v="1.3769271664008507"/>
    <n v="39.122094164916994"/>
    <n v="2590"/>
    <n v="2.2860180754917598E-2"/>
    <n v="43"/>
    <n v="161.46511627906978"/>
    <n v="6943"/>
    <n v="2.6806949806949807"/>
  </r>
  <r>
    <d v="2025-05-20T00:00:00"/>
    <x v="4"/>
    <n v="76395"/>
    <n v="1.0956214411937955E-2"/>
    <n v="837"/>
    <n v="1.2078853046594982"/>
    <n v="13.233850382878462"/>
    <n v="1011"/>
    <n v="1.1947431302270013E-2"/>
    <n v="10"/>
    <n v="118.1"/>
    <n v="1181"/>
    <n v="1.1681503461918892"/>
  </r>
  <r>
    <d v="2025-05-21T00:00:00"/>
    <x v="4"/>
    <n v="91812"/>
    <n v="1.2514703960266632E-2"/>
    <n v="1149"/>
    <n v="1.4656222802436902"/>
    <n v="18.34182895482072"/>
    <n v="1684"/>
    <n v="2.3498694516971279E-2"/>
    <n v="27"/>
    <n v="184.40740740740742"/>
    <n v="4979"/>
    <n v="2.9566508313539193"/>
  </r>
  <r>
    <d v="2025-05-22T00:00:00"/>
    <x v="4"/>
    <n v="58771"/>
    <n v="1.0430314270643684E-2"/>
    <n v="613"/>
    <n v="2.0032626427406197"/>
    <n v="20.894658930424868"/>
    <n v="1228"/>
    <n v="2.4469820554649267E-2"/>
    <n v="15"/>
    <n v="140.19999999999999"/>
    <n v="2103"/>
    <n v="1.7125407166123778"/>
  </r>
  <r>
    <d v="2025-05-23T00:00:00"/>
    <x v="4"/>
    <n v="75641"/>
    <n v="1.3868140294284846E-2"/>
    <n v="1049"/>
    <n v="1.7321258341277408"/>
    <n v="24.021364075038669"/>
    <n v="1817"/>
    <n v="1.7159199237368923E-2"/>
    <n v="18"/>
    <n v="172.22222222222223"/>
    <n v="3100"/>
    <n v="1.7061089708310402"/>
  </r>
  <r>
    <d v="2025-05-24T00:00:00"/>
    <x v="4"/>
    <n v="92985"/>
    <n v="1.0786686024627628E-2"/>
    <n v="1003"/>
    <n v="1.6071784646061815"/>
    <n v="17.336129483249987"/>
    <n v="1612"/>
    <n v="1.6949152542372881E-2"/>
    <n v="17"/>
    <n v="155.70588235294119"/>
    <n v="2647"/>
    <n v="1.6420595533498759"/>
  </r>
  <r>
    <d v="2025-05-25T00:00:00"/>
    <x v="4"/>
    <n v="66186"/>
    <n v="2.5806061704892275E-2"/>
    <n v="1708"/>
    <n v="2.0925058548009368"/>
    <n v="53.999335206841323"/>
    <n v="3574"/>
    <n v="1.405152224824356E-2"/>
    <n v="24"/>
    <n v="142.75"/>
    <n v="3426"/>
    <n v="0.95858981533296028"/>
  </r>
  <r>
    <d v="2025-05-26T00:00:00"/>
    <x v="4"/>
    <n v="78687"/>
    <n v="2.6764268557703304E-2"/>
    <n v="2106"/>
    <n v="1.7155745489078822"/>
    <n v="45.916097957731267"/>
    <n v="3613"/>
    <n v="2.0417853751187084E-2"/>
    <n v="43"/>
    <n v="158.72093023255815"/>
    <n v="6825"/>
    <n v="1.8890119014669251"/>
  </r>
  <r>
    <d v="2025-05-27T00:00:00"/>
    <x v="4"/>
    <n v="30424"/>
    <n v="2.3172495398369707E-2"/>
    <n v="705"/>
    <n v="1.3943262411347517"/>
    <n v="32.310018406521166"/>
    <n v="983"/>
    <n v="1.4184397163120567E-2"/>
    <n v="10"/>
    <n v="182.5"/>
    <n v="1825"/>
    <n v="1.856561546286877"/>
  </r>
  <r>
    <d v="2025-05-28T00:00:00"/>
    <x v="4"/>
    <n v="70366"/>
    <n v="3.1336156666571927E-2"/>
    <n v="2205"/>
    <n v="1.5541950113378684"/>
    <n v="48.702498365687973"/>
    <n v="3427"/>
    <n v="2.0408163265306121E-2"/>
    <n v="45"/>
    <n v="176.55555555555554"/>
    <n v="7945"/>
    <n v="2.3183542456959438"/>
  </r>
  <r>
    <d v="2025-05-29T00:00:00"/>
    <x v="4"/>
    <n v="62817"/>
    <n v="1.8386742442332491E-2"/>
    <n v="1155"/>
    <n v="1.1350649350649351"/>
    <n v="20.870146616361811"/>
    <n v="1311"/>
    <n v="2.4242424242424242E-2"/>
    <n v="28"/>
    <n v="127.39285714285714"/>
    <n v="3567"/>
    <n v="2.7208237986270021"/>
  </r>
  <r>
    <d v="2025-05-30T00:00:00"/>
    <x v="4"/>
    <n v="38503"/>
    <n v="2.8751006415084539E-2"/>
    <n v="1107"/>
    <n v="2.0343270099367659"/>
    <n v="58.48894891307171"/>
    <n v="2252"/>
    <n v="1.7163504968383016E-2"/>
    <n v="19"/>
    <n v="200.84210526315789"/>
    <n v="3816"/>
    <n v="1.6944937833037301"/>
  </r>
  <r>
    <d v="2025-05-31T00:00:00"/>
    <x v="4"/>
    <n v="22102"/>
    <n v="1.5156999366573162E-2"/>
    <n v="335"/>
    <n v="1.2805970149253731"/>
    <n v="19.410008144059361"/>
    <n v="429"/>
    <n v="1.1940298507462687E-2"/>
    <n v="4"/>
    <n v="175.25"/>
    <n v="701"/>
    <n v="1.6340326340326341"/>
  </r>
  <r>
    <d v="2025-06-01T00:00:00"/>
    <x v="5"/>
    <n v="50120"/>
    <n v="2.5698324022346369E-2"/>
    <n v="1288"/>
    <n v="0.98680124223602483"/>
    <n v="25.359138068635275"/>
    <n v="1271"/>
    <n v="1.6304347826086956E-2"/>
    <n v="21"/>
    <n v="135.04761904761904"/>
    <n v="2836"/>
    <n v="2.2313139260424864"/>
  </r>
  <r>
    <d v="2025-06-02T00:00:00"/>
    <x v="5"/>
    <n v="93058"/>
    <n v="1.8096241053966344E-2"/>
    <n v="1684"/>
    <n v="1.9673396674584323"/>
    <n v="35.601452857357778"/>
    <n v="3313"/>
    <n v="2.3752969121140142E-2"/>
    <n v="40"/>
    <n v="100"/>
    <n v="4000"/>
    <n v="1.2073649260488983"/>
  </r>
  <r>
    <d v="2025-06-03T00:00:00"/>
    <x v="5"/>
    <n v="25134"/>
    <n v="2.2996737487069308E-2"/>
    <n v="578"/>
    <n v="1.8442906574394464"/>
    <n v="42.412668098989414"/>
    <n v="1066"/>
    <n v="2.2491349480968859E-2"/>
    <n v="13"/>
    <n v="191.69230769230768"/>
    <n v="2492"/>
    <n v="2.3377110694183867"/>
  </r>
  <r>
    <d v="2025-06-04T00:00:00"/>
    <x v="5"/>
    <n v="54615"/>
    <n v="2.0360706765540602E-2"/>
    <n v="1112"/>
    <n v="1.6960431654676258"/>
    <n v="34.532637553785591"/>
    <n v="1886"/>
    <n v="2.6978417266187049E-2"/>
    <n v="30"/>
    <n v="109.1"/>
    <n v="3273"/>
    <n v="1.7354188759278897"/>
  </r>
  <r>
    <d v="2025-06-05T00:00:00"/>
    <x v="5"/>
    <n v="62835"/>
    <n v="2.9585422137343838E-2"/>
    <n v="1859"/>
    <n v="1.1323292092522861"/>
    <n v="33.500437654173631"/>
    <n v="2105"/>
    <n v="2.097902097902098E-2"/>
    <n v="39"/>
    <n v="132.92307692307693"/>
    <n v="5184"/>
    <n v="2.46270783847981"/>
  </r>
  <r>
    <d v="2025-06-06T00:00:00"/>
    <x v="5"/>
    <n v="76734"/>
    <n v="1.6029400265853467E-2"/>
    <n v="1230"/>
    <n v="1.9829268292682927"/>
    <n v="31.785127844241146"/>
    <n v="2439"/>
    <n v="2.1951219512195121E-2"/>
    <n v="27"/>
    <n v="115.37037037037037"/>
    <n v="3115"/>
    <n v="1.2771627716277163"/>
  </r>
  <r>
    <d v="2025-06-07T00:00:00"/>
    <x v="5"/>
    <n v="71613"/>
    <n v="2.1364835993464875E-2"/>
    <n v="1530"/>
    <n v="1.3143790849673203"/>
    <n v="28.08149358356723"/>
    <n v="2011"/>
    <n v="2.2222222222222223E-2"/>
    <n v="34"/>
    <n v="204.91176470588235"/>
    <n v="6967"/>
    <n v="3.4644455494778716"/>
  </r>
  <r>
    <d v="2025-06-08T00:00:00"/>
    <x v="5"/>
    <n v="91004"/>
    <n v="2.2119906817282757E-2"/>
    <n v="2013"/>
    <n v="1.2717337307501242"/>
    <n v="28.130631620588105"/>
    <n v="2560"/>
    <n v="1.5896671634376552E-2"/>
    <n v="32"/>
    <n v="224.625"/>
    <n v="7188"/>
    <n v="2.8078124999999998"/>
  </r>
  <r>
    <d v="2025-06-09T00:00:00"/>
    <x v="5"/>
    <n v="43271"/>
    <n v="1.3958540361905202E-2"/>
    <n v="604"/>
    <n v="1.5943708609271523"/>
    <n v="22.255090014097203"/>
    <n v="963"/>
    <n v="1.3245033112582781E-2"/>
    <n v="8"/>
    <n v="134.875"/>
    <n v="1079"/>
    <n v="1.1204569055036344"/>
  </r>
  <r>
    <d v="2025-06-10T00:00:00"/>
    <x v="5"/>
    <n v="82193"/>
    <n v="3.0136386310269731E-2"/>
    <n v="2477"/>
    <n v="1.083972547436415"/>
    <n v="32.667015439270983"/>
    <n v="2685"/>
    <n v="1.2515139281388777E-2"/>
    <n v="31"/>
    <n v="125.64516129032258"/>
    <n v="3895"/>
    <n v="1.4506517690875234"/>
  </r>
  <r>
    <d v="2025-06-11T00:00:00"/>
    <x v="5"/>
    <n v="94018"/>
    <n v="1.2391244229828331E-2"/>
    <n v="1165"/>
    <n v="1.2987124463519313"/>
    <n v="16.092663107064606"/>
    <n v="1513"/>
    <n v="1.201716738197425E-2"/>
    <n v="14"/>
    <n v="194.78571428571428"/>
    <n v="2727"/>
    <n v="1.8023793787177793"/>
  </r>
  <r>
    <d v="2025-06-12T00:00:00"/>
    <x v="5"/>
    <n v="18365"/>
    <n v="2.1780560849441872E-2"/>
    <n v="400"/>
    <n v="1.1950000000000001"/>
    <n v="26.027770215083041"/>
    <n v="478"/>
    <n v="0.02"/>
    <n v="8"/>
    <n v="202"/>
    <n v="1616"/>
    <n v="3.3807531380753137"/>
  </r>
  <r>
    <d v="2025-06-13T00:00:00"/>
    <x v="5"/>
    <n v="40263"/>
    <n v="3.0275935722623749E-2"/>
    <n v="1219"/>
    <n v="2.1509433962264151"/>
    <n v="65.121824007152966"/>
    <n v="2622"/>
    <n v="2.461033634126333E-2"/>
    <n v="30"/>
    <n v="168.53333333333333"/>
    <n v="5056"/>
    <n v="1.9282990083905416"/>
  </r>
  <r>
    <d v="2025-06-14T00:00:00"/>
    <x v="5"/>
    <n v="63312"/>
    <n v="1.803765478898155E-2"/>
    <n v="1142"/>
    <n v="1.340630472854641"/>
    <n v="24.181829668941116"/>
    <n v="1531"/>
    <n v="1.9264448336252189E-2"/>
    <n v="22"/>
    <n v="172.5"/>
    <n v="3795"/>
    <n v="2.4787720444154147"/>
  </r>
  <r>
    <d v="2025-06-15T00:00:00"/>
    <x v="5"/>
    <n v="77585"/>
    <n v="2.7402204034284977E-2"/>
    <n v="2126"/>
    <n v="1.2596425211665099"/>
    <n v="34.516981375265843"/>
    <n v="2678"/>
    <n v="2.5399811853245531E-2"/>
    <n v="54"/>
    <n v="174.07407407407408"/>
    <n v="9400"/>
    <n v="3.51008215085885"/>
  </r>
  <r>
    <d v="2025-06-16T00:00:00"/>
    <x v="5"/>
    <n v="87900"/>
    <n v="2.8794084186575655E-2"/>
    <n v="2531"/>
    <n v="1.8672461477676807"/>
    <n v="53.76564277588168"/>
    <n v="4726"/>
    <n v="1.8174634531805612E-2"/>
    <n v="46"/>
    <n v="148.10869565217391"/>
    <n v="6813"/>
    <n v="1.4415996614473128"/>
  </r>
  <r>
    <d v="2025-06-17T00:00:00"/>
    <x v="5"/>
    <n v="30114"/>
    <n v="1.5308494387992295E-2"/>
    <n v="461"/>
    <n v="1.4967462039045554"/>
    <n v="22.912930862721659"/>
    <n v="690"/>
    <n v="1.5184381778741865E-2"/>
    <n v="7"/>
    <n v="157.85714285714286"/>
    <n v="1105"/>
    <n v="1.6014492753623188"/>
  </r>
  <r>
    <d v="2025-06-18T00:00:00"/>
    <x v="5"/>
    <n v="30566"/>
    <n v="1.1025322253484264E-2"/>
    <n v="337"/>
    <n v="2.1632047477744809"/>
    <n v="23.850029444480796"/>
    <n v="729"/>
    <n v="1.7804154302670624E-2"/>
    <n v="6"/>
    <n v="159.16666666666666"/>
    <n v="955"/>
    <n v="1.3100137174211248"/>
  </r>
  <r>
    <d v="2025-06-19T00:00:00"/>
    <x v="5"/>
    <n v="43028"/>
    <n v="2.661057915775774E-2"/>
    <n v="1145"/>
    <n v="1.1423580786026202"/>
    <n v="30.398810077159059"/>
    <n v="1308"/>
    <n v="1.3973799126637555E-2"/>
    <n v="16"/>
    <n v="185.1875"/>
    <n v="2963"/>
    <n v="2.2652905198776758"/>
  </r>
  <r>
    <d v="2025-06-20T00:00:00"/>
    <x v="5"/>
    <n v="58773"/>
    <n v="2.1829751756759056E-2"/>
    <n v="1283"/>
    <n v="1.8152766952455184"/>
    <n v="39.627039627039622"/>
    <n v="2329"/>
    <n v="2.6500389711613406E-2"/>
    <n v="34"/>
    <n v="178.97058823529412"/>
    <n v="6085"/>
    <n v="2.6127093173035636"/>
  </r>
  <r>
    <d v="2025-06-21T00:00:00"/>
    <x v="5"/>
    <n v="72129"/>
    <n v="2.9890889933313923E-2"/>
    <n v="2156"/>
    <n v="1.5222634508348794"/>
    <n v="45.50180925841201"/>
    <n v="3282"/>
    <n v="1.8552875695732839E-2"/>
    <n v="40"/>
    <n v="172.6"/>
    <n v="6904"/>
    <n v="2.1035953686776354"/>
  </r>
  <r>
    <d v="2025-06-22T00:00:00"/>
    <x v="5"/>
    <n v="82176"/>
    <n v="2.7733158099688474E-2"/>
    <n v="2279"/>
    <n v="1.7902588854760859"/>
    <n v="49.649532710280376"/>
    <n v="4080"/>
    <n v="1.7551557700745943E-2"/>
    <n v="40"/>
    <n v="151.94999999999999"/>
    <n v="6078"/>
    <n v="1.4897058823529412"/>
  </r>
  <r>
    <d v="2025-06-23T00:00:00"/>
    <x v="5"/>
    <n v="65342"/>
    <n v="1.4661320437084877E-2"/>
    <n v="958"/>
    <n v="2.0219206680584549"/>
    <n v="29.644026812769734"/>
    <n v="1937"/>
    <n v="2.1920668058455117E-2"/>
    <n v="21"/>
    <n v="167.61904761904762"/>
    <n v="3520"/>
    <n v="1.8172431595250387"/>
  </r>
  <r>
    <d v="2025-06-24T00:00:00"/>
    <x v="5"/>
    <n v="65538"/>
    <n v="1.2633891787970338E-2"/>
    <n v="828"/>
    <n v="1.7608695652173914"/>
    <n v="22.246635539686899"/>
    <n v="1458"/>
    <n v="2.0531400966183576E-2"/>
    <n v="17"/>
    <n v="131.94117647058823"/>
    <n v="2243"/>
    <n v="1.5384087791495198"/>
  </r>
  <r>
    <d v="2025-06-25T00:00:00"/>
    <x v="5"/>
    <n v="30692"/>
    <n v="1.5802163430209827E-2"/>
    <n v="485"/>
    <n v="1.2783505154639174"/>
    <n v="20.200703766453799"/>
    <n v="620"/>
    <n v="1.6494845360824743E-2"/>
    <n v="8"/>
    <n v="202"/>
    <n v="1616"/>
    <n v="2.6064516129032258"/>
  </r>
  <r>
    <d v="2025-06-26T00:00:00"/>
    <x v="5"/>
    <n v="74313"/>
    <n v="1.6672722134754351E-2"/>
    <n v="1239"/>
    <n v="1.6763518966908797"/>
    <n v="27.949349373595467"/>
    <n v="2077"/>
    <n v="2.2598870056497175E-2"/>
    <n v="28"/>
    <n v="165.78571428571428"/>
    <n v="4642"/>
    <n v="2.2349542609532982"/>
  </r>
  <r>
    <d v="2025-06-27T00:00:00"/>
    <x v="5"/>
    <n v="27726"/>
    <n v="2.5715934501911564E-2"/>
    <n v="713"/>
    <n v="1.9971949509116409"/>
    <n v="51.359734545192239"/>
    <n v="1424"/>
    <n v="2.1037868162692847E-2"/>
    <n v="15"/>
    <n v="147.80000000000001"/>
    <n v="2217"/>
    <n v="1.5568820224719102"/>
  </r>
  <r>
    <d v="2025-06-28T00:00:00"/>
    <x v="5"/>
    <n v="23031"/>
    <n v="2.0711215318483783E-2"/>
    <n v="477"/>
    <n v="1.8113207547169812"/>
    <n v="37.514654161781948"/>
    <n v="864"/>
    <n v="1.8867924528301886E-2"/>
    <n v="9"/>
    <n v="172.11111111111111"/>
    <n v="1549"/>
    <n v="1.7928240740740742"/>
  </r>
  <r>
    <d v="2025-06-29T00:00:00"/>
    <x v="5"/>
    <n v="27504"/>
    <n v="1.5234147760325771E-2"/>
    <n v="419"/>
    <n v="1.1288782816229117"/>
    <n v="17.197498545666082"/>
    <n v="473"/>
    <n v="2.1479713603818614E-2"/>
    <n v="9"/>
    <n v="164.33333333333334"/>
    <n v="1479"/>
    <n v="3.1268498942917549"/>
  </r>
  <r>
    <d v="2025-06-30T00:00:00"/>
    <x v="5"/>
    <n v="41452"/>
    <n v="2.0336775065135579E-2"/>
    <n v="843"/>
    <n v="1.9406880189798339"/>
    <n v="39.467335713596448"/>
    <n v="1636"/>
    <n v="2.0166073546856466E-2"/>
    <n v="17"/>
    <n v="149.23529411764707"/>
    <n v="2537"/>
    <n v="1.5507334963325183"/>
  </r>
  <r>
    <d v="2025-07-01T00:00:00"/>
    <x v="6"/>
    <n v="84189"/>
    <n v="2.7937141431778497E-2"/>
    <n v="2352"/>
    <n v="1.3877551020408163"/>
    <n v="38.769910558386492"/>
    <n v="3264"/>
    <n v="1.9557823129251702E-2"/>
    <n v="46"/>
    <n v="177.34782608695653"/>
    <n v="8158"/>
    <n v="2.4993872549019609"/>
  </r>
  <r>
    <d v="2025-07-02T00:00:00"/>
    <x v="6"/>
    <n v="25428"/>
    <n v="2.5051124744376277E-2"/>
    <n v="637"/>
    <n v="1.0345368916797488"/>
    <n v="25.916312726128677"/>
    <n v="659"/>
    <n v="2.197802197802198E-2"/>
    <n v="14"/>
    <n v="163.57142857142858"/>
    <n v="2290"/>
    <n v="3.4749620637329288"/>
  </r>
  <r>
    <d v="2025-07-03T00:00:00"/>
    <x v="6"/>
    <n v="61279"/>
    <n v="1.9288826514792995E-2"/>
    <n v="1182"/>
    <n v="1.8604060913705585"/>
    <n v="35.885050343510827"/>
    <n v="2199"/>
    <n v="1.3536379018612521E-2"/>
    <n v="16"/>
    <n v="153.625"/>
    <n v="2458"/>
    <n v="1.1177808094588448"/>
  </r>
  <r>
    <d v="2025-07-04T00:00:00"/>
    <x v="6"/>
    <n v="71106"/>
    <n v="1.748094394284589E-2"/>
    <n v="1243"/>
    <n v="1.1069991954947707"/>
    <n v="19.35139088121959"/>
    <n v="1376"/>
    <n v="1.4481094127111826E-2"/>
    <n v="18"/>
    <n v="176.72222222222223"/>
    <n v="3181"/>
    <n v="2.3117732558139537"/>
  </r>
  <r>
    <d v="2025-07-05T00:00:00"/>
    <x v="6"/>
    <n v="88949"/>
    <n v="2.5700120293651419E-2"/>
    <n v="2286"/>
    <n v="1.568678915135608"/>
    <n v="40.315236821099731"/>
    <n v="3586"/>
    <n v="1.2248468941382326E-2"/>
    <n v="28"/>
    <n v="161.39285714285714"/>
    <n v="4519"/>
    <n v="1.2601784718349136"/>
  </r>
  <r>
    <d v="2025-07-06T00:00:00"/>
    <x v="6"/>
    <n v="26132"/>
    <n v="2.0893923159344865E-2"/>
    <n v="546"/>
    <n v="1.3864468864468864"/>
    <n v="28.96831470993418"/>
    <n v="757"/>
    <n v="1.282051282051282E-2"/>
    <n v="7"/>
    <n v="127.57142857142857"/>
    <n v="893"/>
    <n v="1.179656538969617"/>
  </r>
  <r>
    <d v="2025-07-07T00:00:00"/>
    <x v="6"/>
    <n v="43244"/>
    <n v="2.7448894644343726E-2"/>
    <n v="1187"/>
    <n v="1.5408593091828138"/>
    <n v="42.294884839515312"/>
    <n v="1829"/>
    <n v="2.1903959561920809E-2"/>
    <n v="26"/>
    <n v="158.34615384615384"/>
    <n v="4117"/>
    <n v="2.2509568069983596"/>
  </r>
  <r>
    <d v="2025-07-08T00:00:00"/>
    <x v="6"/>
    <n v="75861"/>
    <n v="1.7769341295263707E-2"/>
    <n v="1348"/>
    <n v="2.0445103857566767"/>
    <n v="36.329602826221638"/>
    <n v="2756"/>
    <n v="2.2997032640949554E-2"/>
    <n v="31"/>
    <n v="99.548387096774192"/>
    <n v="3086"/>
    <n v="1.1197387518142234"/>
  </r>
  <r>
    <d v="2025-07-09T00:00:00"/>
    <x v="6"/>
    <n v="53933"/>
    <n v="1.6761537463148721E-2"/>
    <n v="904"/>
    <n v="1.711283185840708"/>
    <n v="28.683737229525523"/>
    <n v="1547"/>
    <n v="1.8805309734513276E-2"/>
    <n v="17"/>
    <n v="109.52941176470588"/>
    <n v="1862"/>
    <n v="1.2036199095022624"/>
  </r>
  <r>
    <d v="2025-07-10T00:00:00"/>
    <x v="6"/>
    <n v="49348"/>
    <n v="2.6971711112912376E-2"/>
    <n v="1331"/>
    <n v="1.391435011269722"/>
    <n v="37.529383156358918"/>
    <n v="1852"/>
    <n v="1.2021036814425245E-2"/>
    <n v="16"/>
    <n v="138.9375"/>
    <n v="2223"/>
    <n v="1.2003239740820735"/>
  </r>
  <r>
    <d v="2025-07-11T00:00:00"/>
    <x v="6"/>
    <n v="82290"/>
    <n v="1.3561793656580386E-2"/>
    <n v="1116"/>
    <n v="1.3826164874551972"/>
    <n v="18.750759509053346"/>
    <n v="1543"/>
    <n v="1.5232974910394265E-2"/>
    <n v="17"/>
    <n v="167"/>
    <n v="2839"/>
    <n v="1.8399222294232016"/>
  </r>
  <r>
    <d v="2025-07-12T00:00:00"/>
    <x v="6"/>
    <n v="88328"/>
    <n v="3.1156598134226974E-2"/>
    <n v="2752"/>
    <n v="1.2223837209302326"/>
    <n v="38.085318358844304"/>
    <n v="3364"/>
    <n v="2.2892441860465115E-2"/>
    <n v="63"/>
    <n v="161.26984126984127"/>
    <n v="10160"/>
    <n v="3.0202140309155765"/>
  </r>
  <r>
    <d v="2025-07-13T00:00:00"/>
    <x v="6"/>
    <n v="39140"/>
    <n v="3.0199284619315279E-2"/>
    <n v="1182"/>
    <n v="1.5253807106598984"/>
    <n v="46.065406234031677"/>
    <n v="1803"/>
    <n v="1.7766497461928935E-2"/>
    <n v="21"/>
    <n v="210.14285714285714"/>
    <n v="4413"/>
    <n v="2.4475873544093179"/>
  </r>
  <r>
    <d v="2025-07-14T00:00:00"/>
    <x v="6"/>
    <n v="51534"/>
    <n v="1.317576745449606E-2"/>
    <n v="679"/>
    <n v="1.6008836524300443"/>
    <n v="21.092870726122559"/>
    <n v="1087"/>
    <n v="2.0618556701030927E-2"/>
    <n v="14"/>
    <n v="200"/>
    <n v="2800"/>
    <n v="2.5758969641214353"/>
  </r>
  <r>
    <d v="2025-07-15T00:00:00"/>
    <x v="6"/>
    <n v="66793"/>
    <n v="1.7426975880706061E-2"/>
    <n v="1164"/>
    <n v="1.8505154639175259"/>
    <n v="32.248888356564308"/>
    <n v="2154"/>
    <n v="1.9759450171821305E-2"/>
    <n v="23"/>
    <n v="154.60869565217391"/>
    <n v="3556"/>
    <n v="1.6508820798514392"/>
  </r>
  <r>
    <d v="2025-07-16T00:00:00"/>
    <x v="6"/>
    <n v="78188"/>
    <n v="2.5835166521716888E-2"/>
    <n v="2020"/>
    <n v="1.7589108910891089"/>
    <n v="45.44175576814856"/>
    <n v="3553"/>
    <n v="2.6237623762376237E-2"/>
    <n v="53"/>
    <n v="119.56603773584905"/>
    <n v="6337"/>
    <n v="1.7835631860399663"/>
  </r>
  <r>
    <d v="2025-07-17T00:00:00"/>
    <x v="6"/>
    <n v="45734"/>
    <n v="2.7550618795644379E-2"/>
    <n v="1260"/>
    <n v="1.373015873015873"/>
    <n v="37.827436917829182"/>
    <n v="1730"/>
    <n v="1.6666666666666666E-2"/>
    <n v="21"/>
    <n v="193.52380952380952"/>
    <n v="4064"/>
    <n v="2.3491329479768788"/>
  </r>
  <r>
    <d v="2025-07-18T00:00:00"/>
    <x v="6"/>
    <n v="73680"/>
    <n v="2.1294788273615636E-2"/>
    <n v="1569"/>
    <n v="2.0701083492670489"/>
    <n v="44.082519001085771"/>
    <n v="3248"/>
    <n v="1.4021669853409816E-2"/>
    <n v="22"/>
    <n v="119.36363636363636"/>
    <n v="2626"/>
    <n v="0.80849753694581283"/>
  </r>
  <r>
    <d v="2025-07-19T00:00:00"/>
    <x v="6"/>
    <n v="30301"/>
    <n v="1.4322959638295767E-2"/>
    <n v="434"/>
    <n v="1.2188940092165899"/>
    <n v="17.458169697369726"/>
    <n v="529"/>
    <n v="2.5345622119815669E-2"/>
    <n v="11"/>
    <n v="131.09090909090909"/>
    <n v="1442"/>
    <n v="2.7258979206049148"/>
  </r>
  <r>
    <d v="2025-07-20T00:00:00"/>
    <x v="6"/>
    <n v="30343"/>
    <n v="3.2758791154467261E-2"/>
    <n v="994"/>
    <n v="1.4386317907444668"/>
    <n v="47.127838381175231"/>
    <n v="1430"/>
    <n v="1.2072434607645875E-2"/>
    <n v="12"/>
    <n v="170.58333333333334"/>
    <n v="2047"/>
    <n v="1.4314685314685314"/>
  </r>
  <r>
    <d v="2025-07-21T00:00:00"/>
    <x v="6"/>
    <n v="21615"/>
    <n v="1.2445061300023132E-2"/>
    <n v="269"/>
    <n v="1.312267657992565"/>
    <n v="16.331251445755264"/>
    <n v="353"/>
    <n v="2.6022304832713755E-2"/>
    <n v="7"/>
    <n v="129.85714285714286"/>
    <n v="909"/>
    <n v="2.5750708215297449"/>
  </r>
  <r>
    <d v="2025-07-22T00:00:00"/>
    <x v="6"/>
    <n v="21183"/>
    <n v="1.7655667280366331E-2"/>
    <n v="374"/>
    <n v="1.7941176470588236"/>
    <n v="31.676344238304299"/>
    <n v="671"/>
    <n v="1.3368983957219251E-2"/>
    <n v="5"/>
    <n v="118"/>
    <n v="590"/>
    <n v="0.87928464977645304"/>
  </r>
  <r>
    <d v="2025-07-23T00:00:00"/>
    <x v="6"/>
    <n v="16435"/>
    <n v="2.251292972315181E-2"/>
    <n v="370"/>
    <n v="1.827027027027027"/>
    <n v="41.131731061758444"/>
    <n v="676"/>
    <n v="2.1621621621621623E-2"/>
    <n v="8"/>
    <n v="191.5"/>
    <n v="1532"/>
    <n v="2.2662721893491122"/>
  </r>
  <r>
    <d v="2025-07-24T00:00:00"/>
    <x v="6"/>
    <n v="86669"/>
    <n v="2.4160887976092952E-2"/>
    <n v="2094"/>
    <n v="1.063992359121299"/>
    <n v="25.707000196148567"/>
    <n v="2228"/>
    <n v="1.5759312320916905E-2"/>
    <n v="33"/>
    <n v="113"/>
    <n v="3729"/>
    <n v="1.6736983842010773"/>
  </r>
  <r>
    <d v="2025-07-25T00:00:00"/>
    <x v="6"/>
    <n v="41574"/>
    <n v="1.0391109828258046E-2"/>
    <n v="432"/>
    <n v="1.212962962962963"/>
    <n v="12.604031365757445"/>
    <n v="524"/>
    <n v="2.0833333333333332E-2"/>
    <n v="9"/>
    <n v="170.11111111111111"/>
    <n v="1531"/>
    <n v="2.9217557251908395"/>
  </r>
  <r>
    <d v="2025-07-26T00:00:00"/>
    <x v="6"/>
    <n v="18458"/>
    <n v="1.874525950807238E-2"/>
    <n v="346"/>
    <n v="1.4364161849710984"/>
    <n v="26.925994148878537"/>
    <n v="497"/>
    <n v="2.3121387283236993E-2"/>
    <n v="8"/>
    <n v="145.5"/>
    <n v="1164"/>
    <n v="2.3420523138832996"/>
  </r>
  <r>
    <d v="2025-07-27T00:00:00"/>
    <x v="6"/>
    <n v="50558"/>
    <n v="3.1211677677123306E-2"/>
    <n v="1578"/>
    <n v="1.8314321926489228"/>
    <n v="57.16207128446537"/>
    <n v="2890"/>
    <n v="1.3307984790874524E-2"/>
    <n v="21"/>
    <n v="132.76190476190476"/>
    <n v="2788"/>
    <n v="0.96470588235294119"/>
  </r>
  <r>
    <d v="2025-07-28T00:00:00"/>
    <x v="6"/>
    <n v="82330"/>
    <n v="1.327584112717114E-2"/>
    <n v="1093"/>
    <n v="1.9679780420860018"/>
    <n v="26.12656382849508"/>
    <n v="2151"/>
    <n v="1.8298261665141813E-2"/>
    <n v="20"/>
    <n v="115.65"/>
    <n v="2313"/>
    <n v="1.0753138075313808"/>
  </r>
  <r>
    <d v="2025-07-29T00:00:00"/>
    <x v="6"/>
    <n v="39166"/>
    <n v="2.5379155389878977E-2"/>
    <n v="994"/>
    <n v="1.2454728370221329"/>
    <n v="31.609048664658125"/>
    <n v="1238"/>
    <n v="1.7102615694164991E-2"/>
    <n v="17"/>
    <n v="162.70588235294119"/>
    <n v="2766"/>
    <n v="2.234248788368336"/>
  </r>
  <r>
    <d v="2025-07-30T00:00:00"/>
    <x v="6"/>
    <n v="50849"/>
    <n v="1.6814489960471198E-2"/>
    <n v="855"/>
    <n v="1.039766081871345"/>
    <n v="17.483136344864207"/>
    <n v="889"/>
    <n v="1.5204678362573099E-2"/>
    <n v="13"/>
    <n v="169.53846153846155"/>
    <n v="2204"/>
    <n v="2.4791901012373452"/>
  </r>
  <r>
    <d v="2025-07-31T00:00:00"/>
    <x v="6"/>
    <n v="37335"/>
    <n v="2.2740056247488951E-2"/>
    <n v="849"/>
    <n v="1.9316843345111896"/>
    <n v="43.926610419177713"/>
    <n v="1640"/>
    <n v="2.1201413427561839E-2"/>
    <n v="18"/>
    <n v="165.27777777777777"/>
    <n v="2975"/>
    <n v="1.8140243902439024"/>
  </r>
  <r>
    <d v="2025-08-01T00:00:00"/>
    <x v="7"/>
    <n v="51942"/>
    <n v="1.6556928882214779E-2"/>
    <n v="860"/>
    <n v="1.3523255813953488"/>
    <n v="22.390358476762543"/>
    <n v="1163"/>
    <n v="1.5116279069767442E-2"/>
    <n v="13"/>
    <n v="165.92307692307693"/>
    <n v="2157"/>
    <n v="1.8546861564918316"/>
  </r>
  <r>
    <d v="2025-08-02T00:00:00"/>
    <x v="7"/>
    <n v="52511"/>
    <n v="1.5196815905238902E-2"/>
    <n v="798"/>
    <n v="1.1791979949874687"/>
    <n v="17.920054845651386"/>
    <n v="941"/>
    <n v="2.3809523809523808E-2"/>
    <n v="19"/>
    <n v="125.42105263157895"/>
    <n v="2383"/>
    <n v="2.5324123273113708"/>
  </r>
  <r>
    <d v="2025-08-03T00:00:00"/>
    <x v="7"/>
    <n v="72199"/>
    <n v="2.7244144655743156E-2"/>
    <n v="1967"/>
    <n v="1.4590747330960854"/>
    <n v="39.751243092009588"/>
    <n v="2870"/>
    <n v="2.3894255210981191E-2"/>
    <n v="47"/>
    <n v="137.44680851063831"/>
    <n v="6460"/>
    <n v="2.250871080139373"/>
  </r>
  <r>
    <d v="2025-08-04T00:00:00"/>
    <x v="7"/>
    <n v="41541"/>
    <n v="1.7741508389302135E-2"/>
    <n v="737"/>
    <n v="1.7449118046132972"/>
    <n v="30.957367420139143"/>
    <n v="1286"/>
    <n v="1.7639077340569877E-2"/>
    <n v="13"/>
    <n v="159.76923076923077"/>
    <n v="2077"/>
    <n v="1.6150855365474339"/>
  </r>
  <r>
    <d v="2025-08-05T00:00:00"/>
    <x v="7"/>
    <n v="37318"/>
    <n v="2.3259553030709042E-2"/>
    <n v="868"/>
    <n v="1.564516129032258"/>
    <n v="36.389945870625439"/>
    <n v="1358"/>
    <n v="1.7281105990783412E-2"/>
    <n v="15"/>
    <n v="132.93333333333334"/>
    <n v="1994"/>
    <n v="1.4683357879234167"/>
  </r>
  <r>
    <d v="2025-08-06T00:00:00"/>
    <x v="7"/>
    <n v="44137"/>
    <n v="1.4454992409996148E-2"/>
    <n v="638"/>
    <n v="1.0752351097178683"/>
    <n v="15.542515349933163"/>
    <n v="686"/>
    <n v="2.1943573667711599E-2"/>
    <n v="14"/>
    <n v="133.5"/>
    <n v="1869"/>
    <n v="2.7244897959183674"/>
  </r>
  <r>
    <d v="2025-08-07T00:00:00"/>
    <x v="7"/>
    <n v="58673"/>
    <n v="3.4768973803964348E-2"/>
    <n v="2040"/>
    <n v="1.6642156862745099"/>
    <n v="57.863071600224977"/>
    <n v="3395"/>
    <n v="2.0098039215686276E-2"/>
    <n v="41"/>
    <n v="191.78048780487805"/>
    <n v="7863"/>
    <n v="2.3160530191458029"/>
  </r>
  <r>
    <d v="2025-08-08T00:00:00"/>
    <x v="7"/>
    <n v="106960"/>
    <n v="1.5510471204188482E-2"/>
    <n v="1659"/>
    <n v="1.1470765521398434"/>
    <n v="17.791697830964846"/>
    <n v="1903"/>
    <n v="1.9891500904159132E-2"/>
    <n v="33"/>
    <n v="132.96969696969697"/>
    <n v="4388"/>
    <n v="2.3058328954282712"/>
  </r>
  <r>
    <d v="2025-08-09T00:00:00"/>
    <x v="7"/>
    <n v="35706"/>
    <n v="9.9703131126421332E-3"/>
    <n v="356"/>
    <n v="1.300561797752809"/>
    <n v="12.967008345936256"/>
    <n v="463"/>
    <n v="2.5280898876404494E-2"/>
    <n v="9"/>
    <n v="118.33333333333333"/>
    <n v="1065"/>
    <n v="2.3002159827213822"/>
  </r>
  <r>
    <d v="2025-08-10T00:00:00"/>
    <x v="7"/>
    <n v="52249"/>
    <n v="2.4612911251889989E-2"/>
    <n v="1286"/>
    <n v="1.8771384136858476"/>
    <n v="46.201841183563317"/>
    <n v="2414"/>
    <n v="1.088646967340591E-2"/>
    <n v="14"/>
    <n v="164.21428571428572"/>
    <n v="2299"/>
    <n v="0.95236122618061314"/>
  </r>
  <r>
    <d v="2025-08-11T00:00:00"/>
    <x v="7"/>
    <n v="80576"/>
    <n v="1.4309471803018269E-2"/>
    <n v="1153"/>
    <n v="1.7935819601040763"/>
    <n v="25.665210484511519"/>
    <n v="2068"/>
    <n v="2.2549869904596703E-2"/>
    <n v="26"/>
    <n v="114.61538461538461"/>
    <n v="2980"/>
    <n v="1.4410058027079304"/>
  </r>
  <r>
    <d v="2025-08-12T00:00:00"/>
    <x v="7"/>
    <n v="17630"/>
    <n v="1.7413499716392514E-2"/>
    <n v="307"/>
    <n v="1.9185667752442996"/>
    <n v="33.408961996596709"/>
    <n v="589"/>
    <n v="1.9543973941368076E-2"/>
    <n v="6"/>
    <n v="181"/>
    <n v="1086"/>
    <n v="1.8438030560271648"/>
  </r>
  <r>
    <d v="2025-08-13T00:00:00"/>
    <x v="7"/>
    <n v="53805"/>
    <n v="1.3976396245702072E-2"/>
    <n v="752"/>
    <n v="1.5132978723404256"/>
    <n v="21.150450701607657"/>
    <n v="1138"/>
    <n v="1.1968085106382979E-2"/>
    <n v="9"/>
    <n v="114.77777777777777"/>
    <n v="1033"/>
    <n v="0.90773286467486825"/>
  </r>
  <r>
    <d v="2025-08-14T00:00:00"/>
    <x v="7"/>
    <n v="87678"/>
    <n v="2.2069390268938616E-2"/>
    <n v="1935"/>
    <n v="1.4098191214470284"/>
    <n v="31.11384839982664"/>
    <n v="2728"/>
    <n v="1.8604651162790697E-2"/>
    <n v="36"/>
    <n v="203.27777777777777"/>
    <n v="7318"/>
    <n v="2.6825513196480939"/>
  </r>
  <r>
    <d v="2025-08-15T00:00:00"/>
    <x v="7"/>
    <n v="67967"/>
    <n v="3.0514808657142435E-2"/>
    <n v="2074"/>
    <n v="1.6967213114754098"/>
    <n v="51.775126164167908"/>
    <n v="3519"/>
    <n v="1.3500482160077145E-2"/>
    <n v="28"/>
    <n v="128.53571428571428"/>
    <n v="3599"/>
    <n v="1.0227337311736289"/>
  </r>
  <r>
    <d v="2025-08-16T00:00:00"/>
    <x v="7"/>
    <n v="28092"/>
    <n v="2.523850206464474E-2"/>
    <n v="709"/>
    <n v="1.1184767277856136"/>
    <n v="28.228677203474302"/>
    <n v="793"/>
    <n v="1.4104372355430184E-2"/>
    <n v="10"/>
    <n v="147.30000000000001"/>
    <n v="1473"/>
    <n v="1.8575031525851198"/>
  </r>
  <r>
    <d v="2025-08-17T00:00:00"/>
    <x v="7"/>
    <n v="95908"/>
    <n v="1.3804896359010719E-2"/>
    <n v="1324"/>
    <n v="1.6510574018126889"/>
    <n v="22.792676314801685"/>
    <n v="2186"/>
    <n v="1.7371601208459216E-2"/>
    <n v="23"/>
    <n v="164"/>
    <n v="3772"/>
    <n v="1.7255260750228729"/>
  </r>
  <r>
    <d v="2025-08-18T00:00:00"/>
    <x v="7"/>
    <n v="78748"/>
    <n v="1.8984609132930361E-2"/>
    <n v="1495"/>
    <n v="1.5183946488294315"/>
    <n v="28.82612891755981"/>
    <n v="2270"/>
    <n v="2.3411371237458192E-2"/>
    <n v="35"/>
    <n v="140"/>
    <n v="4900"/>
    <n v="2.158590308370044"/>
  </r>
  <r>
    <d v="2025-08-19T00:00:00"/>
    <x v="7"/>
    <n v="11723"/>
    <n v="2.1325599249338908E-2"/>
    <n v="250"/>
    <n v="1.5880000000000001"/>
    <n v="33.865051607950178"/>
    <n v="397"/>
    <n v="0.02"/>
    <n v="5"/>
    <n v="142.80000000000001"/>
    <n v="714"/>
    <n v="1.7984886649874054"/>
  </r>
  <r>
    <d v="2025-08-20T00:00:00"/>
    <x v="7"/>
    <n v="13511"/>
    <n v="2.0057730737917251E-2"/>
    <n v="271"/>
    <n v="1.8228782287822878"/>
    <n v="36.562800680926657"/>
    <n v="494"/>
    <n v="1.4760147601476014E-2"/>
    <n v="4"/>
    <n v="164.25"/>
    <n v="657"/>
    <n v="1.3299595141700404"/>
  </r>
  <r>
    <d v="2025-08-21T00:00:00"/>
    <x v="7"/>
    <n v="11744"/>
    <n v="1.6433923705722071E-2"/>
    <n v="193"/>
    <n v="1.2383419689119171"/>
    <n v="20.350817438692097"/>
    <n v="239"/>
    <n v="1.5544041450777202E-2"/>
    <n v="3"/>
    <n v="213"/>
    <n v="639"/>
    <n v="2.6736401673640167"/>
  </r>
  <r>
    <d v="2025-08-22T00:00:00"/>
    <x v="7"/>
    <n v="55379"/>
    <n v="2.3221798876830568E-2"/>
    <n v="1286"/>
    <n v="1.9494556765163298"/>
    <n v="45.269867639357884"/>
    <n v="2507"/>
    <n v="1.3996889580093312E-2"/>
    <n v="18"/>
    <n v="178.72222222222223"/>
    <n v="3217"/>
    <n v="1.2832070203430395"/>
  </r>
  <r>
    <d v="2025-08-23T00:00:00"/>
    <x v="7"/>
    <n v="92269"/>
    <n v="2.2813729421582548E-2"/>
    <n v="2105"/>
    <n v="1.2812351543942992"/>
    <n v="29.229752137771079"/>
    <n v="2697"/>
    <n v="1.7577197149643706E-2"/>
    <n v="37"/>
    <n v="151.51351351351352"/>
    <n v="5606"/>
    <n v="2.0786058583611422"/>
  </r>
  <r>
    <d v="2025-08-24T00:00:00"/>
    <x v="7"/>
    <n v="24200"/>
    <n v="3.1115702479338841E-2"/>
    <n v="753"/>
    <n v="1.1872509960159363"/>
    <n v="36.942148760330582"/>
    <n v="894"/>
    <n v="1.9920318725099601E-2"/>
    <n v="15"/>
    <n v="156.33333333333334"/>
    <n v="2345"/>
    <n v="2.6230425055928412"/>
  </r>
  <r>
    <d v="2025-08-25T00:00:00"/>
    <x v="7"/>
    <n v="94898"/>
    <n v="1.4109886404349934E-2"/>
    <n v="1339"/>
    <n v="1.9574309185959671"/>
    <n v="27.619127905751441"/>
    <n v="2621"/>
    <n v="1.7923823749066467E-2"/>
    <n v="24"/>
    <n v="185.25"/>
    <n v="4446"/>
    <n v="1.6962991224723387"/>
  </r>
  <r>
    <d v="2025-08-26T00:00:00"/>
    <x v="7"/>
    <n v="82128"/>
    <n v="1.5402785895187999E-2"/>
    <n v="1265"/>
    <n v="1.8213438735177865"/>
    <n v="28.053769725306839"/>
    <n v="2304"/>
    <n v="1.9762845849802372E-2"/>
    <n v="25"/>
    <n v="144.63999999999999"/>
    <n v="3616"/>
    <n v="1.5694444444444444"/>
  </r>
  <r>
    <d v="2025-08-27T00:00:00"/>
    <x v="7"/>
    <n v="59574"/>
    <n v="2.3147681874643302E-2"/>
    <n v="1379"/>
    <n v="1.9456127628716462"/>
    <n v="45.036425286198678"/>
    <n v="2683"/>
    <n v="1.7403915881073241E-2"/>
    <n v="24"/>
    <n v="126.04166666666667"/>
    <n v="3025"/>
    <n v="1.1274692508386135"/>
  </r>
  <r>
    <d v="2025-08-28T00:00:00"/>
    <x v="7"/>
    <n v="24834"/>
    <n v="1.5543206893774664E-2"/>
    <n v="386"/>
    <n v="1.7072538860103628"/>
    <n v="26.536200370459852"/>
    <n v="659"/>
    <n v="1.0362694300518135E-2"/>
    <n v="4"/>
    <n v="171.5"/>
    <n v="686"/>
    <n v="1.0409711684370258"/>
  </r>
  <r>
    <d v="2025-08-29T00:00:00"/>
    <x v="7"/>
    <n v="52708"/>
    <n v="1.1743947787812096E-2"/>
    <n v="619"/>
    <n v="1.4474959612277867"/>
    <n v="16.999316991728012"/>
    <n v="896"/>
    <n v="2.2617124394184167E-2"/>
    <n v="14"/>
    <n v="165.21428571428572"/>
    <n v="2313"/>
    <n v="2.5814732142857144"/>
  </r>
  <r>
    <d v="2025-08-30T00:00:00"/>
    <x v="7"/>
    <n v="15425"/>
    <n v="1.8930307941653162E-2"/>
    <n v="292"/>
    <n v="2.1232876712328768"/>
    <n v="40.194489465153971"/>
    <n v="620"/>
    <n v="1.7123287671232876E-2"/>
    <n v="5"/>
    <n v="120.6"/>
    <n v="603"/>
    <n v="0.97258064516129028"/>
  </r>
  <r>
    <d v="2025-08-31T00:00:00"/>
    <x v="7"/>
    <n v="71281"/>
    <n v="1.8784809416253982E-2"/>
    <n v="1339"/>
    <n v="0.99402539208364449"/>
    <n v="18.672577545208398"/>
    <n v="1331"/>
    <n v="1.568334578043316E-2"/>
    <n v="21"/>
    <n v="134.33333333333334"/>
    <n v="2821"/>
    <n v="2.1194590533433511"/>
  </r>
  <r>
    <d v="2025-09-01T00:00:00"/>
    <x v="8"/>
    <n v="86224"/>
    <n v="1.4729077750974207E-2"/>
    <n v="1270"/>
    <n v="2.0677165354330707"/>
    <n v="30.455557617368711"/>
    <n v="2626"/>
    <n v="2.2047244094488189E-2"/>
    <n v="28"/>
    <n v="117.75"/>
    <n v="3297"/>
    <n v="1.2555217060167556"/>
  </r>
  <r>
    <d v="2025-09-02T00:00:00"/>
    <x v="8"/>
    <n v="54980"/>
    <n v="2.7937431793379409E-2"/>
    <n v="1536"/>
    <n v="0.91927083333333337"/>
    <n v="25.682066205893054"/>
    <n v="1412"/>
    <n v="1.6276041666666668E-2"/>
    <n v="25"/>
    <n v="108.2"/>
    <n v="2705"/>
    <n v="1.9157223796033995"/>
  </r>
  <r>
    <d v="2025-09-03T00:00:00"/>
    <x v="8"/>
    <n v="20759"/>
    <n v="2.7891516932414855E-2"/>
    <n v="579"/>
    <n v="1.1329879101899827"/>
    <n v="31.600751481285226"/>
    <n v="656"/>
    <n v="1.0362694300518135E-2"/>
    <n v="6"/>
    <n v="211.66666666666666"/>
    <n v="1270"/>
    <n v="1.9359756097560976"/>
  </r>
  <r>
    <d v="2025-09-04T00:00:00"/>
    <x v="8"/>
    <n v="88745"/>
    <n v="2.6164854357991998E-2"/>
    <n v="2322"/>
    <n v="1.3729543496985357"/>
    <n v="35.9231506000338"/>
    <n v="3188"/>
    <n v="2.3686477174849268E-2"/>
    <n v="55"/>
    <n v="154.5090909090909"/>
    <n v="8498"/>
    <n v="2.6656210790464239"/>
  </r>
  <r>
    <d v="2025-09-05T00:00:00"/>
    <x v="8"/>
    <n v="90562"/>
    <n v="1.9776506702590492E-2"/>
    <n v="1791"/>
    <n v="1.7677275265214965"/>
    <n v="34.959475276606085"/>
    <n v="3166"/>
    <n v="1.7867113344500279E-2"/>
    <n v="32"/>
    <n v="195.1875"/>
    <n v="6246"/>
    <n v="1.972836386607707"/>
  </r>
  <r>
    <d v="2025-09-06T00:00:00"/>
    <x v="8"/>
    <n v="31457"/>
    <n v="2.4477858664208284E-2"/>
    <n v="770"/>
    <n v="2.02987012987013"/>
    <n v="49.686874145659154"/>
    <n v="1563"/>
    <n v="1.4285714285714285E-2"/>
    <n v="11"/>
    <n v="182.81818181818181"/>
    <n v="2011"/>
    <n v="1.2866282789507357"/>
  </r>
  <r>
    <d v="2025-09-07T00:00:00"/>
    <x v="8"/>
    <n v="16887"/>
    <n v="1.1724995558713803E-2"/>
    <n v="198"/>
    <n v="1.8434343434343434"/>
    <n v="21.614259489548171"/>
    <n v="365"/>
    <n v="1.0101010101010102E-2"/>
    <n v="2"/>
    <n v="179"/>
    <n v="358"/>
    <n v="0.98082191780821915"/>
  </r>
  <r>
    <d v="2025-09-08T00:00:00"/>
    <x v="8"/>
    <n v="52594"/>
    <n v="1.1389131840133855E-2"/>
    <n v="599"/>
    <n v="1.8230383973288815"/>
    <n v="20.762824656804959"/>
    <n v="1092"/>
    <n v="2.5041736227045076E-2"/>
    <n v="15"/>
    <n v="148.33333333333334"/>
    <n v="2225"/>
    <n v="2.0375457875457874"/>
  </r>
  <r>
    <d v="2025-09-09T00:00:00"/>
    <x v="8"/>
    <n v="16880"/>
    <n v="2.2274881516587679E-2"/>
    <n v="376"/>
    <n v="1.2686170212765957"/>
    <n v="28.25829383886256"/>
    <n v="477"/>
    <n v="1.3297872340425532E-2"/>
    <n v="5"/>
    <n v="180.8"/>
    <n v="904"/>
    <n v="1.8951781970649895"/>
  </r>
  <r>
    <d v="2025-09-10T00:00:00"/>
    <x v="8"/>
    <n v="66692"/>
    <n v="1.9117735260600972E-2"/>
    <n v="1275"/>
    <n v="1.7098039215686274"/>
    <n v="32.687578720086371"/>
    <n v="2180"/>
    <n v="1.6470588235294119E-2"/>
    <n v="21"/>
    <n v="150.28571428571428"/>
    <n v="3156"/>
    <n v="1.4477064220183486"/>
  </r>
  <r>
    <d v="2025-09-11T00:00:00"/>
    <x v="8"/>
    <n v="61970"/>
    <n v="1.0327577860254962E-2"/>
    <n v="640"/>
    <n v="1.7359374999999999"/>
    <n v="17.92802969178635"/>
    <n v="1111"/>
    <n v="2.1874999999999999E-2"/>
    <n v="14"/>
    <n v="200.57142857142858"/>
    <n v="2808"/>
    <n v="2.5274527452745272"/>
  </r>
  <r>
    <d v="2025-09-12T00:00:00"/>
    <x v="8"/>
    <n v="48632"/>
    <n v="1.4414377364698141E-2"/>
    <n v="701"/>
    <n v="1.5106990014265336"/>
    <n v="21.775785491034711"/>
    <n v="1059"/>
    <n v="1.8544935805991442E-2"/>
    <n v="13"/>
    <n v="188.23076923076923"/>
    <n v="2447"/>
    <n v="2.3106704438149199"/>
  </r>
  <r>
    <d v="2025-09-13T00:00:00"/>
    <x v="8"/>
    <n v="91672"/>
    <n v="1.5042761148442272E-2"/>
    <n v="1379"/>
    <n v="1.131979695431472"/>
    <n v="17.028100183262065"/>
    <n v="1561"/>
    <n v="2.5380710659898477E-2"/>
    <n v="35"/>
    <n v="155.6"/>
    <n v="5446"/>
    <n v="3.4887892376681613"/>
  </r>
  <r>
    <d v="2025-09-14T00:00:00"/>
    <x v="8"/>
    <n v="81449"/>
    <n v="1.874792815135852E-2"/>
    <n v="1527"/>
    <n v="1.4191224623444663"/>
    <n v="26.605605962013041"/>
    <n v="2167"/>
    <n v="2.6850032743942372E-2"/>
    <n v="41"/>
    <n v="167.39024390243901"/>
    <n v="6863"/>
    <n v="3.1670512228887864"/>
  </r>
  <r>
    <d v="2025-09-15T00:00:00"/>
    <x v="8"/>
    <n v="51464"/>
    <n v="1.1503186693611068E-2"/>
    <n v="592"/>
    <n v="1.4983108108108107"/>
    <n v="17.235348981812528"/>
    <n v="887"/>
    <n v="1.5202702702702704E-2"/>
    <n v="9"/>
    <n v="138"/>
    <n v="1242"/>
    <n v="1.4002254791431792"/>
  </r>
  <r>
    <d v="2025-09-16T00:00:00"/>
    <x v="8"/>
    <n v="52154"/>
    <n v="2.8684281167312191E-2"/>
    <n v="1496"/>
    <n v="1.553475935828877"/>
    <n v="44.560340529968933"/>
    <n v="2324"/>
    <n v="1.3368983957219251E-2"/>
    <n v="20"/>
    <n v="179.65"/>
    <n v="3593"/>
    <n v="1.5460413080895008"/>
  </r>
  <r>
    <d v="2025-09-17T00:00:00"/>
    <x v="8"/>
    <n v="31475"/>
    <n v="1.687053216838761E-2"/>
    <n v="531"/>
    <n v="1.9209039548022599"/>
    <n v="32.406671961874501"/>
    <n v="1020"/>
    <n v="2.0715630885122412E-2"/>
    <n v="11"/>
    <n v="130.27272727272728"/>
    <n v="1433"/>
    <n v="1.4049019607843136"/>
  </r>
  <r>
    <d v="2025-09-18T00:00:00"/>
    <x v="8"/>
    <n v="12277"/>
    <n v="1.4417202899731205E-2"/>
    <n v="177"/>
    <n v="1.6610169491525424"/>
    <n v="23.947218375824715"/>
    <n v="294"/>
    <n v="1.6949152542372881E-2"/>
    <n v="3"/>
    <n v="203"/>
    <n v="609"/>
    <n v="2.0714285714285716"/>
  </r>
  <r>
    <d v="2025-09-19T00:00:00"/>
    <x v="8"/>
    <n v="13766"/>
    <n v="1.0315269504576494E-2"/>
    <n v="142"/>
    <n v="1.8661971830985915"/>
    <n v="19.250326892343455"/>
    <n v="265"/>
    <n v="1.4084507042253521E-2"/>
    <n v="2"/>
    <n v="132.5"/>
    <n v="265"/>
    <n v="1"/>
  </r>
  <r>
    <d v="2025-09-20T00:00:00"/>
    <x v="8"/>
    <n v="10679"/>
    <n v="1.4608109373536848E-2"/>
    <n v="156"/>
    <n v="2.0256410256410255"/>
    <n v="29.590785654087462"/>
    <n v="316"/>
    <n v="1.9230769230769232E-2"/>
    <n v="3"/>
    <n v="138"/>
    <n v="414"/>
    <n v="1.3101265822784811"/>
  </r>
  <r>
    <d v="2025-09-21T00:00:00"/>
    <x v="8"/>
    <n v="83585"/>
    <n v="1.7251899264222048E-2"/>
    <n v="1442"/>
    <n v="1.1851595006934812"/>
    <n v="20.446252317999644"/>
    <n v="1709"/>
    <n v="1.6643550624133148E-2"/>
    <n v="24"/>
    <n v="191"/>
    <n v="4584"/>
    <n v="2.6822703335283791"/>
  </r>
  <r>
    <d v="2025-09-22T00:00:00"/>
    <x v="8"/>
    <n v="85216"/>
    <n v="1.8928370259106271E-2"/>
    <n v="1613"/>
    <n v="1.8927464352138872"/>
    <n v="35.826605332331958"/>
    <n v="3053"/>
    <n v="1.9218846869187848E-2"/>
    <n v="31"/>
    <n v="201.64516129032259"/>
    <n v="6251"/>
    <n v="2.0474942679331805"/>
  </r>
  <r>
    <d v="2025-09-23T00:00:00"/>
    <x v="8"/>
    <n v="24444"/>
    <n v="2.9495990836197021E-2"/>
    <n v="721"/>
    <n v="1.4382801664355063"/>
    <n v="42.423498609065618"/>
    <n v="1037"/>
    <n v="1.3869625520110958E-2"/>
    <n v="10"/>
    <n v="217.9"/>
    <n v="2179"/>
    <n v="2.1012536162005784"/>
  </r>
  <r>
    <d v="2025-09-24T00:00:00"/>
    <x v="8"/>
    <n v="51143"/>
    <n v="3.3650743992335218E-2"/>
    <n v="1721"/>
    <n v="1.0825101685066822"/>
    <n v="36.427272549518015"/>
    <n v="1863"/>
    <n v="2.1499128413712959E-2"/>
    <n v="37"/>
    <n v="108.13513513513513"/>
    <n v="4001"/>
    <n v="2.1476113794954377"/>
  </r>
  <r>
    <d v="2025-09-25T00:00:00"/>
    <x v="8"/>
    <n v="66440"/>
    <n v="1.3064419024683926E-2"/>
    <n v="868"/>
    <n v="1.9642857142857142"/>
    <n v="25.662251655629142"/>
    <n v="1705"/>
    <n v="1.4976958525345621E-2"/>
    <n v="13"/>
    <n v="122"/>
    <n v="1586"/>
    <n v="0.93020527859237534"/>
  </r>
  <r>
    <d v="2025-09-26T00:00:00"/>
    <x v="8"/>
    <n v="65236"/>
    <n v="2.4602979949721014E-2"/>
    <n v="1605"/>
    <n v="1.6168224299065421"/>
    <n v="39.778649825249857"/>
    <n v="2595"/>
    <n v="2.3052959501557634E-2"/>
    <n v="37"/>
    <n v="166.35135135135135"/>
    <n v="6155"/>
    <n v="2.371868978805395"/>
  </r>
  <r>
    <d v="2025-09-27T00:00:00"/>
    <x v="8"/>
    <n v="43894"/>
    <n v="1.4307194605185218E-2"/>
    <n v="628"/>
    <n v="1.5031847133757963"/>
    <n v="21.506356221807081"/>
    <n v="944"/>
    <n v="2.0700636942675158E-2"/>
    <n v="13"/>
    <n v="196.07692307692307"/>
    <n v="2549"/>
    <n v="2.7002118644067798"/>
  </r>
  <r>
    <d v="2025-09-28T00:00:00"/>
    <x v="8"/>
    <n v="14553"/>
    <n v="1.5666872809729952E-2"/>
    <n v="228"/>
    <n v="1.1929824561403508"/>
    <n v="18.690304404590119"/>
    <n v="272"/>
    <n v="2.1929824561403508E-2"/>
    <n v="5"/>
    <n v="118.6"/>
    <n v="593"/>
    <n v="2.1801470588235294"/>
  </r>
  <r>
    <d v="2025-09-29T00:00:00"/>
    <x v="8"/>
    <n v="28284"/>
    <n v="2.6233913166454532E-2"/>
    <n v="742"/>
    <n v="1.3463611859838276"/>
    <n v="35.32032244378447"/>
    <n v="999"/>
    <n v="1.4824797843665768E-2"/>
    <n v="11"/>
    <n v="124.27272727272727"/>
    <n v="1367"/>
    <n v="1.3683683683683683"/>
  </r>
  <r>
    <d v="2025-09-30T00:00:00"/>
    <x v="8"/>
    <n v="42083"/>
    <n v="2.471306703419433E-2"/>
    <n v="1040"/>
    <n v="1.5528846153846154"/>
    <n v="38.37654159636908"/>
    <n v="1615"/>
    <n v="1.826923076923077E-2"/>
    <n v="19"/>
    <n v="112.68421052631579"/>
    <n v="2141"/>
    <n v="1.3256965944272445"/>
  </r>
  <r>
    <d v="2025-10-01T00:00:00"/>
    <x v="9"/>
    <n v="61042"/>
    <n v="2.7374594541463255E-2"/>
    <n v="1671"/>
    <n v="1.6050269299820468"/>
    <n v="43.93696143638806"/>
    <n v="2682"/>
    <n v="1.7953321364452424E-2"/>
    <n v="30"/>
    <n v="204.36666666666667"/>
    <n v="6131"/>
    <n v="2.2859806114839674"/>
  </r>
  <r>
    <d v="2025-10-02T00:00:00"/>
    <x v="9"/>
    <n v="76058"/>
    <n v="3.1042099450419417E-2"/>
    <n v="2361"/>
    <n v="1.4256670902160102"/>
    <n v="44.255699597675452"/>
    <n v="3366"/>
    <n v="2.0753917831427361E-2"/>
    <n v="49"/>
    <n v="100.34693877551021"/>
    <n v="4917"/>
    <n v="1.4607843137254901"/>
  </r>
  <r>
    <d v="2025-10-03T00:00:00"/>
    <x v="9"/>
    <n v="92404"/>
    <n v="1.9490498246829142E-2"/>
    <n v="1801"/>
    <n v="1.036646307606885"/>
    <n v="20.204753040993896"/>
    <n v="1867"/>
    <n v="2.2209883398112161E-2"/>
    <n v="40"/>
    <n v="184.17500000000001"/>
    <n v="7367"/>
    <n v="3.9459025174076059"/>
  </r>
  <r>
    <d v="2025-10-04T00:00:00"/>
    <x v="9"/>
    <n v="87773"/>
    <n v="1.6588244676608979E-2"/>
    <n v="1456"/>
    <n v="1.4972527472527473"/>
    <n v="24.836794914153558"/>
    <n v="2180"/>
    <n v="2.5412087912087912E-2"/>
    <n v="37"/>
    <n v="194.70270270270271"/>
    <n v="7204"/>
    <n v="3.3045871559633029"/>
  </r>
  <r>
    <d v="2025-10-05T00:00:00"/>
    <x v="9"/>
    <n v="45616"/>
    <n v="1.8326902841108383E-2"/>
    <n v="836"/>
    <n v="1.5"/>
    <n v="27.490354261662574"/>
    <n v="1254"/>
    <n v="1.7942583732057416E-2"/>
    <n v="15"/>
    <n v="146.19999999999999"/>
    <n v="2193"/>
    <n v="1.7488038277511961"/>
  </r>
  <r>
    <d v="2025-10-06T00:00:00"/>
    <x v="9"/>
    <n v="51574"/>
    <n v="2.5671850157055882E-2"/>
    <n v="1324"/>
    <n v="1.7726586102719033"/>
    <n v="45.507426222515221"/>
    <n v="2347"/>
    <n v="1.6616314199395771E-2"/>
    <n v="22"/>
    <n v="179.59090909090909"/>
    <n v="3951"/>
    <n v="1.6834256497656583"/>
  </r>
  <r>
    <d v="2025-10-07T00:00:00"/>
    <x v="9"/>
    <n v="19918"/>
    <n v="2.0283160959935737E-2"/>
    <n v="404"/>
    <n v="1.2079207920792079"/>
    <n v="24.500451852595642"/>
    <n v="488"/>
    <n v="1.2376237623762377E-2"/>
    <n v="5"/>
    <n v="205.8"/>
    <n v="1029"/>
    <n v="2.1086065573770494"/>
  </r>
  <r>
    <d v="2025-10-08T00:00:00"/>
    <x v="9"/>
    <n v="91666"/>
    <n v="1.9887417363035367E-2"/>
    <n v="1823"/>
    <n v="1.8239166209544706"/>
    <n v="36.272991076298737"/>
    <n v="3325"/>
    <n v="2.1393307734503566E-2"/>
    <n v="39"/>
    <n v="131.46153846153845"/>
    <n v="5127"/>
    <n v="1.5419548872180451"/>
  </r>
  <r>
    <d v="2025-10-09T00:00:00"/>
    <x v="9"/>
    <n v="61157"/>
    <n v="1.8509737233677256E-2"/>
    <n v="1132"/>
    <n v="1.2482332155477032"/>
    <n v="23.104468826136014"/>
    <n v="1413"/>
    <n v="1.3250883392226149E-2"/>
    <n v="15"/>
    <n v="172.33333333333334"/>
    <n v="2585"/>
    <n v="1.8294409058740269"/>
  </r>
  <r>
    <d v="2025-10-10T00:00:00"/>
    <x v="9"/>
    <n v="82264"/>
    <n v="1.7601867159389283E-2"/>
    <n v="1448"/>
    <n v="1.2209944751381216"/>
    <n v="21.491782553729458"/>
    <n v="1768"/>
    <n v="2.6933701657458564E-2"/>
    <n v="39"/>
    <n v="126.17948717948718"/>
    <n v="4921"/>
    <n v="2.7833710407239818"/>
  </r>
  <r>
    <d v="2025-10-11T00:00:00"/>
    <x v="9"/>
    <n v="65303"/>
    <n v="1.6017640843452828E-2"/>
    <n v="1046"/>
    <n v="1.4435946462715106"/>
    <n v="23.122980567508385"/>
    <n v="1510"/>
    <n v="1.8164435946462717E-2"/>
    <n v="19"/>
    <n v="130"/>
    <n v="2470"/>
    <n v="1.6357615894039734"/>
  </r>
  <r>
    <d v="2025-10-12T00:00:00"/>
    <x v="9"/>
    <n v="18331"/>
    <n v="1.352899459931264E-2"/>
    <n v="248"/>
    <n v="1.0362903225806452"/>
    <n v="14.019966177513503"/>
    <n v="257"/>
    <n v="1.2096774193548387E-2"/>
    <n v="3"/>
    <n v="169.33333333333334"/>
    <n v="508"/>
    <n v="1.9766536964980546"/>
  </r>
  <r>
    <d v="2025-10-13T00:00:00"/>
    <x v="9"/>
    <n v="91113"/>
    <n v="2.9743285809928331E-2"/>
    <n v="2710"/>
    <n v="0.91476014760147606"/>
    <n v="27.207972517642926"/>
    <n v="2479"/>
    <n v="1.9926199261992621E-2"/>
    <n v="54"/>
    <n v="109.31481481481481"/>
    <n v="5903"/>
    <n v="2.3812020976200081"/>
  </r>
  <r>
    <d v="2025-10-14T00:00:00"/>
    <x v="9"/>
    <n v="35818"/>
    <n v="2.5601652800268021E-2"/>
    <n v="917"/>
    <n v="1.5823336968375137"/>
    <n v="40.510357920598587"/>
    <n v="1451"/>
    <n v="1.6357688113413305E-2"/>
    <n v="15"/>
    <n v="159.73333333333332"/>
    <n v="2396"/>
    <n v="1.6512749827705031"/>
  </r>
  <r>
    <d v="2025-10-15T00:00:00"/>
    <x v="9"/>
    <n v="53530"/>
    <n v="2.0605268073977209E-2"/>
    <n v="1103"/>
    <n v="1.4732547597461469"/>
    <n v="30.356809265832243"/>
    <n v="1625"/>
    <n v="1.9945602901178604E-2"/>
    <n v="22"/>
    <n v="169.5"/>
    <n v="3729"/>
    <n v="2.2947692307692309"/>
  </r>
  <r>
    <d v="2025-10-16T00:00:00"/>
    <x v="9"/>
    <n v="55679"/>
    <n v="1.5301998958314625E-2"/>
    <n v="852"/>
    <n v="1.0434272300469483"/>
    <n v="15.966522387255518"/>
    <n v="889"/>
    <n v="1.8779342723004695E-2"/>
    <n v="16"/>
    <n v="166.1875"/>
    <n v="2659"/>
    <n v="2.9910011248593924"/>
  </r>
  <r>
    <d v="2025-10-17T00:00:00"/>
    <x v="9"/>
    <n v="46054"/>
    <n v="1.5503539323402963E-2"/>
    <n v="714"/>
    <n v="1.9411764705882353"/>
    <n v="30.095105745429276"/>
    <n v="1386"/>
    <n v="1.4005602240896359E-2"/>
    <n v="10"/>
    <n v="119.5"/>
    <n v="1195"/>
    <n v="0.86219336219336218"/>
  </r>
  <r>
    <d v="2025-10-18T00:00:00"/>
    <x v="9"/>
    <n v="24167"/>
    <n v="1.2537758099888278E-2"/>
    <n v="303"/>
    <n v="1.5874587458745875"/>
    <n v="19.903173749327593"/>
    <n v="481"/>
    <n v="2.6402640264026403E-2"/>
    <n v="8"/>
    <n v="130.875"/>
    <n v="1047"/>
    <n v="2.1767151767151769"/>
  </r>
  <r>
    <d v="2025-10-19T00:00:00"/>
    <x v="9"/>
    <n v="15830"/>
    <n v="1.5476942514213519E-2"/>
    <n v="245"/>
    <n v="1.4938775510204081"/>
    <n v="23.120656980416928"/>
    <n v="366"/>
    <n v="1.2244897959183673E-2"/>
    <n v="3"/>
    <n v="184.33333333333334"/>
    <n v="553"/>
    <n v="1.5109289617486339"/>
  </r>
  <r>
    <d v="2025-10-20T00:00:00"/>
    <x v="9"/>
    <n v="77941"/>
    <n v="2.5172887183895511E-2"/>
    <n v="1962"/>
    <n v="0.94648318042813451"/>
    <n v="23.82571432237205"/>
    <n v="1857"/>
    <n v="1.8858307849133536E-2"/>
    <n v="37"/>
    <n v="133.83783783783784"/>
    <n v="4952"/>
    <n v="2.6666666666666665"/>
  </r>
  <r>
    <d v="2025-10-21T00:00:00"/>
    <x v="9"/>
    <n v="86583"/>
    <n v="2.4034741230957578E-2"/>
    <n v="2081"/>
    <n v="1.382988947621336"/>
    <n v="33.239781481353155"/>
    <n v="2878"/>
    <n v="1.7299375300336376E-2"/>
    <n v="36"/>
    <n v="105.27777777777777"/>
    <n v="3790"/>
    <n v="1.3168867268936761"/>
  </r>
  <r>
    <d v="2025-10-22T00:00:00"/>
    <x v="9"/>
    <n v="63208"/>
    <n v="1.5314517149727883E-2"/>
    <n v="968"/>
    <n v="1.3832644628099173"/>
    <n v="21.184027338311605"/>
    <n v="1339"/>
    <n v="1.3429752066115703E-2"/>
    <n v="13"/>
    <n v="124.61538461538461"/>
    <n v="1620"/>
    <n v="1.2098581030619866"/>
  </r>
  <r>
    <d v="2025-10-23T00:00:00"/>
    <x v="9"/>
    <n v="53761"/>
    <n v="1.7149978609028851E-2"/>
    <n v="922"/>
    <n v="0.98806941431670281"/>
    <n v="16.945369319767117"/>
    <n v="911"/>
    <n v="1.9522776572668113E-2"/>
    <n v="18"/>
    <n v="186.66666666666666"/>
    <n v="3360"/>
    <n v="3.6882546652030737"/>
  </r>
  <r>
    <d v="2025-10-24T00:00:00"/>
    <x v="9"/>
    <n v="19823"/>
    <n v="2.6585279725571308E-2"/>
    <n v="527"/>
    <n v="1.2106261859582543"/>
    <n v="32.184835796801693"/>
    <n v="638"/>
    <n v="2.2770398481973434E-2"/>
    <n v="12"/>
    <n v="118.08333333333333"/>
    <n v="1417"/>
    <n v="2.2210031347962382"/>
  </r>
  <r>
    <d v="2025-10-25T00:00:00"/>
    <x v="9"/>
    <n v="73157"/>
    <n v="1.6471424470658993E-2"/>
    <n v="1205"/>
    <n v="1.4514522821576763"/>
    <n v="23.907486638325793"/>
    <n v="1749"/>
    <n v="2.2406639004149378E-2"/>
    <n v="27"/>
    <n v="119.25925925925925"/>
    <n v="3220"/>
    <n v="1.8410520297312749"/>
  </r>
  <r>
    <d v="2025-10-26T00:00:00"/>
    <x v="9"/>
    <n v="17151"/>
    <n v="2.4663284939653665E-2"/>
    <n v="423"/>
    <n v="1.1820330969267139"/>
    <n v="29.152819077604804"/>
    <n v="500"/>
    <n v="1.8912529550827423E-2"/>
    <n v="8"/>
    <n v="171.5"/>
    <n v="1372"/>
    <n v="2.7440000000000002"/>
  </r>
  <r>
    <d v="2025-10-27T00:00:00"/>
    <x v="9"/>
    <n v="47443"/>
    <n v="1.8970132580148812E-2"/>
    <n v="900"/>
    <n v="1.08"/>
    <n v="20.487743186560717"/>
    <n v="972"/>
    <n v="1.6666666666666666E-2"/>
    <n v="15"/>
    <n v="183"/>
    <n v="2745"/>
    <n v="2.824074074074074"/>
  </r>
  <r>
    <d v="2025-10-28T00:00:00"/>
    <x v="9"/>
    <n v="56847"/>
    <n v="1.7116118704593029E-2"/>
    <n v="973"/>
    <n v="1.3196300102774923"/>
    <n v="22.586943902052877"/>
    <n v="1284"/>
    <n v="2.3638232271325797E-2"/>
    <n v="23"/>
    <n v="126.43478260869566"/>
    <n v="2908"/>
    <n v="2.2647975077881619"/>
  </r>
  <r>
    <d v="2025-10-29T00:00:00"/>
    <x v="9"/>
    <n v="103800"/>
    <n v="1.8371868978805394E-2"/>
    <n v="1907"/>
    <n v="1.6953329837441007"/>
    <n v="31.146435452793835"/>
    <n v="3233"/>
    <n v="1.7304667016255899E-2"/>
    <n v="33"/>
    <n v="138.27272727272728"/>
    <n v="4563"/>
    <n v="1.4113826167646149"/>
  </r>
  <r>
    <d v="2025-10-30T00:00:00"/>
    <x v="9"/>
    <n v="61699"/>
    <n v="1.8266098316018088E-2"/>
    <n v="1127"/>
    <n v="1.2617568766637091"/>
    <n v="23.047375160051217"/>
    <n v="1422"/>
    <n v="1.8633540372670808E-2"/>
    <n v="21"/>
    <n v="185.95238095238096"/>
    <n v="3905"/>
    <n v="2.7461322081575248"/>
  </r>
  <r>
    <d v="2025-10-31T00:00:00"/>
    <x v="9"/>
    <n v="43734"/>
    <n v="3.1462935016234511E-2"/>
    <n v="1376"/>
    <n v="1.4542151162790697"/>
    <n v="45.753875703114282"/>
    <n v="2001"/>
    <n v="2.1802325581395349E-2"/>
    <n v="30"/>
    <n v="127.9"/>
    <n v="3837"/>
    <n v="1.9175412293853074"/>
  </r>
  <r>
    <d v="2025-11-01T00:00:00"/>
    <x v="10"/>
    <n v="18145"/>
    <n v="2.3863323229539816E-2"/>
    <n v="433"/>
    <n v="1.7990762124711317"/>
    <n v="42.931937172774873"/>
    <n v="779"/>
    <n v="1.8475750577367205E-2"/>
    <n v="8"/>
    <n v="163.75"/>
    <n v="1310"/>
    <n v="1.6816431322207959"/>
  </r>
  <r>
    <d v="2025-11-02T00:00:00"/>
    <x v="10"/>
    <n v="95605"/>
    <n v="2.0563778045081325E-2"/>
    <n v="1966"/>
    <n v="1.0437436419125128"/>
    <n v="21.46331258825375"/>
    <n v="2052"/>
    <n v="1.3224821973550356E-2"/>
    <n v="26"/>
    <n v="180.34615384615384"/>
    <n v="4689"/>
    <n v="2.2850877192982457"/>
  </r>
  <r>
    <d v="2025-11-03T00:00:00"/>
    <x v="10"/>
    <n v="12276"/>
    <n v="1.6536331052460086E-2"/>
    <n v="203"/>
    <n v="1.9014778325123152"/>
    <n v="31.443466927337894"/>
    <n v="386"/>
    <n v="1.9704433497536946E-2"/>
    <n v="4"/>
    <n v="183.5"/>
    <n v="734"/>
    <n v="1.9015544041450778"/>
  </r>
  <r>
    <d v="2025-11-04T00:00:00"/>
    <x v="10"/>
    <n v="13289"/>
    <n v="1.7608548423508164E-2"/>
    <n v="234"/>
    <n v="1.9230769230769231"/>
    <n v="33.862593122131088"/>
    <n v="450"/>
    <n v="1.7094017094017096E-2"/>
    <n v="4"/>
    <n v="130.25"/>
    <n v="521"/>
    <n v="1.1577777777777778"/>
  </r>
  <r>
    <d v="2025-11-05T00:00:00"/>
    <x v="10"/>
    <n v="20703"/>
    <n v="2.6131478529681687E-2"/>
    <n v="541"/>
    <n v="1.3881700554528651"/>
    <n v="36.274935999613582"/>
    <n v="751"/>
    <n v="1.8484288354898338E-2"/>
    <n v="10"/>
    <n v="157.30000000000001"/>
    <n v="1573"/>
    <n v="2.0945406125166444"/>
  </r>
  <r>
    <d v="2025-11-06T00:00:00"/>
    <x v="10"/>
    <n v="91303"/>
    <n v="2.9615675279016023E-2"/>
    <n v="2704"/>
    <n v="1.0151627218934911"/>
    <n v="30.064729526959685"/>
    <n v="2745"/>
    <n v="2.3298816568047338E-2"/>
    <n v="63"/>
    <n v="163.36507936507937"/>
    <n v="10292"/>
    <n v="3.7493624772313296"/>
  </r>
  <r>
    <d v="2025-11-07T00:00:00"/>
    <x v="10"/>
    <n v="35422"/>
    <n v="1.8152560555586922E-2"/>
    <n v="643"/>
    <n v="1.7371695178849145"/>
    <n v="31.534074868725654"/>
    <n v="1117"/>
    <n v="2.0217729393468119E-2"/>
    <n v="13"/>
    <n v="134.30769230769232"/>
    <n v="1746"/>
    <n v="1.5631154879140554"/>
  </r>
  <r>
    <d v="2025-11-08T00:00:00"/>
    <x v="10"/>
    <n v="86793"/>
    <n v="2.629244293894669E-2"/>
    <n v="2282"/>
    <n v="1.1152497808939528"/>
    <n v="29.322641226827045"/>
    <n v="2545"/>
    <n v="2.3663453111305872E-2"/>
    <n v="54"/>
    <n v="154.5"/>
    <n v="8343"/>
    <n v="3.2781925343811396"/>
  </r>
  <r>
    <d v="2025-11-09T00:00:00"/>
    <x v="10"/>
    <n v="70545"/>
    <n v="2.2992416188248637E-2"/>
    <n v="1622"/>
    <n v="1.5234278668310728"/>
    <n v="35.02728754695584"/>
    <n v="2471"/>
    <n v="2.2194821208384709E-2"/>
    <n v="36"/>
    <n v="186.08333333333334"/>
    <n v="6699"/>
    <n v="2.7110481586402266"/>
  </r>
  <r>
    <d v="2025-11-10T00:00:00"/>
    <x v="10"/>
    <n v="21885"/>
    <n v="2.1612976924834361E-2"/>
    <n v="473"/>
    <n v="1.2198731501057083"/>
    <n v="26.365090244459672"/>
    <n v="577"/>
    <n v="2.1141649048625793E-2"/>
    <n v="10"/>
    <n v="150.69999999999999"/>
    <n v="1507"/>
    <n v="2.6117850953206241"/>
  </r>
  <r>
    <d v="2025-11-11T00:00:00"/>
    <x v="10"/>
    <n v="34153"/>
    <n v="1.2971042075366732E-2"/>
    <n v="443"/>
    <n v="0.8510158013544018"/>
    <n v="11.038561766169883"/>
    <n v="377"/>
    <n v="2.0316027088036117E-2"/>
    <n v="9"/>
    <n v="160.88888888888889"/>
    <n v="1448"/>
    <n v="3.8408488063660475"/>
  </r>
  <r>
    <d v="2025-11-12T00:00:00"/>
    <x v="10"/>
    <n v="55954"/>
    <n v="1.2814097294205955E-2"/>
    <n v="717"/>
    <n v="1.9525801952580195"/>
    <n v="25.020552596775921"/>
    <n v="1400"/>
    <n v="1.9525801952580194E-2"/>
    <n v="14"/>
    <n v="205.71428571428572"/>
    <n v="2880"/>
    <n v="2.0571428571428569"/>
  </r>
  <r>
    <d v="2025-11-13T00:00:00"/>
    <x v="10"/>
    <n v="101056"/>
    <n v="2.4303356554781507E-2"/>
    <n v="2456"/>
    <n v="1.0810260586319218"/>
    <n v="26.272561747941737"/>
    <n v="2655"/>
    <n v="1.2214983713355049E-2"/>
    <n v="30"/>
    <n v="119.23333333333333"/>
    <n v="3577"/>
    <n v="1.3472693032015066"/>
  </r>
  <r>
    <d v="2025-11-14T00:00:00"/>
    <x v="10"/>
    <n v="78238"/>
    <n v="1.5606227153045835E-2"/>
    <n v="1221"/>
    <n v="1.6773136773136774"/>
    <n v="26.176538255067872"/>
    <n v="2048"/>
    <n v="1.5561015561015561E-2"/>
    <n v="19"/>
    <n v="151.26315789473685"/>
    <n v="2874"/>
    <n v="1.4033203125"/>
  </r>
  <r>
    <d v="2025-11-15T00:00:00"/>
    <x v="10"/>
    <n v="73143"/>
    <n v="1.7294888095921689E-2"/>
    <n v="1265"/>
    <n v="1.0727272727272728"/>
    <n v="18.552698139261448"/>
    <n v="1357"/>
    <n v="1.4229249011857707E-2"/>
    <n v="18"/>
    <n v="128"/>
    <n v="2304"/>
    <n v="1.6978629329403094"/>
  </r>
  <r>
    <d v="2025-11-16T00:00:00"/>
    <x v="10"/>
    <n v="59011"/>
    <n v="8.964430360441273E-3"/>
    <n v="529"/>
    <n v="1.4196597353497165"/>
    <n v="12.726440833065022"/>
    <n v="751"/>
    <n v="2.2684310018903593E-2"/>
    <n v="12"/>
    <n v="132.91666666666666"/>
    <n v="1595"/>
    <n v="2.1238348868175767"/>
  </r>
  <r>
    <d v="2025-11-17T00:00:00"/>
    <x v="10"/>
    <n v="68100"/>
    <n v="2.9133627019089576E-2"/>
    <n v="1984"/>
    <n v="1.2862903225806452"/>
    <n v="37.474302496328932"/>
    <n v="2552"/>
    <n v="2.5201612903225805E-2"/>
    <n v="50"/>
    <n v="150.91999999999999"/>
    <n v="7546"/>
    <n v="2.9568965517241379"/>
  </r>
  <r>
    <d v="2025-11-18T00:00:00"/>
    <x v="10"/>
    <n v="72521"/>
    <n v="1.3471959846113539E-2"/>
    <n v="977"/>
    <n v="1.6878198567041964"/>
    <n v="22.738241336992044"/>
    <n v="1649"/>
    <n v="2.4564994882292732E-2"/>
    <n v="24"/>
    <n v="138.875"/>
    <n v="3333"/>
    <n v="2.0212249848392965"/>
  </r>
  <r>
    <d v="2025-11-19T00:00:00"/>
    <x v="10"/>
    <n v="61360"/>
    <n v="1.2760756192959582E-2"/>
    <n v="783"/>
    <n v="1.6947637292464879"/>
    <n v="21.626466753585397"/>
    <n v="1327"/>
    <n v="1.40485312899106E-2"/>
    <n v="11"/>
    <n v="159.72727272727272"/>
    <n v="1757"/>
    <n v="1.3240391861341372"/>
  </r>
  <r>
    <d v="2025-11-20T00:00:00"/>
    <x v="10"/>
    <n v="79103"/>
    <n v="1.8532799008887147E-2"/>
    <n v="1466"/>
    <n v="1.2128240109140518"/>
    <n v="22.477023627422476"/>
    <n v="1778"/>
    <n v="2.1828103683492497E-2"/>
    <n v="32"/>
    <n v="195.90625"/>
    <n v="6269"/>
    <n v="3.5258717660292462"/>
  </r>
  <r>
    <d v="2025-11-21T00:00:00"/>
    <x v="10"/>
    <n v="24707"/>
    <n v="1.1413769377099607E-2"/>
    <n v="282"/>
    <n v="1.4716312056737588"/>
    <n v="16.796859189703323"/>
    <n v="415"/>
    <n v="2.1276595744680851E-2"/>
    <n v="6"/>
    <n v="186.5"/>
    <n v="1119"/>
    <n v="2.6963855421686747"/>
  </r>
  <r>
    <d v="2025-11-22T00:00:00"/>
    <x v="10"/>
    <n v="90610"/>
    <n v="2.5615274252290033E-2"/>
    <n v="2321"/>
    <n v="1.3907798362774666"/>
    <n v="35.625206930802342"/>
    <n v="3228"/>
    <n v="1.5941404566996983E-2"/>
    <n v="37"/>
    <n v="106.08108108108108"/>
    <n v="3925"/>
    <n v="1.2159231722428749"/>
  </r>
  <r>
    <d v="2025-11-23T00:00:00"/>
    <x v="10"/>
    <n v="65307"/>
    <n v="1.200483868498017E-2"/>
    <n v="784"/>
    <n v="1.4681122448979591"/>
    <n v="17.624450671444102"/>
    <n v="1151"/>
    <n v="1.1479591836734694E-2"/>
    <n v="9"/>
    <n v="180.66666666666666"/>
    <n v="1626"/>
    <n v="1.4126846220677671"/>
  </r>
  <r>
    <d v="2025-11-24T00:00:00"/>
    <x v="10"/>
    <n v="48991"/>
    <n v="1.5166050907309506E-2"/>
    <n v="743"/>
    <n v="1.7523553162853298"/>
    <n v="26.576309934477763"/>
    <n v="1302"/>
    <n v="1.3458950201884253E-2"/>
    <n v="10"/>
    <n v="148.4"/>
    <n v="1484"/>
    <n v="1.1397849462365592"/>
  </r>
  <r>
    <d v="2025-11-25T00:00:00"/>
    <x v="10"/>
    <n v="17772"/>
    <n v="1.2660364618501013E-2"/>
    <n v="225"/>
    <n v="1.5555555555555556"/>
    <n v="19.693900517668244"/>
    <n v="350"/>
    <n v="1.3333333333333334E-2"/>
    <n v="3"/>
    <n v="197.33333333333334"/>
    <n v="592"/>
    <n v="1.6914285714285715"/>
  </r>
  <r>
    <d v="2025-11-26T00:00:00"/>
    <x v="10"/>
    <n v="15340"/>
    <n v="1.0495436766623208E-2"/>
    <n v="161"/>
    <n v="1.8881987577639752"/>
    <n v="19.817470664928294"/>
    <n v="304"/>
    <n v="1.8633540372670808E-2"/>
    <n v="3"/>
    <n v="143.33333333333334"/>
    <n v="430"/>
    <n v="1.4144736842105263"/>
  </r>
  <r>
    <d v="2025-11-27T00:00:00"/>
    <x v="10"/>
    <n v="14040"/>
    <n v="1.6737891737891739E-2"/>
    <n v="235"/>
    <n v="1.574468085106383"/>
    <n v="26.353276353276353"/>
    <n v="370"/>
    <n v="1.276595744680851E-2"/>
    <n v="3"/>
    <n v="195.33333333333334"/>
    <n v="586"/>
    <n v="1.5837837837837838"/>
  </r>
  <r>
    <d v="2025-11-28T00:00:00"/>
    <x v="10"/>
    <n v="76119"/>
    <n v="2.3174240334213534E-2"/>
    <n v="1764"/>
    <n v="1.7879818594104309"/>
    <n v="41.435121323191318"/>
    <n v="3154"/>
    <n v="1.2471655328798186E-2"/>
    <n v="22"/>
    <n v="127.81818181818181"/>
    <n v="2812"/>
    <n v="0.89156626506024095"/>
  </r>
  <r>
    <d v="2025-11-29T00:00:00"/>
    <x v="10"/>
    <n v="27517"/>
    <n v="2.5511501980593813E-2"/>
    <n v="702"/>
    <n v="1.5498575498575498"/>
    <n v="39.539193952829159"/>
    <n v="1088"/>
    <n v="1.4245014245014245E-2"/>
    <n v="10"/>
    <n v="190.5"/>
    <n v="1905"/>
    <n v="1.7509191176470589"/>
  </r>
  <r>
    <d v="2025-11-30T00:00:00"/>
    <x v="10"/>
    <n v="38969"/>
    <n v="2.6302958762092946E-2"/>
    <n v="1025"/>
    <n v="1.4156097560975609"/>
    <n v="37.234725037850595"/>
    <n v="1451"/>
    <n v="1.6585365853658537E-2"/>
    <n v="17"/>
    <n v="168.70588235294119"/>
    <n v="2868"/>
    <n v="1.9765678842177807"/>
  </r>
  <r>
    <d v="2025-12-01T00:00:00"/>
    <x v="11"/>
    <n v="106305"/>
    <n v="2.3808851888434221E-2"/>
    <n v="2531"/>
    <n v="1.1477676807585935"/>
    <n v="27.327030713513004"/>
    <n v="2905"/>
    <n v="1.2248123271434215E-2"/>
    <n v="31"/>
    <n v="188.16129032258064"/>
    <n v="5833"/>
    <n v="2.0079173838209985"/>
  </r>
  <r>
    <d v="2025-12-02T00:00:00"/>
    <x v="11"/>
    <n v="86838"/>
    <n v="2.0785831087772634E-2"/>
    <n v="1805"/>
    <n v="1.4277008310249308"/>
    <n v="29.675948317556831"/>
    <n v="2577"/>
    <n v="2.0498614958448753E-2"/>
    <n v="37"/>
    <n v="177.67567567567568"/>
    <n v="6574"/>
    <n v="2.5510283275126118"/>
  </r>
  <r>
    <d v="2025-12-03T00:00:00"/>
    <x v="11"/>
    <n v="63290"/>
    <n v="1.1534207615737084E-2"/>
    <n v="730"/>
    <n v="1.7219178082191782"/>
    <n v="19.860957497234949"/>
    <n v="1257"/>
    <n v="1.643835616438356E-2"/>
    <n v="12"/>
    <n v="206.33333333333334"/>
    <n v="2476"/>
    <n v="1.9697692919649961"/>
  </r>
  <r>
    <d v="2025-12-04T00:00:00"/>
    <x v="11"/>
    <n v="110538"/>
    <n v="2.4136496046608405E-2"/>
    <n v="2668"/>
    <n v="1.896551724137931"/>
    <n v="45.776113191843528"/>
    <n v="5060"/>
    <n v="2.4737631184407798E-2"/>
    <n v="66"/>
    <n v="167.04545454545453"/>
    <n v="11025"/>
    <n v="2.1788537549407114"/>
  </r>
  <r>
    <d v="2025-12-05T00:00:00"/>
    <x v="11"/>
    <n v="78543"/>
    <n v="9.536177635180729E-3"/>
    <n v="749"/>
    <n v="1.6168224299065421"/>
    <n v="15.418305896133328"/>
    <n v="1211"/>
    <n v="2.2696929238985315E-2"/>
    <n v="17"/>
    <n v="140.8235294117647"/>
    <n v="2394"/>
    <n v="1.976878612716763"/>
  </r>
  <r>
    <d v="2025-12-06T00:00:00"/>
    <x v="11"/>
    <n v="51464"/>
    <n v="3.1594901290222292E-2"/>
    <n v="1626"/>
    <n v="1.7140221402214022"/>
    <n v="54.154360329550755"/>
    <n v="2787"/>
    <n v="1.3530135301353014E-2"/>
    <n v="22"/>
    <n v="206.86363636363637"/>
    <n v="4551"/>
    <n v="1.6329386437029063"/>
  </r>
  <r>
    <d v="2025-12-07T00:00:00"/>
    <x v="11"/>
    <n v="69466"/>
    <n v="2.3363947830593385E-2"/>
    <n v="1623"/>
    <n v="1.2858903265557609"/>
    <n v="30.04347450551349"/>
    <n v="2087"/>
    <n v="1.9100431300061615E-2"/>
    <n v="31"/>
    <n v="133.83870967741936"/>
    <n v="4149"/>
    <n v="1.9880210828941063"/>
  </r>
  <r>
    <d v="2025-12-08T00:00:00"/>
    <x v="11"/>
    <n v="104688"/>
    <n v="1.5617835855112333E-2"/>
    <n v="1635"/>
    <n v="2.1113149847094803"/>
    <n v="32.974170869631664"/>
    <n v="3452"/>
    <n v="1.7737003058103974E-2"/>
    <n v="29"/>
    <n v="201.20689655172413"/>
    <n v="5835"/>
    <n v="1.6903244495944381"/>
  </r>
  <r>
    <d v="2025-12-09T00:00:00"/>
    <x v="11"/>
    <n v="75437"/>
    <n v="2.2535360632050586E-2"/>
    <n v="1700"/>
    <n v="1.7270588235294118"/>
    <n v="38.919893421000303"/>
    <n v="2936"/>
    <n v="2.2352941176470589E-2"/>
    <n v="38"/>
    <n v="135.05263157894737"/>
    <n v="5132"/>
    <n v="1.7479564032697548"/>
  </r>
  <r>
    <d v="2025-12-10T00:00:00"/>
    <x v="11"/>
    <n v="45951"/>
    <n v="1.9716654697395052E-2"/>
    <n v="906"/>
    <n v="1.6092715231788079"/>
    <n v="31.729450936867533"/>
    <n v="1458"/>
    <n v="1.2141280353200883E-2"/>
    <n v="11"/>
    <n v="148.72727272727272"/>
    <n v="1636"/>
    <n v="1.1220850480109739"/>
  </r>
  <r>
    <d v="2025-12-11T00:00:00"/>
    <x v="11"/>
    <n v="67590"/>
    <n v="1.0534102677910934E-2"/>
    <n v="712"/>
    <n v="2.1558988764044944"/>
    <n v="22.710460127237756"/>
    <n v="1535"/>
    <n v="1.2640449438202247E-2"/>
    <n v="9"/>
    <n v="197.66666666666666"/>
    <n v="1779"/>
    <n v="1.1589576547231271"/>
  </r>
  <r>
    <d v="2025-12-12T00:00:00"/>
    <x v="11"/>
    <n v="34901"/>
    <n v="9.8851035786940208E-3"/>
    <n v="345"/>
    <n v="1.826086956521739"/>
    <n v="18.051058708919513"/>
    <n v="630"/>
    <n v="1.1594202898550725E-2"/>
    <n v="4"/>
    <n v="150.75"/>
    <n v="603"/>
    <n v="0.95714285714285718"/>
  </r>
  <r>
    <d v="2025-12-13T00:00:00"/>
    <x v="11"/>
    <n v="117250"/>
    <n v="1.9965884861407251E-2"/>
    <n v="2341"/>
    <n v="1.4720205040580949"/>
    <n v="29.390191897654585"/>
    <n v="3446"/>
    <n v="1.9222554463904314E-2"/>
    <n v="45"/>
    <n v="142.0888888888889"/>
    <n v="6394"/>
    <n v="1.8554846198491004"/>
  </r>
  <r>
    <d v="2025-12-14T00:00:00"/>
    <x v="11"/>
    <n v="23580"/>
    <n v="2.9262086513994912E-2"/>
    <n v="690"/>
    <n v="1.7666666666666666"/>
    <n v="51.696352841391011"/>
    <n v="1219"/>
    <n v="1.7391304347826087E-2"/>
    <n v="12"/>
    <n v="164.08333333333334"/>
    <n v="1969"/>
    <n v="1.6152584085315833"/>
  </r>
  <r>
    <d v="2025-12-15T00:00:00"/>
    <x v="11"/>
    <n v="118209"/>
    <n v="2.55648893062288E-2"/>
    <n v="3022"/>
    <n v="1.4900727994705494"/>
    <n v="38.093546176687056"/>
    <n v="4503"/>
    <n v="1.8199867637326273E-2"/>
    <n v="55"/>
    <n v="113.76363636363637"/>
    <n v="6257"/>
    <n v="1.3895180990450811"/>
  </r>
  <r>
    <d v="2025-12-16T00:00:00"/>
    <x v="11"/>
    <n v="88263"/>
    <n v="2.5458006186057577E-2"/>
    <n v="2247"/>
    <n v="1.2492211838006231"/>
    <n v="31.80268062495043"/>
    <n v="2807"/>
    <n v="2.4032042723631509E-2"/>
    <n v="54"/>
    <n v="198.4814814814815"/>
    <n v="10718"/>
    <n v="3.8183113644460276"/>
  </r>
  <r>
    <d v="2025-12-17T00:00:00"/>
    <x v="11"/>
    <n v="47023"/>
    <n v="1.5736979775854368E-2"/>
    <n v="740"/>
    <n v="1.3689189189189188"/>
    <n v="21.542649341811451"/>
    <n v="1013"/>
    <n v="1.2162162162162163E-2"/>
    <n v="9"/>
    <n v="199.77777777777777"/>
    <n v="1798"/>
    <n v="1.7749259624876603"/>
  </r>
  <r>
    <d v="2025-12-18T00:00:00"/>
    <x v="11"/>
    <n v="92320"/>
    <n v="1.9475736568457538E-2"/>
    <n v="1798"/>
    <n v="1.6023359288097887"/>
    <n v="31.206672443674179"/>
    <n v="2881"/>
    <n v="1.6685205784204672E-2"/>
    <n v="30"/>
    <n v="180.43333333333334"/>
    <n v="5413"/>
    <n v="1.8788615064213814"/>
  </r>
  <r>
    <d v="2025-12-19T00:00:00"/>
    <x v="11"/>
    <n v="75577"/>
    <n v="2.9413710520396416E-2"/>
    <n v="2223"/>
    <n v="1.8047683310841205"/>
    <n v="53.084933246887282"/>
    <n v="4012"/>
    <n v="1.5744489428699954E-2"/>
    <n v="35"/>
    <n v="136.88571428571427"/>
    <n v="4791"/>
    <n v="1.1941674975074776"/>
  </r>
  <r>
    <d v="2025-12-20T00:00:00"/>
    <x v="11"/>
    <n v="97231"/>
    <n v="2.58045273626724E-2"/>
    <n v="2509"/>
    <n v="1.3300119569549622"/>
    <n v="34.320329935925784"/>
    <n v="3337"/>
    <n v="1.4746911119968115E-2"/>
    <n v="37"/>
    <n v="166.64864864864865"/>
    <n v="6166"/>
    <n v="1.8477674557986214"/>
  </r>
  <r>
    <d v="2025-12-21T00:00:00"/>
    <x v="11"/>
    <n v="22728"/>
    <n v="1.1571629707849349E-2"/>
    <n v="263"/>
    <n v="1.5019011406844107"/>
    <n v="17.379443857796549"/>
    <n v="395"/>
    <n v="1.5209125475285171E-2"/>
    <n v="4"/>
    <n v="199.75"/>
    <n v="799"/>
    <n v="2.0227848101265824"/>
  </r>
  <r>
    <d v="2025-12-22T00:00:00"/>
    <x v="11"/>
    <n v="67243"/>
    <n v="1.6804723168210817E-2"/>
    <n v="1130"/>
    <n v="1.1557522123893806"/>
    <n v="19.422095980250734"/>
    <n v="1306"/>
    <n v="1.415929203539823E-2"/>
    <n v="16"/>
    <n v="122.5"/>
    <n v="1960"/>
    <n v="1.5007656967840735"/>
  </r>
  <r>
    <d v="2025-12-23T00:00:00"/>
    <x v="11"/>
    <n v="68598"/>
    <n v="1.1632992215516487E-2"/>
    <n v="798"/>
    <n v="1.4837092731829573"/>
    <n v="17.259978425026969"/>
    <n v="1184"/>
    <n v="2.0050125313283207E-2"/>
    <n v="16"/>
    <n v="192.25"/>
    <n v="3076"/>
    <n v="2.5979729729729728"/>
  </r>
  <r>
    <d v="2025-12-24T00:00:00"/>
    <x v="11"/>
    <n v="72214"/>
    <n v="2.3333425651535712E-2"/>
    <n v="1685"/>
    <n v="1.2824925816023738"/>
    <n v="29.92494530146509"/>
    <n v="2161"/>
    <n v="1.8991097922848664E-2"/>
    <n v="32"/>
    <n v="143.21875"/>
    <n v="4583"/>
    <n v="2.1207774178621008"/>
  </r>
  <r>
    <d v="2025-12-25T00:00:00"/>
    <x v="11"/>
    <n v="101958"/>
    <n v="1.3485945193118735E-2"/>
    <n v="1375"/>
    <n v="1.1076363636363635"/>
    <n v="14.937523293905334"/>
    <n v="1523"/>
    <n v="1.6E-2"/>
    <n v="22"/>
    <n v="140.68181818181819"/>
    <n v="3095"/>
    <n v="2.0321733420879844"/>
  </r>
  <r>
    <d v="2025-12-26T00:00:00"/>
    <x v="11"/>
    <n v="28717"/>
    <n v="2.0545321586516698E-2"/>
    <n v="590"/>
    <n v="1.0881355932203389"/>
    <n v="22.356095692446985"/>
    <n v="642"/>
    <n v="1.3559322033898305E-2"/>
    <n v="8"/>
    <n v="174.625"/>
    <n v="1397"/>
    <n v="2.17601246105919"/>
  </r>
  <r>
    <d v="2025-12-27T00:00:00"/>
    <x v="11"/>
    <n v="98027"/>
    <n v="2.3891376865557448E-2"/>
    <n v="2342"/>
    <n v="1.020068317677199"/>
    <n v="24.370836606241138"/>
    <n v="2389"/>
    <n v="1.152860802732707E-2"/>
    <n v="27"/>
    <n v="185.55555555555554"/>
    <n v="5010"/>
    <n v="2.0971117622436166"/>
  </r>
  <r>
    <d v="2025-12-28T00:00:00"/>
    <x v="11"/>
    <n v="93487"/>
    <n v="2.5361815011712859E-2"/>
    <n v="2371"/>
    <n v="1.6878954027836357"/>
    <n v="42.808090964519131"/>
    <n v="4002"/>
    <n v="1.7714044706874738E-2"/>
    <n v="42"/>
    <n v="160.73809523809524"/>
    <n v="6751"/>
    <n v="1.6869065467266366"/>
  </r>
  <r>
    <d v="2025-12-29T00:00:00"/>
    <x v="11"/>
    <n v="56358"/>
    <n v="1.9997161006423222E-2"/>
    <n v="1127"/>
    <n v="1.1233362910381544"/>
    <n v="22.463536676248271"/>
    <n v="1266"/>
    <n v="1.3309671694764862E-2"/>
    <n v="15"/>
    <n v="108.4"/>
    <n v="1626"/>
    <n v="1.2843601895734598"/>
  </r>
  <r>
    <d v="2025-12-30T00:00:00"/>
    <x v="11"/>
    <n v="46415"/>
    <n v="2.5336636863083056E-2"/>
    <n v="1176"/>
    <n v="1.4923469387755102"/>
    <n v="37.811052461488742"/>
    <n v="1755"/>
    <n v="1.9557823129251702E-2"/>
    <n v="23"/>
    <n v="163.91304347826087"/>
    <n v="3770"/>
    <n v="2.1481481481481484"/>
  </r>
  <r>
    <d v="2025-12-31T00:00:00"/>
    <x v="11"/>
    <n v="83988"/>
    <n v="2.5991808353574321E-2"/>
    <n v="2183"/>
    <n v="1.016491067338525"/>
    <n v="26.420441015383151"/>
    <n v="2219"/>
    <n v="1.8781493357764543E-2"/>
    <n v="41"/>
    <n v="145.09756097560975"/>
    <n v="5949"/>
    <n v="2.68093735917079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 Tables" cacheId="5" applyNumberFormats="0" applyBorderFormats="0" applyFontFormats="0" applyPatternFormats="0" applyAlignmentFormats="0" applyWidthHeightFormats="0" dataCaption="" updatedVersion="8" compact="0" compactData="0">
  <location ref="A2:H16" firstHeaderRow="1" firstDataRow="2" firstDataCol="1"/>
  <pivotFields count="14">
    <pivotField name="Date" compact="0" numFmtId="164" outline="0" multipleItemSelectionAllowed="1" showAll="0"/>
    <pivotField name="Month" axis="axisRow" compact="0" outline="0" multipleItemSelectionAllowed="1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mpressions" dataField="1" compact="0" outline="0" multipleItemSelectionAllowed="1" showAll="0"/>
    <pivotField name="CTR" compact="0" outline="0" multipleItemSelectionAllowed="1" showAll="0"/>
    <pivotField name="Clicks" dataField="1" compact="0" outline="0" multipleItemSelectionAllowed="1" showAll="0"/>
    <pivotField name="CPC" compact="0" numFmtId="167" outline="0" multipleItemSelectionAllowed="1" showAll="0"/>
    <pivotField name="CPM" compact="0" numFmtId="165" outline="0" multipleItemSelectionAllowed="1" showAll="0"/>
    <pivotField name="Spend" dataField="1" compact="0" numFmtId="165" outline="0" multipleItemSelectionAllowed="1" showAll="0"/>
    <pivotField name="Conversion rate" compact="0" outline="0" multipleItemSelectionAllowed="1" showAll="0"/>
    <pivotField name="Conversions" dataField="1" compact="0" outline="0" multipleItemSelectionAllowed="1" showAll="0"/>
    <pivotField name="Avg. conversion value" dataField="1" compact="0" numFmtId="165" outline="0" multipleItemSelectionAllowed="1" showAll="0"/>
    <pivotField name="Revenue" dataField="1" compact="0" numFmtId="165" outline="0" multipleItemSelectionAllowed="1" showAll="0"/>
    <pivotField name="ROAS" compact="0" numFmtId="10" outline="0" multipleItemSelectionAllowed="1" showAll="0"/>
    <pivotField dataField="1" compact="0" outline="0" subtotalTop="0" dragToRow="0" dragToCol="0" dragToPage="0" showAll="0" includeNewItemsInFilter="1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Impressions" fld="2" baseField="0"/>
    <dataField name="SUM of Clicks" fld="4" baseField="0"/>
    <dataField name="SUM of Spend" fld="7" baseField="0"/>
    <dataField name="SUM of Conversions" fld="9" baseField="0"/>
    <dataField name="SUM of Revenue" fld="11" baseField="0"/>
    <dataField name="AVERAGE of Avg. conversion value" fld="10" subtotal="average" baseField="0"/>
    <dataField name="SUM of Calculated Field 1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45658</v>
      </c>
      <c r="B2" s="3">
        <v>27382</v>
      </c>
      <c r="C2" s="3">
        <v>483</v>
      </c>
      <c r="D2" s="4">
        <v>646</v>
      </c>
      <c r="E2" s="3">
        <v>8</v>
      </c>
      <c r="F2" s="4">
        <v>1375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">
        <v>45659</v>
      </c>
      <c r="B3" s="3">
        <v>99168</v>
      </c>
      <c r="C3" s="3">
        <v>1561</v>
      </c>
      <c r="D3" s="4">
        <v>2255</v>
      </c>
      <c r="E3" s="3">
        <v>35</v>
      </c>
      <c r="F3" s="4">
        <v>5159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2">
        <v>45660</v>
      </c>
      <c r="B4" s="3">
        <v>14891</v>
      </c>
      <c r="C4" s="3">
        <v>273</v>
      </c>
      <c r="D4" s="4">
        <v>311</v>
      </c>
      <c r="E4" s="3">
        <v>6</v>
      </c>
      <c r="F4" s="4">
        <v>717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2">
        <v>45661</v>
      </c>
      <c r="B5" s="3">
        <v>42989</v>
      </c>
      <c r="C5" s="3">
        <v>682</v>
      </c>
      <c r="D5" s="4">
        <v>1192</v>
      </c>
      <c r="E5" s="3">
        <v>13</v>
      </c>
      <c r="F5" s="4">
        <v>2969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2">
        <v>45662</v>
      </c>
      <c r="B6" s="3">
        <v>36381</v>
      </c>
      <c r="C6" s="3">
        <v>559</v>
      </c>
      <c r="D6" s="4">
        <v>784</v>
      </c>
      <c r="E6" s="3">
        <v>13</v>
      </c>
      <c r="F6" s="4">
        <v>2556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">
        <v>45663</v>
      </c>
      <c r="B7" s="3">
        <v>56836</v>
      </c>
      <c r="C7" s="3">
        <v>1129</v>
      </c>
      <c r="D7" s="4">
        <v>2015</v>
      </c>
      <c r="E7" s="3">
        <v>16</v>
      </c>
      <c r="F7" s="4">
        <v>2697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2">
        <v>45664</v>
      </c>
      <c r="B8" s="3">
        <v>45926</v>
      </c>
      <c r="C8" s="3">
        <v>1145</v>
      </c>
      <c r="D8" s="4">
        <v>1218</v>
      </c>
      <c r="E8" s="3">
        <v>28</v>
      </c>
      <c r="F8" s="4">
        <v>5549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2">
        <v>45665</v>
      </c>
      <c r="B9" s="3">
        <v>43071</v>
      </c>
      <c r="C9" s="3">
        <v>356</v>
      </c>
      <c r="D9" s="4">
        <v>602</v>
      </c>
      <c r="E9" s="3">
        <v>9</v>
      </c>
      <c r="F9" s="4">
        <v>1395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2">
        <v>45666</v>
      </c>
      <c r="B10" s="3">
        <v>82343</v>
      </c>
      <c r="C10" s="3">
        <v>1867</v>
      </c>
      <c r="D10" s="4">
        <v>2349</v>
      </c>
      <c r="E10" s="3">
        <v>30</v>
      </c>
      <c r="F10" s="4">
        <v>5835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2">
        <v>45667</v>
      </c>
      <c r="B11" s="3">
        <v>76027</v>
      </c>
      <c r="C11" s="3">
        <v>1249</v>
      </c>
      <c r="D11" s="4">
        <v>2416</v>
      </c>
      <c r="E11" s="3">
        <v>16</v>
      </c>
      <c r="F11" s="4">
        <v>3085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2">
        <v>45668</v>
      </c>
      <c r="B12" s="3">
        <v>80956</v>
      </c>
      <c r="C12" s="3">
        <v>733</v>
      </c>
      <c r="D12" s="4">
        <v>1279</v>
      </c>
      <c r="E12" s="3">
        <v>18</v>
      </c>
      <c r="F12" s="4">
        <v>2912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2">
        <v>45669</v>
      </c>
      <c r="B13" s="3">
        <v>68072</v>
      </c>
      <c r="C13" s="3">
        <v>1332</v>
      </c>
      <c r="D13" s="4">
        <v>2367</v>
      </c>
      <c r="E13" s="3">
        <v>15</v>
      </c>
      <c r="F13" s="4">
        <v>3234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2">
        <v>45670</v>
      </c>
      <c r="B14" s="3">
        <v>97608</v>
      </c>
      <c r="C14" s="3">
        <v>1947</v>
      </c>
      <c r="D14" s="4">
        <v>2122</v>
      </c>
      <c r="E14" s="3">
        <v>29</v>
      </c>
      <c r="F14" s="4">
        <v>3395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2">
        <v>45671</v>
      </c>
      <c r="B15" s="3">
        <v>68669</v>
      </c>
      <c r="C15" s="3">
        <v>1236</v>
      </c>
      <c r="D15" s="4">
        <v>2483</v>
      </c>
      <c r="E15" s="3">
        <v>24</v>
      </c>
      <c r="F15" s="4">
        <v>3585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2">
        <v>45672</v>
      </c>
      <c r="B16" s="3">
        <v>65250</v>
      </c>
      <c r="C16" s="3">
        <v>2003</v>
      </c>
      <c r="D16" s="4">
        <v>2482</v>
      </c>
      <c r="E16" s="3">
        <v>24</v>
      </c>
      <c r="F16" s="4">
        <v>2436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2">
        <v>45673</v>
      </c>
      <c r="B17" s="3">
        <v>20589</v>
      </c>
      <c r="C17" s="3">
        <v>580</v>
      </c>
      <c r="D17" s="4">
        <v>1144</v>
      </c>
      <c r="E17" s="3">
        <v>10</v>
      </c>
      <c r="F17" s="4">
        <v>1518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2">
        <v>45674</v>
      </c>
      <c r="B18" s="3">
        <v>92484</v>
      </c>
      <c r="C18" s="3">
        <v>2150</v>
      </c>
      <c r="D18" s="4">
        <v>3541</v>
      </c>
      <c r="E18" s="3">
        <v>56</v>
      </c>
      <c r="F18" s="4">
        <v>9247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2">
        <v>45675</v>
      </c>
      <c r="B19" s="3">
        <v>56463</v>
      </c>
      <c r="C19" s="3">
        <v>1561</v>
      </c>
      <c r="D19" s="4">
        <v>1939</v>
      </c>
      <c r="E19" s="3">
        <v>22</v>
      </c>
      <c r="F19" s="4">
        <v>3328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2">
        <v>45676</v>
      </c>
      <c r="B20" s="3">
        <v>70426</v>
      </c>
      <c r="C20" s="3">
        <v>776</v>
      </c>
      <c r="D20" s="4">
        <v>1388</v>
      </c>
      <c r="E20" s="3">
        <v>19</v>
      </c>
      <c r="F20" s="4">
        <v>2295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2">
        <v>45677</v>
      </c>
      <c r="B21" s="3">
        <v>70773</v>
      </c>
      <c r="C21" s="3">
        <v>952</v>
      </c>
      <c r="D21" s="4">
        <v>1248</v>
      </c>
      <c r="E21" s="3">
        <v>17</v>
      </c>
      <c r="F21" s="4">
        <v>3417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2">
        <v>45678</v>
      </c>
      <c r="B22" s="3">
        <v>62871</v>
      </c>
      <c r="C22" s="3">
        <v>1454</v>
      </c>
      <c r="D22" s="4">
        <v>2214</v>
      </c>
      <c r="E22" s="3">
        <v>27</v>
      </c>
      <c r="F22" s="4">
        <v>4439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2">
        <v>45679</v>
      </c>
      <c r="B23" s="3">
        <v>37897</v>
      </c>
      <c r="C23" s="3">
        <v>482</v>
      </c>
      <c r="D23" s="4">
        <v>659</v>
      </c>
      <c r="E23" s="3">
        <v>10</v>
      </c>
      <c r="F23" s="4">
        <v>1156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2">
        <v>45680</v>
      </c>
      <c r="B24" s="3">
        <v>12972</v>
      </c>
      <c r="C24" s="3">
        <v>156</v>
      </c>
      <c r="D24" s="4">
        <v>146</v>
      </c>
      <c r="E24" s="3">
        <v>3</v>
      </c>
      <c r="F24" s="4">
        <v>546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2">
        <v>45681</v>
      </c>
      <c r="B25" s="3">
        <v>71010</v>
      </c>
      <c r="C25" s="3">
        <v>1165</v>
      </c>
      <c r="D25" s="4">
        <v>1830</v>
      </c>
      <c r="E25" s="3">
        <v>24</v>
      </c>
      <c r="F25" s="4">
        <v>5066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2">
        <v>45682</v>
      </c>
      <c r="B26" s="3">
        <v>43205</v>
      </c>
      <c r="C26" s="3">
        <v>1321</v>
      </c>
      <c r="D26" s="4">
        <v>2170</v>
      </c>
      <c r="E26" s="3">
        <v>27</v>
      </c>
      <c r="F26" s="4">
        <v>4934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2">
        <v>45683</v>
      </c>
      <c r="B27" s="3">
        <v>27299</v>
      </c>
      <c r="C27" s="3">
        <v>352</v>
      </c>
      <c r="D27" s="4">
        <v>556</v>
      </c>
      <c r="E27" s="3">
        <v>6</v>
      </c>
      <c r="F27" s="4">
        <v>1059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2">
        <v>45684</v>
      </c>
      <c r="B28" s="3">
        <v>25667</v>
      </c>
      <c r="C28" s="3">
        <v>378</v>
      </c>
      <c r="D28" s="4">
        <v>729</v>
      </c>
      <c r="E28" s="3">
        <v>7</v>
      </c>
      <c r="F28" s="4">
        <v>1299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2">
        <v>45685</v>
      </c>
      <c r="B29" s="3">
        <v>69148</v>
      </c>
      <c r="C29" s="3">
        <v>679</v>
      </c>
      <c r="D29" s="4">
        <v>1230</v>
      </c>
      <c r="E29" s="3">
        <v>17</v>
      </c>
      <c r="F29" s="4">
        <v>3373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2">
        <v>45686</v>
      </c>
      <c r="B30" s="3">
        <v>28266</v>
      </c>
      <c r="C30" s="3">
        <v>781</v>
      </c>
      <c r="D30" s="4">
        <v>809</v>
      </c>
      <c r="E30" s="3">
        <v>12</v>
      </c>
      <c r="F30" s="4">
        <v>2450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2">
        <v>45687</v>
      </c>
      <c r="B31" s="3">
        <v>47724</v>
      </c>
      <c r="C31" s="3">
        <v>1392</v>
      </c>
      <c r="D31" s="4">
        <v>2368</v>
      </c>
      <c r="E31" s="3">
        <v>26</v>
      </c>
      <c r="F31" s="4">
        <v>3396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2">
        <v>45688</v>
      </c>
      <c r="B32" s="3">
        <v>77744</v>
      </c>
      <c r="C32" s="3">
        <v>1438</v>
      </c>
      <c r="D32" s="4">
        <v>2291</v>
      </c>
      <c r="E32" s="3">
        <v>32</v>
      </c>
      <c r="F32" s="4">
        <v>4586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2">
        <v>45689</v>
      </c>
      <c r="B33" s="3">
        <v>99439</v>
      </c>
      <c r="C33" s="3">
        <v>2594</v>
      </c>
      <c r="D33" s="4">
        <v>2851</v>
      </c>
      <c r="E33" s="3">
        <v>55</v>
      </c>
      <c r="F33" s="4">
        <v>7336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2">
        <v>45690</v>
      </c>
      <c r="B34" s="3">
        <v>29408</v>
      </c>
      <c r="C34" s="3">
        <v>413</v>
      </c>
      <c r="D34" s="4">
        <v>689</v>
      </c>
      <c r="E34" s="3">
        <v>8</v>
      </c>
      <c r="F34" s="4">
        <v>1410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2">
        <v>45691</v>
      </c>
      <c r="B35" s="3">
        <v>27715</v>
      </c>
      <c r="C35" s="3">
        <v>667</v>
      </c>
      <c r="D35" s="4">
        <v>693</v>
      </c>
      <c r="E35" s="3">
        <v>14</v>
      </c>
      <c r="F35" s="4">
        <v>2306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2">
        <v>45692</v>
      </c>
      <c r="B36" s="3">
        <v>15515</v>
      </c>
      <c r="C36" s="3">
        <v>403</v>
      </c>
      <c r="D36" s="4">
        <v>484</v>
      </c>
      <c r="E36" s="3">
        <v>7</v>
      </c>
      <c r="F36" s="4">
        <v>1049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2">
        <v>45693</v>
      </c>
      <c r="B37" s="3">
        <v>70280</v>
      </c>
      <c r="C37" s="3">
        <v>2077</v>
      </c>
      <c r="D37" s="4">
        <v>3965</v>
      </c>
      <c r="E37" s="3">
        <v>34</v>
      </c>
      <c r="F37" s="4">
        <v>7054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2">
        <v>45694</v>
      </c>
      <c r="B38" s="3">
        <v>81872</v>
      </c>
      <c r="C38" s="3">
        <v>931</v>
      </c>
      <c r="D38" s="4">
        <v>1516</v>
      </c>
      <c r="E38" s="3">
        <v>19</v>
      </c>
      <c r="F38" s="4">
        <v>2339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2">
        <v>45695</v>
      </c>
      <c r="B39" s="3">
        <v>81286</v>
      </c>
      <c r="C39" s="3">
        <v>2201</v>
      </c>
      <c r="D39" s="4">
        <v>3493</v>
      </c>
      <c r="E39" s="3">
        <v>37</v>
      </c>
      <c r="F39" s="4">
        <v>6543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2">
        <v>45696</v>
      </c>
      <c r="B40" s="3">
        <v>77915</v>
      </c>
      <c r="C40" s="3">
        <v>915</v>
      </c>
      <c r="D40" s="4">
        <v>924</v>
      </c>
      <c r="E40" s="3">
        <v>17</v>
      </c>
      <c r="F40" s="4">
        <v>3141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2">
        <v>45697</v>
      </c>
      <c r="B41" s="3">
        <v>60396</v>
      </c>
      <c r="C41" s="3">
        <v>1697</v>
      </c>
      <c r="D41" s="4">
        <v>3283</v>
      </c>
      <c r="E41" s="3">
        <v>20</v>
      </c>
      <c r="F41" s="4">
        <v>2627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2">
        <v>45698</v>
      </c>
      <c r="B42" s="3">
        <v>43446</v>
      </c>
      <c r="C42" s="3">
        <v>1145</v>
      </c>
      <c r="D42" s="4">
        <v>1306</v>
      </c>
      <c r="E42" s="3">
        <v>30</v>
      </c>
      <c r="F42" s="4">
        <v>5977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2">
        <v>45699</v>
      </c>
      <c r="B43" s="3">
        <v>70724</v>
      </c>
      <c r="C43" s="3">
        <v>1905</v>
      </c>
      <c r="D43" s="4">
        <v>2225</v>
      </c>
      <c r="E43" s="3">
        <v>25</v>
      </c>
      <c r="F43" s="4">
        <v>5329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2">
        <v>45700</v>
      </c>
      <c r="B44" s="3">
        <v>85306</v>
      </c>
      <c r="C44" s="3">
        <v>1671</v>
      </c>
      <c r="D44" s="4">
        <v>1644</v>
      </c>
      <c r="E44" s="3">
        <v>26</v>
      </c>
      <c r="F44" s="4">
        <v>4736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2">
        <v>45701</v>
      </c>
      <c r="B45" s="3">
        <v>23751</v>
      </c>
      <c r="C45" s="3">
        <v>534</v>
      </c>
      <c r="D45" s="4">
        <v>744</v>
      </c>
      <c r="E45" s="3">
        <v>11</v>
      </c>
      <c r="F45" s="4">
        <v>1819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2">
        <v>45702</v>
      </c>
      <c r="B46" s="3">
        <v>82792</v>
      </c>
      <c r="C46" s="3">
        <v>1948</v>
      </c>
      <c r="D46" s="4">
        <v>2546</v>
      </c>
      <c r="E46" s="3">
        <v>37</v>
      </c>
      <c r="F46" s="4">
        <v>6758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2">
        <v>45703</v>
      </c>
      <c r="B47" s="3">
        <v>68924</v>
      </c>
      <c r="C47" s="3">
        <v>1909</v>
      </c>
      <c r="D47" s="4">
        <v>3369</v>
      </c>
      <c r="E47" s="3">
        <v>23</v>
      </c>
      <c r="F47" s="4">
        <v>4586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2">
        <v>45704</v>
      </c>
      <c r="B48" s="3">
        <v>13626</v>
      </c>
      <c r="C48" s="3">
        <v>196</v>
      </c>
      <c r="D48" s="4">
        <v>372</v>
      </c>
      <c r="E48" s="3">
        <v>4</v>
      </c>
      <c r="F48" s="4">
        <v>776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2">
        <v>45705</v>
      </c>
      <c r="B49" s="3">
        <v>10725</v>
      </c>
      <c r="C49" s="3">
        <v>175</v>
      </c>
      <c r="D49" s="4">
        <v>359</v>
      </c>
      <c r="E49" s="3">
        <v>3</v>
      </c>
      <c r="F49" s="4">
        <v>749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2">
        <v>45706</v>
      </c>
      <c r="B50" s="3">
        <v>50562</v>
      </c>
      <c r="C50" s="3">
        <v>684</v>
      </c>
      <c r="D50" s="4">
        <v>1454</v>
      </c>
      <c r="E50" s="3">
        <v>9</v>
      </c>
      <c r="F50" s="4">
        <v>1719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2">
        <v>45707</v>
      </c>
      <c r="B51" s="3">
        <v>27479</v>
      </c>
      <c r="C51" s="3">
        <v>637</v>
      </c>
      <c r="D51" s="4">
        <v>1247</v>
      </c>
      <c r="E51" s="3">
        <v>12</v>
      </c>
      <c r="F51" s="4">
        <v>1452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2">
        <v>45708</v>
      </c>
      <c r="B52" s="3">
        <v>75592</v>
      </c>
      <c r="C52" s="3">
        <v>1183</v>
      </c>
      <c r="D52" s="4">
        <v>2209</v>
      </c>
      <c r="E52" s="3">
        <v>28</v>
      </c>
      <c r="F52" s="4">
        <v>4594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2">
        <v>45709</v>
      </c>
      <c r="B53" s="3">
        <v>91898</v>
      </c>
      <c r="C53" s="3">
        <v>974</v>
      </c>
      <c r="D53" s="4">
        <v>1708</v>
      </c>
      <c r="E53" s="3">
        <v>13</v>
      </c>
      <c r="F53" s="4">
        <v>1541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2">
        <v>45710</v>
      </c>
      <c r="B54" s="3">
        <v>61770</v>
      </c>
      <c r="C54" s="3">
        <v>829</v>
      </c>
      <c r="D54" s="4">
        <v>1646</v>
      </c>
      <c r="E54" s="3">
        <v>15</v>
      </c>
      <c r="F54" s="4">
        <v>2285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2">
        <v>45711</v>
      </c>
      <c r="B55" s="3">
        <v>82545</v>
      </c>
      <c r="C55" s="3">
        <v>945</v>
      </c>
      <c r="D55" s="4">
        <v>1626</v>
      </c>
      <c r="E55" s="3">
        <v>22</v>
      </c>
      <c r="F55" s="4">
        <v>4510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2">
        <v>45712</v>
      </c>
      <c r="B56" s="3">
        <v>16999</v>
      </c>
      <c r="C56" s="3">
        <v>452</v>
      </c>
      <c r="D56" s="4">
        <v>576</v>
      </c>
      <c r="E56" s="3">
        <v>6</v>
      </c>
      <c r="F56" s="4">
        <v>711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2">
        <v>45713</v>
      </c>
      <c r="B57" s="3">
        <v>61190</v>
      </c>
      <c r="C57" s="3">
        <v>812</v>
      </c>
      <c r="D57" s="4">
        <v>1014</v>
      </c>
      <c r="E57" s="3">
        <v>15</v>
      </c>
      <c r="F57" s="4">
        <v>1836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2">
        <v>45714</v>
      </c>
      <c r="B58" s="3">
        <v>89019</v>
      </c>
      <c r="C58" s="3">
        <v>2171</v>
      </c>
      <c r="D58" s="4">
        <v>3135</v>
      </c>
      <c r="E58" s="3">
        <v>37</v>
      </c>
      <c r="F58" s="4">
        <v>6005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2">
        <v>45715</v>
      </c>
      <c r="B59" s="3">
        <v>42261</v>
      </c>
      <c r="C59" s="3">
        <v>1269</v>
      </c>
      <c r="D59" s="4">
        <v>2056</v>
      </c>
      <c r="E59" s="3">
        <v>17</v>
      </c>
      <c r="F59" s="4">
        <v>3235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2">
        <v>45716</v>
      </c>
      <c r="B60" s="3">
        <v>14686</v>
      </c>
      <c r="C60" s="3">
        <v>165</v>
      </c>
      <c r="D60" s="4">
        <v>272</v>
      </c>
      <c r="E60" s="3">
        <v>2</v>
      </c>
      <c r="F60" s="4">
        <v>344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2">
        <v>45717</v>
      </c>
      <c r="B61" s="3">
        <v>74275</v>
      </c>
      <c r="C61" s="3">
        <v>1230</v>
      </c>
      <c r="D61" s="4">
        <v>1588</v>
      </c>
      <c r="E61" s="3">
        <v>31</v>
      </c>
      <c r="F61" s="4">
        <v>4037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2">
        <v>45718</v>
      </c>
      <c r="B62" s="3">
        <v>43481</v>
      </c>
      <c r="C62" s="3">
        <v>1411</v>
      </c>
      <c r="D62" s="4">
        <v>2150</v>
      </c>
      <c r="E62" s="3">
        <v>24</v>
      </c>
      <c r="F62" s="4">
        <v>3438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2">
        <v>45719</v>
      </c>
      <c r="B63" s="3">
        <v>24107</v>
      </c>
      <c r="C63" s="3">
        <v>617</v>
      </c>
      <c r="D63" s="4">
        <v>665</v>
      </c>
      <c r="E63" s="3">
        <v>14</v>
      </c>
      <c r="F63" s="4">
        <v>2688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2">
        <v>45720</v>
      </c>
      <c r="B64" s="3">
        <v>34969</v>
      </c>
      <c r="C64" s="3">
        <v>519</v>
      </c>
      <c r="D64" s="4">
        <v>861</v>
      </c>
      <c r="E64" s="3">
        <v>9</v>
      </c>
      <c r="F64" s="4">
        <v>2058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2">
        <v>45721</v>
      </c>
      <c r="B65" s="3">
        <v>56378</v>
      </c>
      <c r="C65" s="3">
        <v>1345</v>
      </c>
      <c r="D65" s="4">
        <v>2366</v>
      </c>
      <c r="E65" s="3">
        <v>31</v>
      </c>
      <c r="F65" s="4">
        <v>3387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2">
        <v>45722</v>
      </c>
      <c r="B66" s="3">
        <v>57170</v>
      </c>
      <c r="C66" s="3">
        <v>1375</v>
      </c>
      <c r="D66" s="4">
        <v>1708</v>
      </c>
      <c r="E66" s="3">
        <v>19</v>
      </c>
      <c r="F66" s="4">
        <v>4204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2">
        <v>45723</v>
      </c>
      <c r="B67" s="3">
        <v>26837</v>
      </c>
      <c r="C67" s="3">
        <v>591</v>
      </c>
      <c r="D67" s="4">
        <v>591</v>
      </c>
      <c r="E67" s="3">
        <v>11</v>
      </c>
      <c r="F67" s="4">
        <v>1041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2">
        <v>45724</v>
      </c>
      <c r="B68" s="3">
        <v>81804</v>
      </c>
      <c r="C68" s="3">
        <v>1809</v>
      </c>
      <c r="D68" s="4">
        <v>2066</v>
      </c>
      <c r="E68" s="3">
        <v>44</v>
      </c>
      <c r="F68" s="4">
        <v>5049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2">
        <v>45725</v>
      </c>
      <c r="B69" s="3">
        <v>69650</v>
      </c>
      <c r="C69" s="3">
        <v>2180</v>
      </c>
      <c r="D69" s="4">
        <v>2532</v>
      </c>
      <c r="E69" s="3">
        <v>45</v>
      </c>
      <c r="F69" s="4">
        <v>7389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2">
        <v>45726</v>
      </c>
      <c r="B70" s="3">
        <v>88162</v>
      </c>
      <c r="C70" s="3">
        <v>1931</v>
      </c>
      <c r="D70" s="4">
        <v>3073</v>
      </c>
      <c r="E70" s="3">
        <v>41</v>
      </c>
      <c r="F70" s="4">
        <v>7091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2">
        <v>45727</v>
      </c>
      <c r="B71" s="3">
        <v>35355</v>
      </c>
      <c r="C71" s="3">
        <v>736</v>
      </c>
      <c r="D71" s="4">
        <v>958</v>
      </c>
      <c r="E71" s="3">
        <v>9</v>
      </c>
      <c r="F71" s="4">
        <v>1713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2">
        <v>45728</v>
      </c>
      <c r="B72" s="3">
        <v>90027</v>
      </c>
      <c r="C72" s="3">
        <v>1414</v>
      </c>
      <c r="D72" s="4">
        <v>2069</v>
      </c>
      <c r="E72" s="3">
        <v>25</v>
      </c>
      <c r="F72" s="4">
        <v>5217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2">
        <v>45729</v>
      </c>
      <c r="B73" s="3">
        <v>25328</v>
      </c>
      <c r="C73" s="3">
        <v>474</v>
      </c>
      <c r="D73" s="4">
        <v>712</v>
      </c>
      <c r="E73" s="3">
        <v>10</v>
      </c>
      <c r="F73" s="4">
        <v>1392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2">
        <v>45730</v>
      </c>
      <c r="B74" s="3">
        <v>59348</v>
      </c>
      <c r="C74" s="3">
        <v>660</v>
      </c>
      <c r="D74" s="4">
        <v>1054</v>
      </c>
      <c r="E74" s="3">
        <v>7</v>
      </c>
      <c r="F74" s="4">
        <v>958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2">
        <v>45731</v>
      </c>
      <c r="B75" s="3">
        <v>24427</v>
      </c>
      <c r="C75" s="3">
        <v>324</v>
      </c>
      <c r="D75" s="4">
        <v>350</v>
      </c>
      <c r="E75" s="3">
        <v>5</v>
      </c>
      <c r="F75" s="4">
        <v>951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2">
        <v>45732</v>
      </c>
      <c r="B76" s="3">
        <v>23408</v>
      </c>
      <c r="C76" s="3">
        <v>502</v>
      </c>
      <c r="D76" s="4">
        <v>832</v>
      </c>
      <c r="E76" s="3">
        <v>9</v>
      </c>
      <c r="F76" s="4">
        <v>981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2">
        <v>45733</v>
      </c>
      <c r="B77" s="3">
        <v>48565</v>
      </c>
      <c r="C77" s="3">
        <v>1530</v>
      </c>
      <c r="D77" s="4">
        <v>2676</v>
      </c>
      <c r="E77" s="3">
        <v>39</v>
      </c>
      <c r="F77" s="4">
        <v>6827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2">
        <v>45734</v>
      </c>
      <c r="B78" s="3">
        <v>37692</v>
      </c>
      <c r="C78" s="3">
        <v>658</v>
      </c>
      <c r="D78" s="4">
        <v>946</v>
      </c>
      <c r="E78" s="3">
        <v>9</v>
      </c>
      <c r="F78" s="4">
        <v>969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2">
        <v>45735</v>
      </c>
      <c r="B79" s="3">
        <v>29345</v>
      </c>
      <c r="C79" s="3">
        <v>596</v>
      </c>
      <c r="D79" s="4">
        <v>843</v>
      </c>
      <c r="E79" s="3">
        <v>12</v>
      </c>
      <c r="F79" s="4">
        <v>2349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2">
        <v>45736</v>
      </c>
      <c r="B80" s="3">
        <v>86428</v>
      </c>
      <c r="C80" s="3">
        <v>883</v>
      </c>
      <c r="D80" s="4">
        <v>1499</v>
      </c>
      <c r="E80" s="3">
        <v>24</v>
      </c>
      <c r="F80" s="4">
        <v>3742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2">
        <v>45737</v>
      </c>
      <c r="B81" s="3">
        <v>29192</v>
      </c>
      <c r="C81" s="3">
        <v>749</v>
      </c>
      <c r="D81" s="4">
        <v>1307</v>
      </c>
      <c r="E81" s="3">
        <v>15</v>
      </c>
      <c r="F81" s="4">
        <v>1624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2">
        <v>45738</v>
      </c>
      <c r="B82" s="3">
        <v>35448</v>
      </c>
      <c r="C82" s="3">
        <v>970</v>
      </c>
      <c r="D82" s="4">
        <v>1099</v>
      </c>
      <c r="E82" s="3">
        <v>14</v>
      </c>
      <c r="F82" s="4">
        <v>2222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2">
        <v>45739</v>
      </c>
      <c r="B83" s="3">
        <v>101862</v>
      </c>
      <c r="C83" s="3">
        <v>1741</v>
      </c>
      <c r="D83" s="4">
        <v>2155</v>
      </c>
      <c r="E83" s="3">
        <v>28</v>
      </c>
      <c r="F83" s="4">
        <v>3688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2">
        <v>45740</v>
      </c>
      <c r="B84" s="3">
        <v>10360</v>
      </c>
      <c r="C84" s="3">
        <v>135</v>
      </c>
      <c r="D84" s="4">
        <v>183</v>
      </c>
      <c r="E84" s="3">
        <v>1</v>
      </c>
      <c r="F84" s="4">
        <v>204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2">
        <v>45741</v>
      </c>
      <c r="B85" s="3">
        <v>74045</v>
      </c>
      <c r="C85" s="3">
        <v>1860</v>
      </c>
      <c r="D85" s="4">
        <v>3214</v>
      </c>
      <c r="E85" s="3">
        <v>34</v>
      </c>
      <c r="F85" s="4">
        <v>3855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2">
        <v>45742</v>
      </c>
      <c r="B86" s="3">
        <v>24404</v>
      </c>
      <c r="C86" s="3">
        <v>565</v>
      </c>
      <c r="D86" s="4">
        <v>615</v>
      </c>
      <c r="E86" s="3">
        <v>13</v>
      </c>
      <c r="F86" s="4">
        <v>1517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2">
        <v>45743</v>
      </c>
      <c r="B87" s="3">
        <v>77058</v>
      </c>
      <c r="C87" s="3">
        <v>1055</v>
      </c>
      <c r="D87" s="4">
        <v>1271</v>
      </c>
      <c r="E87" s="3">
        <v>22</v>
      </c>
      <c r="F87" s="4">
        <v>2602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2">
        <v>45744</v>
      </c>
      <c r="B88" s="3">
        <v>14522</v>
      </c>
      <c r="C88" s="3">
        <v>289</v>
      </c>
      <c r="D88" s="4">
        <v>398</v>
      </c>
      <c r="E88" s="3">
        <v>5</v>
      </c>
      <c r="F88" s="4">
        <v>1031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2">
        <v>45745</v>
      </c>
      <c r="B89" s="3">
        <v>76056</v>
      </c>
      <c r="C89" s="3">
        <v>2246</v>
      </c>
      <c r="D89" s="4">
        <v>3592</v>
      </c>
      <c r="E89" s="3">
        <v>34</v>
      </c>
      <c r="F89" s="4">
        <v>6041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2">
        <v>45746</v>
      </c>
      <c r="B90" s="3">
        <v>62405</v>
      </c>
      <c r="C90" s="3">
        <v>825</v>
      </c>
      <c r="D90" s="4">
        <v>933</v>
      </c>
      <c r="E90" s="3">
        <v>13</v>
      </c>
      <c r="F90" s="4">
        <v>1223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2">
        <v>45747</v>
      </c>
      <c r="B91" s="3">
        <v>48371</v>
      </c>
      <c r="C91" s="3">
        <v>717</v>
      </c>
      <c r="D91" s="4">
        <v>914</v>
      </c>
      <c r="E91" s="3">
        <v>13</v>
      </c>
      <c r="F91" s="4">
        <v>1764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2">
        <v>45748</v>
      </c>
      <c r="B92" s="3">
        <v>66192</v>
      </c>
      <c r="C92" s="3">
        <v>1091</v>
      </c>
      <c r="D92" s="4">
        <v>1864</v>
      </c>
      <c r="E92" s="3">
        <v>23</v>
      </c>
      <c r="F92" s="4">
        <v>2856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2">
        <v>45749</v>
      </c>
      <c r="B93" s="3">
        <v>89399</v>
      </c>
      <c r="C93" s="3">
        <v>1766</v>
      </c>
      <c r="D93" s="4">
        <v>3060</v>
      </c>
      <c r="E93" s="3">
        <v>42</v>
      </c>
      <c r="F93" s="4">
        <v>4626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2">
        <v>45750</v>
      </c>
      <c r="B94" s="3">
        <v>25304</v>
      </c>
      <c r="C94" s="3">
        <v>310</v>
      </c>
      <c r="D94" s="4">
        <v>494</v>
      </c>
      <c r="E94" s="3">
        <v>7</v>
      </c>
      <c r="F94" s="4">
        <v>766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2">
        <v>45751</v>
      </c>
      <c r="B95" s="3">
        <v>65507</v>
      </c>
      <c r="C95" s="3">
        <v>2071</v>
      </c>
      <c r="D95" s="4">
        <v>3219</v>
      </c>
      <c r="E95" s="3">
        <v>50</v>
      </c>
      <c r="F95" s="4">
        <v>6325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2">
        <v>45752</v>
      </c>
      <c r="B96" s="3">
        <v>19085</v>
      </c>
      <c r="C96" s="3">
        <v>446</v>
      </c>
      <c r="D96" s="4">
        <v>767</v>
      </c>
      <c r="E96" s="3">
        <v>7</v>
      </c>
      <c r="F96" s="4">
        <v>697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2">
        <v>45753</v>
      </c>
      <c r="B97" s="3">
        <v>93702</v>
      </c>
      <c r="C97" s="3">
        <v>1766</v>
      </c>
      <c r="D97" s="4">
        <v>3065</v>
      </c>
      <c r="E97" s="3">
        <v>34</v>
      </c>
      <c r="F97" s="4">
        <v>4520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2">
        <v>45754</v>
      </c>
      <c r="B98" s="3">
        <v>77462</v>
      </c>
      <c r="C98" s="3">
        <v>2289</v>
      </c>
      <c r="D98" s="4">
        <v>3794</v>
      </c>
      <c r="E98" s="3">
        <v>39</v>
      </c>
      <c r="F98" s="4">
        <v>6079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2">
        <v>45755</v>
      </c>
      <c r="B99" s="3">
        <v>88889</v>
      </c>
      <c r="C99" s="3">
        <v>2048</v>
      </c>
      <c r="D99" s="4">
        <v>3554</v>
      </c>
      <c r="E99" s="3">
        <v>28</v>
      </c>
      <c r="F99" s="4">
        <v>5852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2">
        <v>45756</v>
      </c>
      <c r="B100" s="3">
        <v>52248</v>
      </c>
      <c r="C100" s="3">
        <v>600</v>
      </c>
      <c r="D100" s="4">
        <v>841</v>
      </c>
      <c r="E100" s="3">
        <v>11</v>
      </c>
      <c r="F100" s="4">
        <v>1309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2">
        <v>45757</v>
      </c>
      <c r="B101" s="3">
        <v>50253</v>
      </c>
      <c r="C101" s="3">
        <v>842</v>
      </c>
      <c r="D101" s="4">
        <v>1067</v>
      </c>
      <c r="E101" s="3">
        <v>11</v>
      </c>
      <c r="F101" s="4">
        <v>1596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2">
        <v>45758</v>
      </c>
      <c r="B102" s="3">
        <v>69120</v>
      </c>
      <c r="C102" s="3">
        <v>2081</v>
      </c>
      <c r="D102" s="4">
        <v>2502</v>
      </c>
      <c r="E102" s="3">
        <v>36</v>
      </c>
      <c r="F102" s="4">
        <v>7537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2">
        <v>45759</v>
      </c>
      <c r="B103" s="3">
        <v>89518</v>
      </c>
      <c r="C103" s="3">
        <v>1740</v>
      </c>
      <c r="D103" s="4">
        <v>2248</v>
      </c>
      <c r="E103" s="3">
        <v>20</v>
      </c>
      <c r="F103" s="4">
        <v>2245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2">
        <v>45760</v>
      </c>
      <c r="B104" s="3">
        <v>22275</v>
      </c>
      <c r="C104" s="3">
        <v>437</v>
      </c>
      <c r="D104" s="4">
        <v>742</v>
      </c>
      <c r="E104" s="3">
        <v>6</v>
      </c>
      <c r="F104" s="4">
        <v>950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2">
        <v>45761</v>
      </c>
      <c r="B105" s="3">
        <v>81832</v>
      </c>
      <c r="C105" s="3">
        <v>1096</v>
      </c>
      <c r="D105" s="4">
        <v>1462</v>
      </c>
      <c r="E105" s="3">
        <v>21</v>
      </c>
      <c r="F105" s="4">
        <v>2994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2">
        <v>45762</v>
      </c>
      <c r="B106" s="3">
        <v>93408</v>
      </c>
      <c r="C106" s="3">
        <v>1841</v>
      </c>
      <c r="D106" s="4">
        <v>3761</v>
      </c>
      <c r="E106" s="3">
        <v>38</v>
      </c>
      <c r="F106" s="4">
        <v>6588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2">
        <v>45763</v>
      </c>
      <c r="B107" s="3">
        <v>23712</v>
      </c>
      <c r="C107" s="3">
        <v>342</v>
      </c>
      <c r="D107" s="4">
        <v>403</v>
      </c>
      <c r="E107" s="3">
        <v>8</v>
      </c>
      <c r="F107" s="4">
        <v>1188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2">
        <v>45764</v>
      </c>
      <c r="B108" s="3">
        <v>82162</v>
      </c>
      <c r="C108" s="3">
        <v>1007</v>
      </c>
      <c r="D108" s="4">
        <v>1787</v>
      </c>
      <c r="E108" s="3">
        <v>20</v>
      </c>
      <c r="F108" s="4">
        <v>3433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2">
        <v>45765</v>
      </c>
      <c r="B109" s="3">
        <v>100916</v>
      </c>
      <c r="C109" s="3">
        <v>1972</v>
      </c>
      <c r="D109" s="4">
        <v>2696</v>
      </c>
      <c r="E109" s="3">
        <v>47</v>
      </c>
      <c r="F109" s="4">
        <v>5840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2">
        <v>45766</v>
      </c>
      <c r="B110" s="3">
        <v>20494</v>
      </c>
      <c r="C110" s="3">
        <v>411</v>
      </c>
      <c r="D110" s="4">
        <v>734</v>
      </c>
      <c r="E110" s="3">
        <v>4</v>
      </c>
      <c r="F110" s="4">
        <v>669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2">
        <v>45767</v>
      </c>
      <c r="B111" s="3">
        <v>47284</v>
      </c>
      <c r="C111" s="3">
        <v>707</v>
      </c>
      <c r="D111" s="4">
        <v>1291</v>
      </c>
      <c r="E111" s="3">
        <v>16</v>
      </c>
      <c r="F111" s="4">
        <v>3600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2">
        <v>45768</v>
      </c>
      <c r="B112" s="3">
        <v>78176</v>
      </c>
      <c r="C112" s="3">
        <v>2261</v>
      </c>
      <c r="D112" s="4">
        <v>3261</v>
      </c>
      <c r="E112" s="3">
        <v>56</v>
      </c>
      <c r="F112" s="4">
        <v>10954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2">
        <v>45769</v>
      </c>
      <c r="B113" s="3">
        <v>89388</v>
      </c>
      <c r="C113" s="3">
        <v>1918</v>
      </c>
      <c r="D113" s="4">
        <v>3469</v>
      </c>
      <c r="E113" s="3">
        <v>28</v>
      </c>
      <c r="F113" s="4">
        <v>4371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2">
        <v>45770</v>
      </c>
      <c r="B114" s="3">
        <v>77748</v>
      </c>
      <c r="C114" s="3">
        <v>2094</v>
      </c>
      <c r="D114" s="4">
        <v>2230</v>
      </c>
      <c r="E114" s="3">
        <v>36</v>
      </c>
      <c r="F114" s="4">
        <v>6501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2">
        <v>45771</v>
      </c>
      <c r="B115" s="3">
        <v>94167</v>
      </c>
      <c r="C115" s="3">
        <v>1058</v>
      </c>
      <c r="D115" s="4">
        <v>1999</v>
      </c>
      <c r="E115" s="3">
        <v>24</v>
      </c>
      <c r="F115" s="4">
        <v>4267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2">
        <v>45772</v>
      </c>
      <c r="B116" s="3">
        <v>47093</v>
      </c>
      <c r="C116" s="3">
        <v>1075</v>
      </c>
      <c r="D116" s="4">
        <v>2054</v>
      </c>
      <c r="E116" s="3">
        <v>24</v>
      </c>
      <c r="F116" s="4">
        <v>4539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2">
        <v>45773</v>
      </c>
      <c r="B117" s="3">
        <v>74564</v>
      </c>
      <c r="C117" s="3">
        <v>963</v>
      </c>
      <c r="D117" s="4">
        <v>1738</v>
      </c>
      <c r="E117" s="3">
        <v>19</v>
      </c>
      <c r="F117" s="4">
        <v>3606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2">
        <v>45774</v>
      </c>
      <c r="B118" s="3">
        <v>24692</v>
      </c>
      <c r="C118" s="3">
        <v>530</v>
      </c>
      <c r="D118" s="4">
        <v>1094</v>
      </c>
      <c r="E118" s="3">
        <v>9</v>
      </c>
      <c r="F118" s="4">
        <v>1232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2">
        <v>45775</v>
      </c>
      <c r="B119" s="3">
        <v>62217</v>
      </c>
      <c r="C119" s="3">
        <v>758</v>
      </c>
      <c r="D119" s="4">
        <v>817</v>
      </c>
      <c r="E119" s="3">
        <v>14</v>
      </c>
      <c r="F119" s="4">
        <v>2120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2">
        <v>45776</v>
      </c>
      <c r="B120" s="3">
        <v>43646</v>
      </c>
      <c r="C120" s="3">
        <v>865</v>
      </c>
      <c r="D120" s="4">
        <v>1049</v>
      </c>
      <c r="E120" s="3">
        <v>15</v>
      </c>
      <c r="F120" s="4">
        <v>1917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2">
        <v>45777</v>
      </c>
      <c r="B121" s="3">
        <v>71389</v>
      </c>
      <c r="C121" s="3">
        <v>1246</v>
      </c>
      <c r="D121" s="4">
        <v>2223</v>
      </c>
      <c r="E121" s="3">
        <v>24</v>
      </c>
      <c r="F121" s="4">
        <v>3196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2">
        <v>45778</v>
      </c>
      <c r="B122" s="3">
        <v>12921</v>
      </c>
      <c r="C122" s="3">
        <v>236</v>
      </c>
      <c r="D122" s="4">
        <v>304</v>
      </c>
      <c r="E122" s="3">
        <v>4</v>
      </c>
      <c r="F122" s="4">
        <v>536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2">
        <v>45779</v>
      </c>
      <c r="B123" s="3">
        <v>103581</v>
      </c>
      <c r="C123" s="3">
        <v>1340</v>
      </c>
      <c r="D123" s="4">
        <v>1866</v>
      </c>
      <c r="E123" s="3">
        <v>26</v>
      </c>
      <c r="F123" s="4">
        <v>2804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2">
        <v>45780</v>
      </c>
      <c r="B124" s="3">
        <v>54332</v>
      </c>
      <c r="C124" s="3">
        <v>1428</v>
      </c>
      <c r="D124" s="4">
        <v>2190</v>
      </c>
      <c r="E124" s="3">
        <v>25</v>
      </c>
      <c r="F124" s="4">
        <v>3204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2">
        <v>45781</v>
      </c>
      <c r="B125" s="3">
        <v>55120</v>
      </c>
      <c r="C125" s="3">
        <v>1418</v>
      </c>
      <c r="D125" s="4">
        <v>2187</v>
      </c>
      <c r="E125" s="3">
        <v>31</v>
      </c>
      <c r="F125" s="4">
        <v>4734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2">
        <v>45782</v>
      </c>
      <c r="B126" s="3">
        <v>96681</v>
      </c>
      <c r="C126" s="3">
        <v>1609</v>
      </c>
      <c r="D126" s="4">
        <v>3118</v>
      </c>
      <c r="E126" s="3">
        <v>41</v>
      </c>
      <c r="F126" s="4">
        <v>6627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2">
        <v>45783</v>
      </c>
      <c r="B127" s="3">
        <v>49655</v>
      </c>
      <c r="C127" s="3">
        <v>1000</v>
      </c>
      <c r="D127" s="4">
        <v>967</v>
      </c>
      <c r="E127" s="3">
        <v>18</v>
      </c>
      <c r="F127" s="4">
        <v>2988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2">
        <v>45784</v>
      </c>
      <c r="B128" s="3">
        <v>63861</v>
      </c>
      <c r="C128" s="3">
        <v>1700</v>
      </c>
      <c r="D128" s="4">
        <v>3788</v>
      </c>
      <c r="E128" s="3">
        <v>26</v>
      </c>
      <c r="F128" s="4">
        <v>2707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2">
        <v>45785</v>
      </c>
      <c r="B129" s="3">
        <v>21459</v>
      </c>
      <c r="C129" s="3">
        <v>453</v>
      </c>
      <c r="D129" s="4">
        <v>595</v>
      </c>
      <c r="E129" s="3">
        <v>6</v>
      </c>
      <c r="F129" s="4">
        <v>947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2">
        <v>45786</v>
      </c>
      <c r="B130" s="3">
        <v>84694</v>
      </c>
      <c r="C130" s="3">
        <v>2083</v>
      </c>
      <c r="D130" s="4">
        <v>2461</v>
      </c>
      <c r="E130" s="3">
        <v>47</v>
      </c>
      <c r="F130" s="4">
        <v>7073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2">
        <v>45787</v>
      </c>
      <c r="B131" s="3">
        <v>67730</v>
      </c>
      <c r="C131" s="3">
        <v>2042</v>
      </c>
      <c r="D131" s="4">
        <v>3410</v>
      </c>
      <c r="E131" s="3">
        <v>41</v>
      </c>
      <c r="F131" s="4">
        <v>5943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2">
        <v>45788</v>
      </c>
      <c r="B132" s="3">
        <v>11298</v>
      </c>
      <c r="C132" s="3">
        <v>221</v>
      </c>
      <c r="D132" s="4">
        <v>476</v>
      </c>
      <c r="E132" s="3">
        <v>4</v>
      </c>
      <c r="F132" s="4">
        <v>446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2">
        <v>45789</v>
      </c>
      <c r="B133" s="3">
        <v>29109</v>
      </c>
      <c r="C133" s="3">
        <v>838</v>
      </c>
      <c r="D133" s="4">
        <v>1285</v>
      </c>
      <c r="E133" s="3">
        <v>12</v>
      </c>
      <c r="F133" s="4">
        <v>2401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2">
        <v>45790</v>
      </c>
      <c r="B134" s="3">
        <v>44468</v>
      </c>
      <c r="C134" s="3">
        <v>833</v>
      </c>
      <c r="D134" s="4">
        <v>962</v>
      </c>
      <c r="E134" s="3">
        <v>13</v>
      </c>
      <c r="F134" s="4">
        <v>1802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2">
        <v>45791</v>
      </c>
      <c r="B135" s="3">
        <v>90661</v>
      </c>
      <c r="C135" s="3">
        <v>1514</v>
      </c>
      <c r="D135" s="4">
        <v>3002</v>
      </c>
      <c r="E135" s="3">
        <v>18</v>
      </c>
      <c r="F135" s="4">
        <v>2201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2">
        <v>45792</v>
      </c>
      <c r="B136" s="3">
        <v>16417</v>
      </c>
      <c r="C136" s="3">
        <v>375</v>
      </c>
      <c r="D136" s="4">
        <v>338</v>
      </c>
      <c r="E136" s="3">
        <v>7</v>
      </c>
      <c r="F136" s="4">
        <v>977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2">
        <v>45793</v>
      </c>
      <c r="B137" s="3">
        <v>58031</v>
      </c>
      <c r="C137" s="3">
        <v>1173</v>
      </c>
      <c r="D137" s="4">
        <v>1358</v>
      </c>
      <c r="E137" s="3">
        <v>30</v>
      </c>
      <c r="F137" s="4">
        <v>5036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2">
        <v>45794</v>
      </c>
      <c r="B138" s="3">
        <v>47140</v>
      </c>
      <c r="C138" s="3">
        <v>914</v>
      </c>
      <c r="D138" s="4">
        <v>1198</v>
      </c>
      <c r="E138" s="3">
        <v>15</v>
      </c>
      <c r="F138" s="4">
        <v>2108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2">
        <v>45795</v>
      </c>
      <c r="B139" s="3">
        <v>90411</v>
      </c>
      <c r="C139" s="3">
        <v>1358</v>
      </c>
      <c r="D139" s="4">
        <v>2312</v>
      </c>
      <c r="E139" s="3">
        <v>35</v>
      </c>
      <c r="F139" s="4">
        <v>5335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2">
        <v>45796</v>
      </c>
      <c r="B140" s="3">
        <v>66203</v>
      </c>
      <c r="C140" s="3">
        <v>1881</v>
      </c>
      <c r="D140" s="4">
        <v>2590</v>
      </c>
      <c r="E140" s="3">
        <v>43</v>
      </c>
      <c r="F140" s="4">
        <v>6943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2">
        <v>45797</v>
      </c>
      <c r="B141" s="3">
        <v>76395</v>
      </c>
      <c r="C141" s="3">
        <v>837</v>
      </c>
      <c r="D141" s="4">
        <v>1011</v>
      </c>
      <c r="E141" s="3">
        <v>10</v>
      </c>
      <c r="F141" s="4">
        <v>1181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2">
        <v>45798</v>
      </c>
      <c r="B142" s="3">
        <v>91812</v>
      </c>
      <c r="C142" s="3">
        <v>1149</v>
      </c>
      <c r="D142" s="4">
        <v>1684</v>
      </c>
      <c r="E142" s="3">
        <v>27</v>
      </c>
      <c r="F142" s="4">
        <v>4979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2">
        <v>45799</v>
      </c>
      <c r="B143" s="3">
        <v>58771</v>
      </c>
      <c r="C143" s="3">
        <v>613</v>
      </c>
      <c r="D143" s="4">
        <v>1228</v>
      </c>
      <c r="E143" s="3">
        <v>15</v>
      </c>
      <c r="F143" s="4">
        <v>2103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2">
        <v>45800</v>
      </c>
      <c r="B144" s="3">
        <v>75641</v>
      </c>
      <c r="C144" s="3">
        <v>1049</v>
      </c>
      <c r="D144" s="4">
        <v>1817</v>
      </c>
      <c r="E144" s="3">
        <v>18</v>
      </c>
      <c r="F144" s="4">
        <v>3100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2">
        <v>45801</v>
      </c>
      <c r="B145" s="3">
        <v>92985</v>
      </c>
      <c r="C145" s="3">
        <v>1003</v>
      </c>
      <c r="D145" s="4">
        <v>1612</v>
      </c>
      <c r="E145" s="3">
        <v>17</v>
      </c>
      <c r="F145" s="4">
        <v>2647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2">
        <v>45802</v>
      </c>
      <c r="B146" s="3">
        <v>66186</v>
      </c>
      <c r="C146" s="3">
        <v>1708</v>
      </c>
      <c r="D146" s="4">
        <v>3574</v>
      </c>
      <c r="E146" s="3">
        <v>24</v>
      </c>
      <c r="F146" s="4">
        <v>3426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2">
        <v>45803</v>
      </c>
      <c r="B147" s="3">
        <v>78687</v>
      </c>
      <c r="C147" s="3">
        <v>2106</v>
      </c>
      <c r="D147" s="4">
        <v>3613</v>
      </c>
      <c r="E147" s="3">
        <v>43</v>
      </c>
      <c r="F147" s="4">
        <v>6825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2">
        <v>45804</v>
      </c>
      <c r="B148" s="3">
        <v>30424</v>
      </c>
      <c r="C148" s="3">
        <v>705</v>
      </c>
      <c r="D148" s="4">
        <v>983</v>
      </c>
      <c r="E148" s="3">
        <v>10</v>
      </c>
      <c r="F148" s="4">
        <v>1825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2">
        <v>45805</v>
      </c>
      <c r="B149" s="3">
        <v>70366</v>
      </c>
      <c r="C149" s="3">
        <v>2205</v>
      </c>
      <c r="D149" s="4">
        <v>3427</v>
      </c>
      <c r="E149" s="3">
        <v>45</v>
      </c>
      <c r="F149" s="4">
        <v>7945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2">
        <v>45806</v>
      </c>
      <c r="B150" s="3">
        <v>62817</v>
      </c>
      <c r="C150" s="3">
        <v>1155</v>
      </c>
      <c r="D150" s="4">
        <v>1311</v>
      </c>
      <c r="E150" s="3">
        <v>28</v>
      </c>
      <c r="F150" s="4">
        <v>3567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2">
        <v>45807</v>
      </c>
      <c r="B151" s="3">
        <v>38503</v>
      </c>
      <c r="C151" s="3">
        <v>1107</v>
      </c>
      <c r="D151" s="4">
        <v>2252</v>
      </c>
      <c r="E151" s="3">
        <v>19</v>
      </c>
      <c r="F151" s="4">
        <v>3816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2">
        <v>45808</v>
      </c>
      <c r="B152" s="3">
        <v>22102</v>
      </c>
      <c r="C152" s="3">
        <v>335</v>
      </c>
      <c r="D152" s="4">
        <v>429</v>
      </c>
      <c r="E152" s="3">
        <v>4</v>
      </c>
      <c r="F152" s="4">
        <v>701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2">
        <v>45809</v>
      </c>
      <c r="B153" s="3">
        <v>50120</v>
      </c>
      <c r="C153" s="3">
        <v>1288</v>
      </c>
      <c r="D153" s="4">
        <v>1271</v>
      </c>
      <c r="E153" s="3">
        <v>21</v>
      </c>
      <c r="F153" s="4">
        <v>2836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2">
        <v>45810</v>
      </c>
      <c r="B154" s="3">
        <v>93058</v>
      </c>
      <c r="C154" s="3">
        <v>1684</v>
      </c>
      <c r="D154" s="4">
        <v>3313</v>
      </c>
      <c r="E154" s="3">
        <v>40</v>
      </c>
      <c r="F154" s="4">
        <v>4000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2">
        <v>45811</v>
      </c>
      <c r="B155" s="3">
        <v>25134</v>
      </c>
      <c r="C155" s="3">
        <v>578</v>
      </c>
      <c r="D155" s="4">
        <v>1066</v>
      </c>
      <c r="E155" s="3">
        <v>13</v>
      </c>
      <c r="F155" s="4">
        <v>2492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2">
        <v>45812</v>
      </c>
      <c r="B156" s="3">
        <v>54615</v>
      </c>
      <c r="C156" s="3">
        <v>1112</v>
      </c>
      <c r="D156" s="4">
        <v>1886</v>
      </c>
      <c r="E156" s="3">
        <v>30</v>
      </c>
      <c r="F156" s="4">
        <v>3273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2">
        <v>45813</v>
      </c>
      <c r="B157" s="3">
        <v>62835</v>
      </c>
      <c r="C157" s="3">
        <v>1859</v>
      </c>
      <c r="D157" s="4">
        <v>2105</v>
      </c>
      <c r="E157" s="3">
        <v>39</v>
      </c>
      <c r="F157" s="4">
        <v>5184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2">
        <v>45814</v>
      </c>
      <c r="B158" s="3">
        <v>76734</v>
      </c>
      <c r="C158" s="3">
        <v>1230</v>
      </c>
      <c r="D158" s="4">
        <v>2439</v>
      </c>
      <c r="E158" s="3">
        <v>27</v>
      </c>
      <c r="F158" s="4">
        <v>3115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2">
        <v>45815</v>
      </c>
      <c r="B159" s="3">
        <v>71613</v>
      </c>
      <c r="C159" s="3">
        <v>1530</v>
      </c>
      <c r="D159" s="4">
        <v>2011</v>
      </c>
      <c r="E159" s="3">
        <v>34</v>
      </c>
      <c r="F159" s="4">
        <v>6967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2">
        <v>45816</v>
      </c>
      <c r="B160" s="3">
        <v>91004</v>
      </c>
      <c r="C160" s="3">
        <v>2013</v>
      </c>
      <c r="D160" s="4">
        <v>2560</v>
      </c>
      <c r="E160" s="3">
        <v>32</v>
      </c>
      <c r="F160" s="4">
        <v>7188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2">
        <v>45817</v>
      </c>
      <c r="B161" s="3">
        <v>43271</v>
      </c>
      <c r="C161" s="3">
        <v>604</v>
      </c>
      <c r="D161" s="4">
        <v>963</v>
      </c>
      <c r="E161" s="3">
        <v>8</v>
      </c>
      <c r="F161" s="4">
        <v>1079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2">
        <v>45818</v>
      </c>
      <c r="B162" s="3">
        <v>82193</v>
      </c>
      <c r="C162" s="3">
        <v>2477</v>
      </c>
      <c r="D162" s="4">
        <v>2685</v>
      </c>
      <c r="E162" s="3">
        <v>31</v>
      </c>
      <c r="F162" s="4">
        <v>3895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2">
        <v>45819</v>
      </c>
      <c r="B163" s="3">
        <v>94018</v>
      </c>
      <c r="C163" s="3">
        <v>1165</v>
      </c>
      <c r="D163" s="4">
        <v>1513</v>
      </c>
      <c r="E163" s="3">
        <v>14</v>
      </c>
      <c r="F163" s="4">
        <v>2727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2">
        <v>45820</v>
      </c>
      <c r="B164" s="3">
        <v>18365</v>
      </c>
      <c r="C164" s="3">
        <v>400</v>
      </c>
      <c r="D164" s="4">
        <v>478</v>
      </c>
      <c r="E164" s="3">
        <v>8</v>
      </c>
      <c r="F164" s="4">
        <v>1616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2">
        <v>45821</v>
      </c>
      <c r="B165" s="3">
        <v>40263</v>
      </c>
      <c r="C165" s="3">
        <v>1219</v>
      </c>
      <c r="D165" s="4">
        <v>2622</v>
      </c>
      <c r="E165" s="3">
        <v>30</v>
      </c>
      <c r="F165" s="4">
        <v>5056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2">
        <v>45822</v>
      </c>
      <c r="B166" s="3">
        <v>63312</v>
      </c>
      <c r="C166" s="3">
        <v>1142</v>
      </c>
      <c r="D166" s="4">
        <v>1531</v>
      </c>
      <c r="E166" s="3">
        <v>22</v>
      </c>
      <c r="F166" s="4">
        <v>3795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2">
        <v>45823</v>
      </c>
      <c r="B167" s="3">
        <v>77585</v>
      </c>
      <c r="C167" s="3">
        <v>2126</v>
      </c>
      <c r="D167" s="4">
        <v>2678</v>
      </c>
      <c r="E167" s="3">
        <v>54</v>
      </c>
      <c r="F167" s="4">
        <v>9400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2">
        <v>45824</v>
      </c>
      <c r="B168" s="3">
        <v>87900</v>
      </c>
      <c r="C168" s="3">
        <v>2531</v>
      </c>
      <c r="D168" s="4">
        <v>4726</v>
      </c>
      <c r="E168" s="3">
        <v>46</v>
      </c>
      <c r="F168" s="4">
        <v>6813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2">
        <v>45825</v>
      </c>
      <c r="B169" s="3">
        <v>30114</v>
      </c>
      <c r="C169" s="3">
        <v>461</v>
      </c>
      <c r="D169" s="4">
        <v>690</v>
      </c>
      <c r="E169" s="3">
        <v>7</v>
      </c>
      <c r="F169" s="4">
        <v>1105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2">
        <v>45826</v>
      </c>
      <c r="B170" s="3">
        <v>30566</v>
      </c>
      <c r="C170" s="3">
        <v>337</v>
      </c>
      <c r="D170" s="4">
        <v>729</v>
      </c>
      <c r="E170" s="3">
        <v>6</v>
      </c>
      <c r="F170" s="4">
        <v>955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2">
        <v>45827</v>
      </c>
      <c r="B171" s="3">
        <v>43028</v>
      </c>
      <c r="C171" s="3">
        <v>1145</v>
      </c>
      <c r="D171" s="4">
        <v>1308</v>
      </c>
      <c r="E171" s="3">
        <v>16</v>
      </c>
      <c r="F171" s="4">
        <v>2963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2">
        <v>45828</v>
      </c>
      <c r="B172" s="3">
        <v>58773</v>
      </c>
      <c r="C172" s="3">
        <v>1283</v>
      </c>
      <c r="D172" s="4">
        <v>2329</v>
      </c>
      <c r="E172" s="3">
        <v>34</v>
      </c>
      <c r="F172" s="4">
        <v>6085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2">
        <v>45829</v>
      </c>
      <c r="B173" s="3">
        <v>72129</v>
      </c>
      <c r="C173" s="3">
        <v>2156</v>
      </c>
      <c r="D173" s="4">
        <v>3282</v>
      </c>
      <c r="E173" s="3">
        <v>40</v>
      </c>
      <c r="F173" s="4">
        <v>6904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2">
        <v>45830</v>
      </c>
      <c r="B174" s="3">
        <v>82176</v>
      </c>
      <c r="C174" s="3">
        <v>2279</v>
      </c>
      <c r="D174" s="4">
        <v>4080</v>
      </c>
      <c r="E174" s="3">
        <v>40</v>
      </c>
      <c r="F174" s="4">
        <v>6078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2">
        <v>45831</v>
      </c>
      <c r="B175" s="3">
        <v>65342</v>
      </c>
      <c r="C175" s="3">
        <v>958</v>
      </c>
      <c r="D175" s="4">
        <v>1937</v>
      </c>
      <c r="E175" s="3">
        <v>21</v>
      </c>
      <c r="F175" s="4">
        <v>3520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2">
        <v>45832</v>
      </c>
      <c r="B176" s="3">
        <v>65538</v>
      </c>
      <c r="C176" s="3">
        <v>828</v>
      </c>
      <c r="D176" s="4">
        <v>1458</v>
      </c>
      <c r="E176" s="3">
        <v>17</v>
      </c>
      <c r="F176" s="4">
        <v>2243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2">
        <v>45833</v>
      </c>
      <c r="B177" s="3">
        <v>30692</v>
      </c>
      <c r="C177" s="3">
        <v>485</v>
      </c>
      <c r="D177" s="4">
        <v>620</v>
      </c>
      <c r="E177" s="3">
        <v>8</v>
      </c>
      <c r="F177" s="4">
        <v>1616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2">
        <v>45834</v>
      </c>
      <c r="B178" s="3">
        <v>74313</v>
      </c>
      <c r="C178" s="3">
        <v>1239</v>
      </c>
      <c r="D178" s="4">
        <v>2077</v>
      </c>
      <c r="E178" s="3">
        <v>28</v>
      </c>
      <c r="F178" s="4">
        <v>4642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2">
        <v>45835</v>
      </c>
      <c r="B179" s="3">
        <v>27726</v>
      </c>
      <c r="C179" s="3">
        <v>713</v>
      </c>
      <c r="D179" s="4">
        <v>1424</v>
      </c>
      <c r="E179" s="3">
        <v>15</v>
      </c>
      <c r="F179" s="4">
        <v>2217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2">
        <v>45836</v>
      </c>
      <c r="B180" s="3">
        <v>23031</v>
      </c>
      <c r="C180" s="3">
        <v>477</v>
      </c>
      <c r="D180" s="4">
        <v>864</v>
      </c>
      <c r="E180" s="3">
        <v>9</v>
      </c>
      <c r="F180" s="4">
        <v>1549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2">
        <v>45837</v>
      </c>
      <c r="B181" s="3">
        <v>27504</v>
      </c>
      <c r="C181" s="3">
        <v>419</v>
      </c>
      <c r="D181" s="4">
        <v>473</v>
      </c>
      <c r="E181" s="3">
        <v>9</v>
      </c>
      <c r="F181" s="4">
        <v>1479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2">
        <v>45838</v>
      </c>
      <c r="B182" s="3">
        <v>41452</v>
      </c>
      <c r="C182" s="3">
        <v>843</v>
      </c>
      <c r="D182" s="4">
        <v>1636</v>
      </c>
      <c r="E182" s="3">
        <v>17</v>
      </c>
      <c r="F182" s="4">
        <v>2537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2">
        <v>45839</v>
      </c>
      <c r="B183" s="3">
        <v>84189</v>
      </c>
      <c r="C183" s="3">
        <v>2352</v>
      </c>
      <c r="D183" s="4">
        <v>3264</v>
      </c>
      <c r="E183" s="3">
        <v>46</v>
      </c>
      <c r="F183" s="4">
        <v>8158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2">
        <v>45840</v>
      </c>
      <c r="B184" s="3">
        <v>25428</v>
      </c>
      <c r="C184" s="3">
        <v>637</v>
      </c>
      <c r="D184" s="4">
        <v>659</v>
      </c>
      <c r="E184" s="3">
        <v>14</v>
      </c>
      <c r="F184" s="4">
        <v>2290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2">
        <v>45841</v>
      </c>
      <c r="B185" s="3">
        <v>61279</v>
      </c>
      <c r="C185" s="3">
        <v>1182</v>
      </c>
      <c r="D185" s="4">
        <v>2199</v>
      </c>
      <c r="E185" s="3">
        <v>16</v>
      </c>
      <c r="F185" s="4">
        <v>2458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2">
        <v>45842</v>
      </c>
      <c r="B186" s="3">
        <v>71106</v>
      </c>
      <c r="C186" s="3">
        <v>1243</v>
      </c>
      <c r="D186" s="4">
        <v>1376</v>
      </c>
      <c r="E186" s="3">
        <v>18</v>
      </c>
      <c r="F186" s="4">
        <v>3181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2">
        <v>45843</v>
      </c>
      <c r="B187" s="3">
        <v>88949</v>
      </c>
      <c r="C187" s="3">
        <v>2286</v>
      </c>
      <c r="D187" s="4">
        <v>3586</v>
      </c>
      <c r="E187" s="3">
        <v>28</v>
      </c>
      <c r="F187" s="4">
        <v>4519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2">
        <v>45844</v>
      </c>
      <c r="B188" s="3">
        <v>26132</v>
      </c>
      <c r="C188" s="3">
        <v>546</v>
      </c>
      <c r="D188" s="4">
        <v>757</v>
      </c>
      <c r="E188" s="3">
        <v>7</v>
      </c>
      <c r="F188" s="4">
        <v>893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2">
        <v>45845</v>
      </c>
      <c r="B189" s="3">
        <v>43244</v>
      </c>
      <c r="C189" s="3">
        <v>1187</v>
      </c>
      <c r="D189" s="4">
        <v>1829</v>
      </c>
      <c r="E189" s="3">
        <v>26</v>
      </c>
      <c r="F189" s="4">
        <v>4117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2">
        <v>45846</v>
      </c>
      <c r="B190" s="3">
        <v>75861</v>
      </c>
      <c r="C190" s="3">
        <v>1348</v>
      </c>
      <c r="D190" s="4">
        <v>2756</v>
      </c>
      <c r="E190" s="3">
        <v>31</v>
      </c>
      <c r="F190" s="4">
        <v>3086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2">
        <v>45847</v>
      </c>
      <c r="B191" s="3">
        <v>53933</v>
      </c>
      <c r="C191" s="3">
        <v>904</v>
      </c>
      <c r="D191" s="4">
        <v>1547</v>
      </c>
      <c r="E191" s="3">
        <v>17</v>
      </c>
      <c r="F191" s="4">
        <v>1862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2">
        <v>45848</v>
      </c>
      <c r="B192" s="3">
        <v>49348</v>
      </c>
      <c r="C192" s="3">
        <v>1331</v>
      </c>
      <c r="D192" s="4">
        <v>1852</v>
      </c>
      <c r="E192" s="3">
        <v>16</v>
      </c>
      <c r="F192" s="4">
        <v>2223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2">
        <v>45849</v>
      </c>
      <c r="B193" s="3">
        <v>82290</v>
      </c>
      <c r="C193" s="3">
        <v>1116</v>
      </c>
      <c r="D193" s="4">
        <v>1543</v>
      </c>
      <c r="E193" s="3">
        <v>17</v>
      </c>
      <c r="F193" s="4">
        <v>2839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2">
        <v>45850</v>
      </c>
      <c r="B194" s="3">
        <v>88328</v>
      </c>
      <c r="C194" s="3">
        <v>2752</v>
      </c>
      <c r="D194" s="4">
        <v>3364</v>
      </c>
      <c r="E194" s="3">
        <v>63</v>
      </c>
      <c r="F194" s="4">
        <v>10160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2">
        <v>45851</v>
      </c>
      <c r="B195" s="3">
        <v>39140</v>
      </c>
      <c r="C195" s="3">
        <v>1182</v>
      </c>
      <c r="D195" s="4">
        <v>1803</v>
      </c>
      <c r="E195" s="3">
        <v>21</v>
      </c>
      <c r="F195" s="4">
        <v>4413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2">
        <v>45852</v>
      </c>
      <c r="B196" s="3">
        <v>51534</v>
      </c>
      <c r="C196" s="3">
        <v>679</v>
      </c>
      <c r="D196" s="4">
        <v>1087</v>
      </c>
      <c r="E196" s="3">
        <v>14</v>
      </c>
      <c r="F196" s="4">
        <v>2800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2">
        <v>45853</v>
      </c>
      <c r="B197" s="3">
        <v>66793</v>
      </c>
      <c r="C197" s="3">
        <v>1164</v>
      </c>
      <c r="D197" s="4">
        <v>2154</v>
      </c>
      <c r="E197" s="3">
        <v>23</v>
      </c>
      <c r="F197" s="4">
        <v>3556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2">
        <v>45854</v>
      </c>
      <c r="B198" s="3">
        <v>78188</v>
      </c>
      <c r="C198" s="3">
        <v>2020</v>
      </c>
      <c r="D198" s="4">
        <v>3553</v>
      </c>
      <c r="E198" s="3">
        <v>53</v>
      </c>
      <c r="F198" s="4">
        <v>6337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2">
        <v>45855</v>
      </c>
      <c r="B199" s="3">
        <v>45734</v>
      </c>
      <c r="C199" s="3">
        <v>1260</v>
      </c>
      <c r="D199" s="4">
        <v>1730</v>
      </c>
      <c r="E199" s="3">
        <v>21</v>
      </c>
      <c r="F199" s="4">
        <v>4064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2">
        <v>45856</v>
      </c>
      <c r="B200" s="3">
        <v>73680</v>
      </c>
      <c r="C200" s="3">
        <v>1569</v>
      </c>
      <c r="D200" s="4">
        <v>3248</v>
      </c>
      <c r="E200" s="3">
        <v>22</v>
      </c>
      <c r="F200" s="4">
        <v>2626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2">
        <v>45857</v>
      </c>
      <c r="B201" s="3">
        <v>30301</v>
      </c>
      <c r="C201" s="3">
        <v>434</v>
      </c>
      <c r="D201" s="4">
        <v>529</v>
      </c>
      <c r="E201" s="3">
        <v>11</v>
      </c>
      <c r="F201" s="4">
        <v>1442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2">
        <v>45858</v>
      </c>
      <c r="B202" s="3">
        <v>30343</v>
      </c>
      <c r="C202" s="3">
        <v>994</v>
      </c>
      <c r="D202" s="4">
        <v>1430</v>
      </c>
      <c r="E202" s="3">
        <v>12</v>
      </c>
      <c r="F202" s="4">
        <v>2047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2">
        <v>45859</v>
      </c>
      <c r="B203" s="3">
        <v>21615</v>
      </c>
      <c r="C203" s="3">
        <v>269</v>
      </c>
      <c r="D203" s="4">
        <v>353</v>
      </c>
      <c r="E203" s="3">
        <v>7</v>
      </c>
      <c r="F203" s="4">
        <v>909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2">
        <v>45860</v>
      </c>
      <c r="B204" s="3">
        <v>21183</v>
      </c>
      <c r="C204" s="3">
        <v>374</v>
      </c>
      <c r="D204" s="4">
        <v>671</v>
      </c>
      <c r="E204" s="3">
        <v>5</v>
      </c>
      <c r="F204" s="4">
        <v>590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2">
        <v>45861</v>
      </c>
      <c r="B205" s="3">
        <v>16435</v>
      </c>
      <c r="C205" s="3">
        <v>370</v>
      </c>
      <c r="D205" s="4">
        <v>676</v>
      </c>
      <c r="E205" s="3">
        <v>8</v>
      </c>
      <c r="F205" s="4">
        <v>1532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2">
        <v>45862</v>
      </c>
      <c r="B206" s="3">
        <v>86669</v>
      </c>
      <c r="C206" s="3">
        <v>2094</v>
      </c>
      <c r="D206" s="4">
        <v>2228</v>
      </c>
      <c r="E206" s="3">
        <v>33</v>
      </c>
      <c r="F206" s="4">
        <v>3729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2">
        <v>45863</v>
      </c>
      <c r="B207" s="3">
        <v>41574</v>
      </c>
      <c r="C207" s="3">
        <v>432</v>
      </c>
      <c r="D207" s="4">
        <v>524</v>
      </c>
      <c r="E207" s="3">
        <v>9</v>
      </c>
      <c r="F207" s="4">
        <v>1531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2">
        <v>45864</v>
      </c>
      <c r="B208" s="3">
        <v>18458</v>
      </c>
      <c r="C208" s="3">
        <v>346</v>
      </c>
      <c r="D208" s="4">
        <v>497</v>
      </c>
      <c r="E208" s="3">
        <v>8</v>
      </c>
      <c r="F208" s="4">
        <v>1164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2">
        <v>45865</v>
      </c>
      <c r="B209" s="3">
        <v>50558</v>
      </c>
      <c r="C209" s="3">
        <v>1578</v>
      </c>
      <c r="D209" s="4">
        <v>2890</v>
      </c>
      <c r="E209" s="3">
        <v>21</v>
      </c>
      <c r="F209" s="4">
        <v>2788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2">
        <v>45866</v>
      </c>
      <c r="B210" s="3">
        <v>82330</v>
      </c>
      <c r="C210" s="3">
        <v>1093</v>
      </c>
      <c r="D210" s="4">
        <v>2151</v>
      </c>
      <c r="E210" s="3">
        <v>20</v>
      </c>
      <c r="F210" s="4">
        <v>2313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2">
        <v>45867</v>
      </c>
      <c r="B211" s="3">
        <v>39166</v>
      </c>
      <c r="C211" s="3">
        <v>994</v>
      </c>
      <c r="D211" s="4">
        <v>1238</v>
      </c>
      <c r="E211" s="3">
        <v>17</v>
      </c>
      <c r="F211" s="4">
        <v>2766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2">
        <v>45868</v>
      </c>
      <c r="B212" s="3">
        <v>50849</v>
      </c>
      <c r="C212" s="3">
        <v>855</v>
      </c>
      <c r="D212" s="4">
        <v>889</v>
      </c>
      <c r="E212" s="3">
        <v>13</v>
      </c>
      <c r="F212" s="4">
        <v>2204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2">
        <v>45869</v>
      </c>
      <c r="B213" s="3">
        <v>37335</v>
      </c>
      <c r="C213" s="3">
        <v>849</v>
      </c>
      <c r="D213" s="4">
        <v>1640</v>
      </c>
      <c r="E213" s="3">
        <v>18</v>
      </c>
      <c r="F213" s="4">
        <v>2975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2">
        <v>45870</v>
      </c>
      <c r="B214" s="3">
        <v>51942</v>
      </c>
      <c r="C214" s="3">
        <v>860</v>
      </c>
      <c r="D214" s="4">
        <v>1163</v>
      </c>
      <c r="E214" s="3">
        <v>13</v>
      </c>
      <c r="F214" s="4">
        <v>2157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2">
        <v>45871</v>
      </c>
      <c r="B215" s="3">
        <v>52511</v>
      </c>
      <c r="C215" s="3">
        <v>798</v>
      </c>
      <c r="D215" s="4">
        <v>941</v>
      </c>
      <c r="E215" s="3">
        <v>19</v>
      </c>
      <c r="F215" s="4">
        <v>2383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2">
        <v>45872</v>
      </c>
      <c r="B216" s="3">
        <v>72199</v>
      </c>
      <c r="C216" s="3">
        <v>1967</v>
      </c>
      <c r="D216" s="4">
        <v>2870</v>
      </c>
      <c r="E216" s="3">
        <v>47</v>
      </c>
      <c r="F216" s="4">
        <v>6460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2">
        <v>45873</v>
      </c>
      <c r="B217" s="3">
        <v>41541</v>
      </c>
      <c r="C217" s="3">
        <v>737</v>
      </c>
      <c r="D217" s="4">
        <v>1286</v>
      </c>
      <c r="E217" s="3">
        <v>13</v>
      </c>
      <c r="F217" s="4">
        <v>2077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2">
        <v>45874</v>
      </c>
      <c r="B218" s="3">
        <v>37318</v>
      </c>
      <c r="C218" s="3">
        <v>868</v>
      </c>
      <c r="D218" s="4">
        <v>1358</v>
      </c>
      <c r="E218" s="3">
        <v>15</v>
      </c>
      <c r="F218" s="4">
        <v>1994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2">
        <v>45875</v>
      </c>
      <c r="B219" s="3">
        <v>44137</v>
      </c>
      <c r="C219" s="3">
        <v>638</v>
      </c>
      <c r="D219" s="4">
        <v>686</v>
      </c>
      <c r="E219" s="3">
        <v>14</v>
      </c>
      <c r="F219" s="4">
        <v>1869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2">
        <v>45876</v>
      </c>
      <c r="B220" s="3">
        <v>58673</v>
      </c>
      <c r="C220" s="3">
        <v>2040</v>
      </c>
      <c r="D220" s="4">
        <v>3395</v>
      </c>
      <c r="E220" s="3">
        <v>41</v>
      </c>
      <c r="F220" s="4">
        <v>7863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2">
        <v>45877</v>
      </c>
      <c r="B221" s="3">
        <v>106960</v>
      </c>
      <c r="C221" s="3">
        <v>1659</v>
      </c>
      <c r="D221" s="4">
        <v>1903</v>
      </c>
      <c r="E221" s="3">
        <v>33</v>
      </c>
      <c r="F221" s="4">
        <v>4388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2">
        <v>45878</v>
      </c>
      <c r="B222" s="3">
        <v>35706</v>
      </c>
      <c r="C222" s="3">
        <v>356</v>
      </c>
      <c r="D222" s="4">
        <v>463</v>
      </c>
      <c r="E222" s="3">
        <v>9</v>
      </c>
      <c r="F222" s="4">
        <v>1065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2">
        <v>45879</v>
      </c>
      <c r="B223" s="3">
        <v>52249</v>
      </c>
      <c r="C223" s="3">
        <v>1286</v>
      </c>
      <c r="D223" s="4">
        <v>2414</v>
      </c>
      <c r="E223" s="3">
        <v>14</v>
      </c>
      <c r="F223" s="4">
        <v>2299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2">
        <v>45880</v>
      </c>
      <c r="B224" s="3">
        <v>80576</v>
      </c>
      <c r="C224" s="3">
        <v>1153</v>
      </c>
      <c r="D224" s="4">
        <v>2068</v>
      </c>
      <c r="E224" s="3">
        <v>26</v>
      </c>
      <c r="F224" s="4">
        <v>2980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2">
        <v>45881</v>
      </c>
      <c r="B225" s="3">
        <v>17630</v>
      </c>
      <c r="C225" s="3">
        <v>307</v>
      </c>
      <c r="D225" s="4">
        <v>589</v>
      </c>
      <c r="E225" s="3">
        <v>6</v>
      </c>
      <c r="F225" s="4">
        <v>1086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2">
        <v>45882</v>
      </c>
      <c r="B226" s="3">
        <v>53805</v>
      </c>
      <c r="C226" s="3">
        <v>752</v>
      </c>
      <c r="D226" s="4">
        <v>1138</v>
      </c>
      <c r="E226" s="3">
        <v>9</v>
      </c>
      <c r="F226" s="4">
        <v>1033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2">
        <v>45883</v>
      </c>
      <c r="B227" s="3">
        <v>87678</v>
      </c>
      <c r="C227" s="3">
        <v>1935</v>
      </c>
      <c r="D227" s="4">
        <v>2728</v>
      </c>
      <c r="E227" s="3">
        <v>36</v>
      </c>
      <c r="F227" s="4">
        <v>7318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2">
        <v>45884</v>
      </c>
      <c r="B228" s="3">
        <v>67967</v>
      </c>
      <c r="C228" s="3">
        <v>2074</v>
      </c>
      <c r="D228" s="4">
        <v>3519</v>
      </c>
      <c r="E228" s="3">
        <v>28</v>
      </c>
      <c r="F228" s="4">
        <v>3599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2">
        <v>45885</v>
      </c>
      <c r="B229" s="3">
        <v>28092</v>
      </c>
      <c r="C229" s="3">
        <v>709</v>
      </c>
      <c r="D229" s="4">
        <v>793</v>
      </c>
      <c r="E229" s="3">
        <v>10</v>
      </c>
      <c r="F229" s="4">
        <v>1473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2">
        <v>45886</v>
      </c>
      <c r="B230" s="3">
        <v>95908</v>
      </c>
      <c r="C230" s="3">
        <v>1324</v>
      </c>
      <c r="D230" s="4">
        <v>2186</v>
      </c>
      <c r="E230" s="3">
        <v>23</v>
      </c>
      <c r="F230" s="4">
        <v>3772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2">
        <v>45887</v>
      </c>
      <c r="B231" s="3">
        <v>78748</v>
      </c>
      <c r="C231" s="3">
        <v>1495</v>
      </c>
      <c r="D231" s="4">
        <v>2270</v>
      </c>
      <c r="E231" s="3">
        <v>35</v>
      </c>
      <c r="F231" s="4">
        <v>4900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2">
        <v>45888</v>
      </c>
      <c r="B232" s="3">
        <v>11723</v>
      </c>
      <c r="C232" s="3">
        <v>250</v>
      </c>
      <c r="D232" s="4">
        <v>397</v>
      </c>
      <c r="E232" s="3">
        <v>5</v>
      </c>
      <c r="F232" s="4">
        <v>714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2">
        <v>45889</v>
      </c>
      <c r="B233" s="3">
        <v>13511</v>
      </c>
      <c r="C233" s="3">
        <v>271</v>
      </c>
      <c r="D233" s="4">
        <v>494</v>
      </c>
      <c r="E233" s="3">
        <v>4</v>
      </c>
      <c r="F233" s="4">
        <v>657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2">
        <v>45890</v>
      </c>
      <c r="B234" s="3">
        <v>11744</v>
      </c>
      <c r="C234" s="3">
        <v>193</v>
      </c>
      <c r="D234" s="4">
        <v>239</v>
      </c>
      <c r="E234" s="3">
        <v>3</v>
      </c>
      <c r="F234" s="4">
        <v>639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2">
        <v>45891</v>
      </c>
      <c r="B235" s="3">
        <v>55379</v>
      </c>
      <c r="C235" s="3">
        <v>1286</v>
      </c>
      <c r="D235" s="4">
        <v>2507</v>
      </c>
      <c r="E235" s="3">
        <v>18</v>
      </c>
      <c r="F235" s="4">
        <v>3217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2">
        <v>45892</v>
      </c>
      <c r="B236" s="3">
        <v>92269</v>
      </c>
      <c r="C236" s="3">
        <v>2105</v>
      </c>
      <c r="D236" s="4">
        <v>2697</v>
      </c>
      <c r="E236" s="3">
        <v>37</v>
      </c>
      <c r="F236" s="4">
        <v>5606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2">
        <v>45893</v>
      </c>
      <c r="B237" s="3">
        <v>24200</v>
      </c>
      <c r="C237" s="3">
        <v>753</v>
      </c>
      <c r="D237" s="4">
        <v>894</v>
      </c>
      <c r="E237" s="3">
        <v>15</v>
      </c>
      <c r="F237" s="4">
        <v>2345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2">
        <v>45894</v>
      </c>
      <c r="B238" s="3">
        <v>94898</v>
      </c>
      <c r="C238" s="3">
        <v>1339</v>
      </c>
      <c r="D238" s="4">
        <v>2621</v>
      </c>
      <c r="E238" s="3">
        <v>24</v>
      </c>
      <c r="F238" s="4">
        <v>4446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2">
        <v>45895</v>
      </c>
      <c r="B239" s="3">
        <v>82128</v>
      </c>
      <c r="C239" s="3">
        <v>1265</v>
      </c>
      <c r="D239" s="4">
        <v>2304</v>
      </c>
      <c r="E239" s="3">
        <v>25</v>
      </c>
      <c r="F239" s="4">
        <v>3616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2">
        <v>45896</v>
      </c>
      <c r="B240" s="3">
        <v>59574</v>
      </c>
      <c r="C240" s="3">
        <v>1379</v>
      </c>
      <c r="D240" s="4">
        <v>2683</v>
      </c>
      <c r="E240" s="3">
        <v>24</v>
      </c>
      <c r="F240" s="4">
        <v>3025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2">
        <v>45897</v>
      </c>
      <c r="B241" s="3">
        <v>24834</v>
      </c>
      <c r="C241" s="3">
        <v>386</v>
      </c>
      <c r="D241" s="4">
        <v>659</v>
      </c>
      <c r="E241" s="3">
        <v>4</v>
      </c>
      <c r="F241" s="4">
        <v>686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2">
        <v>45898</v>
      </c>
      <c r="B242" s="3">
        <v>52708</v>
      </c>
      <c r="C242" s="3">
        <v>619</v>
      </c>
      <c r="D242" s="4">
        <v>896</v>
      </c>
      <c r="E242" s="3">
        <v>14</v>
      </c>
      <c r="F242" s="4">
        <v>2313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2">
        <v>45899</v>
      </c>
      <c r="B243" s="3">
        <v>15425</v>
      </c>
      <c r="C243" s="3">
        <v>292</v>
      </c>
      <c r="D243" s="4">
        <v>620</v>
      </c>
      <c r="E243" s="3">
        <v>5</v>
      </c>
      <c r="F243" s="4">
        <v>603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2">
        <v>45900</v>
      </c>
      <c r="B244" s="3">
        <v>71281</v>
      </c>
      <c r="C244" s="3">
        <v>1339</v>
      </c>
      <c r="D244" s="4">
        <v>1331</v>
      </c>
      <c r="E244" s="3">
        <v>21</v>
      </c>
      <c r="F244" s="4">
        <v>2821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2">
        <v>45901</v>
      </c>
      <c r="B245" s="3">
        <v>86224</v>
      </c>
      <c r="C245" s="3">
        <v>1270</v>
      </c>
      <c r="D245" s="4">
        <v>2626</v>
      </c>
      <c r="E245" s="3">
        <v>28</v>
      </c>
      <c r="F245" s="4">
        <v>3297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2">
        <v>45902</v>
      </c>
      <c r="B246" s="3">
        <v>54980</v>
      </c>
      <c r="C246" s="3">
        <v>1536</v>
      </c>
      <c r="D246" s="4">
        <v>1412</v>
      </c>
      <c r="E246" s="3">
        <v>25</v>
      </c>
      <c r="F246" s="4">
        <v>2705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2">
        <v>45903</v>
      </c>
      <c r="B247" s="3">
        <v>20759</v>
      </c>
      <c r="C247" s="3">
        <v>579</v>
      </c>
      <c r="D247" s="4">
        <v>656</v>
      </c>
      <c r="E247" s="3">
        <v>6</v>
      </c>
      <c r="F247" s="4">
        <v>1270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2">
        <v>45904</v>
      </c>
      <c r="B248" s="3">
        <v>88745</v>
      </c>
      <c r="C248" s="3">
        <v>2322</v>
      </c>
      <c r="D248" s="4">
        <v>3188</v>
      </c>
      <c r="E248" s="3">
        <v>55</v>
      </c>
      <c r="F248" s="4">
        <v>8498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2">
        <v>45905</v>
      </c>
      <c r="B249" s="3">
        <v>90562</v>
      </c>
      <c r="C249" s="3">
        <v>1791</v>
      </c>
      <c r="D249" s="4">
        <v>3166</v>
      </c>
      <c r="E249" s="3">
        <v>32</v>
      </c>
      <c r="F249" s="4">
        <v>6246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2">
        <v>45906</v>
      </c>
      <c r="B250" s="3">
        <v>31457</v>
      </c>
      <c r="C250" s="3">
        <v>770</v>
      </c>
      <c r="D250" s="4">
        <v>1563</v>
      </c>
      <c r="E250" s="3">
        <v>11</v>
      </c>
      <c r="F250" s="4">
        <v>2011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2">
        <v>45907</v>
      </c>
      <c r="B251" s="3">
        <v>16887</v>
      </c>
      <c r="C251" s="3">
        <v>198</v>
      </c>
      <c r="D251" s="4">
        <v>365</v>
      </c>
      <c r="E251" s="3">
        <v>2</v>
      </c>
      <c r="F251" s="4">
        <v>358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2">
        <v>45908</v>
      </c>
      <c r="B252" s="3">
        <v>52594</v>
      </c>
      <c r="C252" s="3">
        <v>599</v>
      </c>
      <c r="D252" s="4">
        <v>1092</v>
      </c>
      <c r="E252" s="3">
        <v>15</v>
      </c>
      <c r="F252" s="4">
        <v>2225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2">
        <v>45909</v>
      </c>
      <c r="B253" s="3">
        <v>16880</v>
      </c>
      <c r="C253" s="3">
        <v>376</v>
      </c>
      <c r="D253" s="4">
        <v>477</v>
      </c>
      <c r="E253" s="3">
        <v>5</v>
      </c>
      <c r="F253" s="4">
        <v>904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2">
        <v>45910</v>
      </c>
      <c r="B254" s="3">
        <v>66692</v>
      </c>
      <c r="C254" s="3">
        <v>1275</v>
      </c>
      <c r="D254" s="4">
        <v>2180</v>
      </c>
      <c r="E254" s="3">
        <v>21</v>
      </c>
      <c r="F254" s="4">
        <v>3156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2">
        <v>45911</v>
      </c>
      <c r="B255" s="3">
        <v>61970</v>
      </c>
      <c r="C255" s="3">
        <v>640</v>
      </c>
      <c r="D255" s="4">
        <v>1111</v>
      </c>
      <c r="E255" s="3">
        <v>14</v>
      </c>
      <c r="F255" s="4">
        <v>2808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2">
        <v>45912</v>
      </c>
      <c r="B256" s="3">
        <v>48632</v>
      </c>
      <c r="C256" s="3">
        <v>701</v>
      </c>
      <c r="D256" s="4">
        <v>1059</v>
      </c>
      <c r="E256" s="3">
        <v>13</v>
      </c>
      <c r="F256" s="4">
        <v>2447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2">
        <v>45913</v>
      </c>
      <c r="B257" s="3">
        <v>91672</v>
      </c>
      <c r="C257" s="3">
        <v>1379</v>
      </c>
      <c r="D257" s="4">
        <v>1561</v>
      </c>
      <c r="E257" s="3">
        <v>35</v>
      </c>
      <c r="F257" s="4">
        <v>5446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2">
        <v>45914</v>
      </c>
      <c r="B258" s="3">
        <v>81449</v>
      </c>
      <c r="C258" s="3">
        <v>1527</v>
      </c>
      <c r="D258" s="4">
        <v>2167</v>
      </c>
      <c r="E258" s="3">
        <v>41</v>
      </c>
      <c r="F258" s="4">
        <v>6863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2">
        <v>45915</v>
      </c>
      <c r="B259" s="3">
        <v>51464</v>
      </c>
      <c r="C259" s="3">
        <v>592</v>
      </c>
      <c r="D259" s="4">
        <v>887</v>
      </c>
      <c r="E259" s="3">
        <v>9</v>
      </c>
      <c r="F259" s="4">
        <v>1242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2">
        <v>45916</v>
      </c>
      <c r="B260" s="3">
        <v>52154</v>
      </c>
      <c r="C260" s="3">
        <v>1496</v>
      </c>
      <c r="D260" s="4">
        <v>2324</v>
      </c>
      <c r="E260" s="3">
        <v>20</v>
      </c>
      <c r="F260" s="4">
        <v>3593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2">
        <v>45917</v>
      </c>
      <c r="B261" s="3">
        <v>31475</v>
      </c>
      <c r="C261" s="3">
        <v>531</v>
      </c>
      <c r="D261" s="4">
        <v>1020</v>
      </c>
      <c r="E261" s="3">
        <v>11</v>
      </c>
      <c r="F261" s="4">
        <v>1433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2">
        <v>45918</v>
      </c>
      <c r="B262" s="3">
        <v>12277</v>
      </c>
      <c r="C262" s="3">
        <v>177</v>
      </c>
      <c r="D262" s="4">
        <v>294</v>
      </c>
      <c r="E262" s="3">
        <v>3</v>
      </c>
      <c r="F262" s="4">
        <v>609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2">
        <v>45919</v>
      </c>
      <c r="B263" s="3">
        <v>13766</v>
      </c>
      <c r="C263" s="3">
        <v>142</v>
      </c>
      <c r="D263" s="4">
        <v>265</v>
      </c>
      <c r="E263" s="3">
        <v>2</v>
      </c>
      <c r="F263" s="4">
        <v>265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2">
        <v>45920</v>
      </c>
      <c r="B264" s="3">
        <v>10679</v>
      </c>
      <c r="C264" s="3">
        <v>156</v>
      </c>
      <c r="D264" s="4">
        <v>316</v>
      </c>
      <c r="E264" s="3">
        <v>3</v>
      </c>
      <c r="F264" s="4">
        <v>414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2">
        <v>45921</v>
      </c>
      <c r="B265" s="3">
        <v>83585</v>
      </c>
      <c r="C265" s="3">
        <v>1442</v>
      </c>
      <c r="D265" s="4">
        <v>1709</v>
      </c>
      <c r="E265" s="3">
        <v>24</v>
      </c>
      <c r="F265" s="4">
        <v>4584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2">
        <v>45922</v>
      </c>
      <c r="B266" s="3">
        <v>85216</v>
      </c>
      <c r="C266" s="3">
        <v>1613</v>
      </c>
      <c r="D266" s="4">
        <v>3053</v>
      </c>
      <c r="E266" s="3">
        <v>31</v>
      </c>
      <c r="F266" s="4">
        <v>6251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2">
        <v>45923</v>
      </c>
      <c r="B267" s="3">
        <v>24444</v>
      </c>
      <c r="C267" s="3">
        <v>721</v>
      </c>
      <c r="D267" s="4">
        <v>1037</v>
      </c>
      <c r="E267" s="3">
        <v>10</v>
      </c>
      <c r="F267" s="4">
        <v>2179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2">
        <v>45924</v>
      </c>
      <c r="B268" s="3">
        <v>51143</v>
      </c>
      <c r="C268" s="3">
        <v>1721</v>
      </c>
      <c r="D268" s="4">
        <v>1863</v>
      </c>
      <c r="E268" s="3">
        <v>37</v>
      </c>
      <c r="F268" s="4">
        <v>4001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2">
        <v>45925</v>
      </c>
      <c r="B269" s="3">
        <v>66440</v>
      </c>
      <c r="C269" s="3">
        <v>868</v>
      </c>
      <c r="D269" s="4">
        <v>1705</v>
      </c>
      <c r="E269" s="3">
        <v>13</v>
      </c>
      <c r="F269" s="4">
        <v>1586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2">
        <v>45926</v>
      </c>
      <c r="B270" s="3">
        <v>65236</v>
      </c>
      <c r="C270" s="3">
        <v>1605</v>
      </c>
      <c r="D270" s="4">
        <v>2595</v>
      </c>
      <c r="E270" s="3">
        <v>37</v>
      </c>
      <c r="F270" s="4">
        <v>6155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2">
        <v>45927</v>
      </c>
      <c r="B271" s="3">
        <v>43894</v>
      </c>
      <c r="C271" s="3">
        <v>628</v>
      </c>
      <c r="D271" s="4">
        <v>944</v>
      </c>
      <c r="E271" s="3">
        <v>13</v>
      </c>
      <c r="F271" s="4">
        <v>2549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2">
        <v>45928</v>
      </c>
      <c r="B272" s="3">
        <v>14553</v>
      </c>
      <c r="C272" s="3">
        <v>228</v>
      </c>
      <c r="D272" s="4">
        <v>272</v>
      </c>
      <c r="E272" s="3">
        <v>5</v>
      </c>
      <c r="F272" s="4">
        <v>593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2">
        <v>45929</v>
      </c>
      <c r="B273" s="3">
        <v>28284</v>
      </c>
      <c r="C273" s="3">
        <v>742</v>
      </c>
      <c r="D273" s="4">
        <v>999</v>
      </c>
      <c r="E273" s="3">
        <v>11</v>
      </c>
      <c r="F273" s="4">
        <v>1367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2">
        <v>45930</v>
      </c>
      <c r="B274" s="3">
        <v>42083</v>
      </c>
      <c r="C274" s="3">
        <v>1040</v>
      </c>
      <c r="D274" s="4">
        <v>1615</v>
      </c>
      <c r="E274" s="3">
        <v>19</v>
      </c>
      <c r="F274" s="4">
        <v>2141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2">
        <v>45931</v>
      </c>
      <c r="B275" s="3">
        <v>61042</v>
      </c>
      <c r="C275" s="3">
        <v>1671</v>
      </c>
      <c r="D275" s="4">
        <v>2682</v>
      </c>
      <c r="E275" s="3">
        <v>30</v>
      </c>
      <c r="F275" s="4">
        <v>6131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2">
        <v>45932</v>
      </c>
      <c r="B276" s="3">
        <v>76058</v>
      </c>
      <c r="C276" s="3">
        <v>2361</v>
      </c>
      <c r="D276" s="4">
        <v>3366</v>
      </c>
      <c r="E276" s="3">
        <v>49</v>
      </c>
      <c r="F276" s="4">
        <v>4917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2">
        <v>45933</v>
      </c>
      <c r="B277" s="3">
        <v>92404</v>
      </c>
      <c r="C277" s="3">
        <v>1801</v>
      </c>
      <c r="D277" s="4">
        <v>1867</v>
      </c>
      <c r="E277" s="3">
        <v>40</v>
      </c>
      <c r="F277" s="4">
        <v>7367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2">
        <v>45934</v>
      </c>
      <c r="B278" s="3">
        <v>87773</v>
      </c>
      <c r="C278" s="3">
        <v>1456</v>
      </c>
      <c r="D278" s="4">
        <v>2180</v>
      </c>
      <c r="E278" s="3">
        <v>37</v>
      </c>
      <c r="F278" s="4">
        <v>7204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2">
        <v>45935</v>
      </c>
      <c r="B279" s="3">
        <v>45616</v>
      </c>
      <c r="C279" s="3">
        <v>836</v>
      </c>
      <c r="D279" s="4">
        <v>1254</v>
      </c>
      <c r="E279" s="3">
        <v>15</v>
      </c>
      <c r="F279" s="4">
        <v>2193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2">
        <v>45936</v>
      </c>
      <c r="B280" s="3">
        <v>51574</v>
      </c>
      <c r="C280" s="3">
        <v>1324</v>
      </c>
      <c r="D280" s="4">
        <v>2347</v>
      </c>
      <c r="E280" s="3">
        <v>22</v>
      </c>
      <c r="F280" s="4">
        <v>3951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2">
        <v>45937</v>
      </c>
      <c r="B281" s="3">
        <v>19918</v>
      </c>
      <c r="C281" s="3">
        <v>404</v>
      </c>
      <c r="D281" s="4">
        <v>488</v>
      </c>
      <c r="E281" s="3">
        <v>5</v>
      </c>
      <c r="F281" s="4">
        <v>1029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2">
        <v>45938</v>
      </c>
      <c r="B282" s="3">
        <v>91666</v>
      </c>
      <c r="C282" s="3">
        <v>1823</v>
      </c>
      <c r="D282" s="4">
        <v>3325</v>
      </c>
      <c r="E282" s="3">
        <v>39</v>
      </c>
      <c r="F282" s="4">
        <v>5127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2">
        <v>45939</v>
      </c>
      <c r="B283" s="3">
        <v>61157</v>
      </c>
      <c r="C283" s="3">
        <v>1132</v>
      </c>
      <c r="D283" s="4">
        <v>1413</v>
      </c>
      <c r="E283" s="3">
        <v>15</v>
      </c>
      <c r="F283" s="4">
        <v>2585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2">
        <v>45940</v>
      </c>
      <c r="B284" s="3">
        <v>82264</v>
      </c>
      <c r="C284" s="3">
        <v>1448</v>
      </c>
      <c r="D284" s="4">
        <v>1768</v>
      </c>
      <c r="E284" s="3">
        <v>39</v>
      </c>
      <c r="F284" s="4">
        <v>4921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2">
        <v>45941</v>
      </c>
      <c r="B285" s="3">
        <v>65303</v>
      </c>
      <c r="C285" s="3">
        <v>1046</v>
      </c>
      <c r="D285" s="4">
        <v>1510</v>
      </c>
      <c r="E285" s="3">
        <v>19</v>
      </c>
      <c r="F285" s="4">
        <v>2470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2">
        <v>45942</v>
      </c>
      <c r="B286" s="3">
        <v>18331</v>
      </c>
      <c r="C286" s="3">
        <v>248</v>
      </c>
      <c r="D286" s="4">
        <v>257</v>
      </c>
      <c r="E286" s="3">
        <v>3</v>
      </c>
      <c r="F286" s="4">
        <v>508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2">
        <v>45943</v>
      </c>
      <c r="B287" s="3">
        <v>91113</v>
      </c>
      <c r="C287" s="3">
        <v>2710</v>
      </c>
      <c r="D287" s="4">
        <v>2479</v>
      </c>
      <c r="E287" s="3">
        <v>54</v>
      </c>
      <c r="F287" s="4">
        <v>5903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2">
        <v>45944</v>
      </c>
      <c r="B288" s="3">
        <v>35818</v>
      </c>
      <c r="C288" s="3">
        <v>917</v>
      </c>
      <c r="D288" s="4">
        <v>1451</v>
      </c>
      <c r="E288" s="3">
        <v>15</v>
      </c>
      <c r="F288" s="4">
        <v>2396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2">
        <v>45945</v>
      </c>
      <c r="B289" s="3">
        <v>53530</v>
      </c>
      <c r="C289" s="3">
        <v>1103</v>
      </c>
      <c r="D289" s="4">
        <v>1625</v>
      </c>
      <c r="E289" s="3">
        <v>22</v>
      </c>
      <c r="F289" s="4">
        <v>3729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2">
        <v>45946</v>
      </c>
      <c r="B290" s="3">
        <v>55679</v>
      </c>
      <c r="C290" s="3">
        <v>852</v>
      </c>
      <c r="D290" s="4">
        <v>889</v>
      </c>
      <c r="E290" s="3">
        <v>16</v>
      </c>
      <c r="F290" s="4">
        <v>2659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2">
        <v>45947</v>
      </c>
      <c r="B291" s="3">
        <v>46054</v>
      </c>
      <c r="C291" s="3">
        <v>714</v>
      </c>
      <c r="D291" s="4">
        <v>1386</v>
      </c>
      <c r="E291" s="3">
        <v>10</v>
      </c>
      <c r="F291" s="4">
        <v>1195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2">
        <v>45948</v>
      </c>
      <c r="B292" s="3">
        <v>24167</v>
      </c>
      <c r="C292" s="3">
        <v>303</v>
      </c>
      <c r="D292" s="4">
        <v>481</v>
      </c>
      <c r="E292" s="3">
        <v>8</v>
      </c>
      <c r="F292" s="4">
        <v>1047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2">
        <v>45949</v>
      </c>
      <c r="B293" s="3">
        <v>15830</v>
      </c>
      <c r="C293" s="3">
        <v>245</v>
      </c>
      <c r="D293" s="4">
        <v>366</v>
      </c>
      <c r="E293" s="3">
        <v>3</v>
      </c>
      <c r="F293" s="4">
        <v>553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2">
        <v>45950</v>
      </c>
      <c r="B294" s="3">
        <v>77941</v>
      </c>
      <c r="C294" s="3">
        <v>1962</v>
      </c>
      <c r="D294" s="4">
        <v>1857</v>
      </c>
      <c r="E294" s="3">
        <v>37</v>
      </c>
      <c r="F294" s="4">
        <v>4952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2">
        <v>45951</v>
      </c>
      <c r="B295" s="3">
        <v>86583</v>
      </c>
      <c r="C295" s="3">
        <v>2081</v>
      </c>
      <c r="D295" s="4">
        <v>2878</v>
      </c>
      <c r="E295" s="3">
        <v>36</v>
      </c>
      <c r="F295" s="4">
        <v>3790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2">
        <v>45952</v>
      </c>
      <c r="B296" s="3">
        <v>63208</v>
      </c>
      <c r="C296" s="3">
        <v>968</v>
      </c>
      <c r="D296" s="4">
        <v>1339</v>
      </c>
      <c r="E296" s="3">
        <v>13</v>
      </c>
      <c r="F296" s="4">
        <v>1620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2">
        <v>45953</v>
      </c>
      <c r="B297" s="3">
        <v>53761</v>
      </c>
      <c r="C297" s="3">
        <v>922</v>
      </c>
      <c r="D297" s="4">
        <v>911</v>
      </c>
      <c r="E297" s="3">
        <v>18</v>
      </c>
      <c r="F297" s="4">
        <v>3360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2">
        <v>45954</v>
      </c>
      <c r="B298" s="3">
        <v>19823</v>
      </c>
      <c r="C298" s="3">
        <v>527</v>
      </c>
      <c r="D298" s="4">
        <v>638</v>
      </c>
      <c r="E298" s="3">
        <v>12</v>
      </c>
      <c r="F298" s="4">
        <v>1417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2">
        <v>45955</v>
      </c>
      <c r="B299" s="3">
        <v>73157</v>
      </c>
      <c r="C299" s="3">
        <v>1205</v>
      </c>
      <c r="D299" s="4">
        <v>1749</v>
      </c>
      <c r="E299" s="3">
        <v>27</v>
      </c>
      <c r="F299" s="4">
        <v>3220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2">
        <v>45956</v>
      </c>
      <c r="B300" s="3">
        <v>17151</v>
      </c>
      <c r="C300" s="3">
        <v>423</v>
      </c>
      <c r="D300" s="4">
        <v>500</v>
      </c>
      <c r="E300" s="3">
        <v>8</v>
      </c>
      <c r="F300" s="4">
        <v>1372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2">
        <v>45957</v>
      </c>
      <c r="B301" s="3">
        <v>47443</v>
      </c>
      <c r="C301" s="3">
        <v>900</v>
      </c>
      <c r="D301" s="4">
        <v>972</v>
      </c>
      <c r="E301" s="3">
        <v>15</v>
      </c>
      <c r="F301" s="4">
        <v>2745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2">
        <v>45958</v>
      </c>
      <c r="B302" s="3">
        <v>56847</v>
      </c>
      <c r="C302" s="3">
        <v>973</v>
      </c>
      <c r="D302" s="4">
        <v>1284</v>
      </c>
      <c r="E302" s="3">
        <v>23</v>
      </c>
      <c r="F302" s="4">
        <v>2908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2">
        <v>45959</v>
      </c>
      <c r="B303" s="3">
        <v>103800</v>
      </c>
      <c r="C303" s="3">
        <v>1907</v>
      </c>
      <c r="D303" s="4">
        <v>3233</v>
      </c>
      <c r="E303" s="3">
        <v>33</v>
      </c>
      <c r="F303" s="4">
        <v>4563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2">
        <v>45960</v>
      </c>
      <c r="B304" s="3">
        <v>61699</v>
      </c>
      <c r="C304" s="3">
        <v>1127</v>
      </c>
      <c r="D304" s="4">
        <v>1422</v>
      </c>
      <c r="E304" s="3">
        <v>21</v>
      </c>
      <c r="F304" s="4">
        <v>3905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2">
        <v>45961</v>
      </c>
      <c r="B305" s="3">
        <v>43734</v>
      </c>
      <c r="C305" s="3">
        <v>1376</v>
      </c>
      <c r="D305" s="4">
        <v>2001</v>
      </c>
      <c r="E305" s="3">
        <v>30</v>
      </c>
      <c r="F305" s="4">
        <v>3837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2">
        <v>45962</v>
      </c>
      <c r="B306" s="3">
        <v>18145</v>
      </c>
      <c r="C306" s="3">
        <v>433</v>
      </c>
      <c r="D306" s="4">
        <v>779</v>
      </c>
      <c r="E306" s="3">
        <v>8</v>
      </c>
      <c r="F306" s="4">
        <v>1310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2">
        <v>45963</v>
      </c>
      <c r="B307" s="3">
        <v>95605</v>
      </c>
      <c r="C307" s="3">
        <v>1966</v>
      </c>
      <c r="D307" s="4">
        <v>2052</v>
      </c>
      <c r="E307" s="3">
        <v>26</v>
      </c>
      <c r="F307" s="4">
        <v>4689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2">
        <v>45964</v>
      </c>
      <c r="B308" s="3">
        <v>12276</v>
      </c>
      <c r="C308" s="3">
        <v>203</v>
      </c>
      <c r="D308" s="4">
        <v>386</v>
      </c>
      <c r="E308" s="3">
        <v>4</v>
      </c>
      <c r="F308" s="4">
        <v>734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2">
        <v>45965</v>
      </c>
      <c r="B309" s="3">
        <v>13289</v>
      </c>
      <c r="C309" s="3">
        <v>234</v>
      </c>
      <c r="D309" s="4">
        <v>450</v>
      </c>
      <c r="E309" s="3">
        <v>4</v>
      </c>
      <c r="F309" s="4">
        <v>521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2">
        <v>45966</v>
      </c>
      <c r="B310" s="3">
        <v>20703</v>
      </c>
      <c r="C310" s="3">
        <v>541</v>
      </c>
      <c r="D310" s="4">
        <v>751</v>
      </c>
      <c r="E310" s="3">
        <v>10</v>
      </c>
      <c r="F310" s="4">
        <v>1573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2">
        <v>45967</v>
      </c>
      <c r="B311" s="3">
        <v>91303</v>
      </c>
      <c r="C311" s="3">
        <v>2704</v>
      </c>
      <c r="D311" s="4">
        <v>2745</v>
      </c>
      <c r="E311" s="3">
        <v>63</v>
      </c>
      <c r="F311" s="4">
        <v>10292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2">
        <v>45968</v>
      </c>
      <c r="B312" s="3">
        <v>35422</v>
      </c>
      <c r="C312" s="3">
        <v>643</v>
      </c>
      <c r="D312" s="4">
        <v>1117</v>
      </c>
      <c r="E312" s="3">
        <v>13</v>
      </c>
      <c r="F312" s="4">
        <v>1746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2">
        <v>45969</v>
      </c>
      <c r="B313" s="3">
        <v>86793</v>
      </c>
      <c r="C313" s="3">
        <v>2282</v>
      </c>
      <c r="D313" s="4">
        <v>2545</v>
      </c>
      <c r="E313" s="3">
        <v>54</v>
      </c>
      <c r="F313" s="4">
        <v>8343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2">
        <v>45970</v>
      </c>
      <c r="B314" s="3">
        <v>70545</v>
      </c>
      <c r="C314" s="3">
        <v>1622</v>
      </c>
      <c r="D314" s="4">
        <v>2471</v>
      </c>
      <c r="E314" s="3">
        <v>36</v>
      </c>
      <c r="F314" s="4">
        <v>6699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2">
        <v>45971</v>
      </c>
      <c r="B315" s="3">
        <v>21885</v>
      </c>
      <c r="C315" s="3">
        <v>473</v>
      </c>
      <c r="D315" s="4">
        <v>577</v>
      </c>
      <c r="E315" s="3">
        <v>10</v>
      </c>
      <c r="F315" s="4">
        <v>1507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2">
        <v>45972</v>
      </c>
      <c r="B316" s="3">
        <v>34153</v>
      </c>
      <c r="C316" s="3">
        <v>443</v>
      </c>
      <c r="D316" s="4">
        <v>377</v>
      </c>
      <c r="E316" s="3">
        <v>9</v>
      </c>
      <c r="F316" s="4">
        <v>1448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2">
        <v>45973</v>
      </c>
      <c r="B317" s="3">
        <v>55954</v>
      </c>
      <c r="C317" s="3">
        <v>717</v>
      </c>
      <c r="D317" s="4">
        <v>1400</v>
      </c>
      <c r="E317" s="3">
        <v>14</v>
      </c>
      <c r="F317" s="4">
        <v>2880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2">
        <v>45974</v>
      </c>
      <c r="B318" s="3">
        <v>101056</v>
      </c>
      <c r="C318" s="3">
        <v>2456</v>
      </c>
      <c r="D318" s="4">
        <v>2655</v>
      </c>
      <c r="E318" s="3">
        <v>30</v>
      </c>
      <c r="F318" s="4">
        <v>3577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2">
        <v>45975</v>
      </c>
      <c r="B319" s="3">
        <v>78238</v>
      </c>
      <c r="C319" s="3">
        <v>1221</v>
      </c>
      <c r="D319" s="4">
        <v>2048</v>
      </c>
      <c r="E319" s="3">
        <v>19</v>
      </c>
      <c r="F319" s="4">
        <v>2874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2">
        <v>45976</v>
      </c>
      <c r="B320" s="3">
        <v>73143</v>
      </c>
      <c r="C320" s="3">
        <v>1265</v>
      </c>
      <c r="D320" s="4">
        <v>1357</v>
      </c>
      <c r="E320" s="3">
        <v>18</v>
      </c>
      <c r="F320" s="4">
        <v>2304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2">
        <v>45977</v>
      </c>
      <c r="B321" s="3">
        <v>59011</v>
      </c>
      <c r="C321" s="3">
        <v>529</v>
      </c>
      <c r="D321" s="4">
        <v>751</v>
      </c>
      <c r="E321" s="3">
        <v>12</v>
      </c>
      <c r="F321" s="4">
        <v>1595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2">
        <v>45978</v>
      </c>
      <c r="B322" s="3">
        <v>68100</v>
      </c>
      <c r="C322" s="3">
        <v>1984</v>
      </c>
      <c r="D322" s="4">
        <v>2552</v>
      </c>
      <c r="E322" s="3">
        <v>50</v>
      </c>
      <c r="F322" s="4">
        <v>7546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2">
        <v>45979</v>
      </c>
      <c r="B323" s="3">
        <v>72521</v>
      </c>
      <c r="C323" s="3">
        <v>977</v>
      </c>
      <c r="D323" s="4">
        <v>1649</v>
      </c>
      <c r="E323" s="3">
        <v>24</v>
      </c>
      <c r="F323" s="4">
        <v>3333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2">
        <v>45980</v>
      </c>
      <c r="B324" s="3">
        <v>61360</v>
      </c>
      <c r="C324" s="3">
        <v>783</v>
      </c>
      <c r="D324" s="4">
        <v>1327</v>
      </c>
      <c r="E324" s="3">
        <v>11</v>
      </c>
      <c r="F324" s="4">
        <v>1757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2">
        <v>45981</v>
      </c>
      <c r="B325" s="3">
        <v>79103</v>
      </c>
      <c r="C325" s="3">
        <v>1466</v>
      </c>
      <c r="D325" s="4">
        <v>1778</v>
      </c>
      <c r="E325" s="3">
        <v>32</v>
      </c>
      <c r="F325" s="4">
        <v>6269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2">
        <v>45982</v>
      </c>
      <c r="B326" s="3">
        <v>24707</v>
      </c>
      <c r="C326" s="3">
        <v>282</v>
      </c>
      <c r="D326" s="4">
        <v>415</v>
      </c>
      <c r="E326" s="3">
        <v>6</v>
      </c>
      <c r="F326" s="4">
        <v>1119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2">
        <v>45983</v>
      </c>
      <c r="B327" s="3">
        <v>90610</v>
      </c>
      <c r="C327" s="3">
        <v>2321</v>
      </c>
      <c r="D327" s="4">
        <v>3228</v>
      </c>
      <c r="E327" s="3">
        <v>37</v>
      </c>
      <c r="F327" s="4">
        <v>3925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2">
        <v>45984</v>
      </c>
      <c r="B328" s="3">
        <v>65307</v>
      </c>
      <c r="C328" s="3">
        <v>784</v>
      </c>
      <c r="D328" s="4">
        <v>1151</v>
      </c>
      <c r="E328" s="3">
        <v>9</v>
      </c>
      <c r="F328" s="4">
        <v>1626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2">
        <v>45985</v>
      </c>
      <c r="B329" s="3">
        <v>48991</v>
      </c>
      <c r="C329" s="3">
        <v>743</v>
      </c>
      <c r="D329" s="4">
        <v>1302</v>
      </c>
      <c r="E329" s="3">
        <v>10</v>
      </c>
      <c r="F329" s="4">
        <v>1484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2">
        <v>45986</v>
      </c>
      <c r="B330" s="3">
        <v>17772</v>
      </c>
      <c r="C330" s="3">
        <v>225</v>
      </c>
      <c r="D330" s="4">
        <v>350</v>
      </c>
      <c r="E330" s="3">
        <v>3</v>
      </c>
      <c r="F330" s="4">
        <v>592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2">
        <v>45987</v>
      </c>
      <c r="B331" s="3">
        <v>15340</v>
      </c>
      <c r="C331" s="3">
        <v>161</v>
      </c>
      <c r="D331" s="4">
        <v>304</v>
      </c>
      <c r="E331" s="3">
        <v>3</v>
      </c>
      <c r="F331" s="4">
        <v>430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2">
        <v>45988</v>
      </c>
      <c r="B332" s="3">
        <v>14040</v>
      </c>
      <c r="C332" s="3">
        <v>235</v>
      </c>
      <c r="D332" s="4">
        <v>370</v>
      </c>
      <c r="E332" s="3">
        <v>3</v>
      </c>
      <c r="F332" s="4">
        <v>586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2">
        <v>45989</v>
      </c>
      <c r="B333" s="3">
        <v>76119</v>
      </c>
      <c r="C333" s="3">
        <v>1764</v>
      </c>
      <c r="D333" s="4">
        <v>3154</v>
      </c>
      <c r="E333" s="3">
        <v>22</v>
      </c>
      <c r="F333" s="4">
        <v>2812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2">
        <v>45990</v>
      </c>
      <c r="B334" s="3">
        <v>27517</v>
      </c>
      <c r="C334" s="3">
        <v>702</v>
      </c>
      <c r="D334" s="4">
        <v>1088</v>
      </c>
      <c r="E334" s="3">
        <v>10</v>
      </c>
      <c r="F334" s="4">
        <v>1905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2">
        <v>45991</v>
      </c>
      <c r="B335" s="3">
        <v>38969</v>
      </c>
      <c r="C335" s="3">
        <v>1025</v>
      </c>
      <c r="D335" s="4">
        <v>1451</v>
      </c>
      <c r="E335" s="3">
        <v>17</v>
      </c>
      <c r="F335" s="4">
        <v>2868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2">
        <v>45992</v>
      </c>
      <c r="B336" s="3">
        <v>106305</v>
      </c>
      <c r="C336" s="3">
        <v>2531</v>
      </c>
      <c r="D336" s="4">
        <v>2905</v>
      </c>
      <c r="E336" s="3">
        <v>31</v>
      </c>
      <c r="F336" s="4">
        <v>5833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2">
        <v>45993</v>
      </c>
      <c r="B337" s="3">
        <v>86838</v>
      </c>
      <c r="C337" s="3">
        <v>1805</v>
      </c>
      <c r="D337" s="4">
        <v>2577</v>
      </c>
      <c r="E337" s="3">
        <v>37</v>
      </c>
      <c r="F337" s="4">
        <v>6574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2">
        <v>45994</v>
      </c>
      <c r="B338" s="3">
        <v>63290</v>
      </c>
      <c r="C338" s="3">
        <v>730</v>
      </c>
      <c r="D338" s="4">
        <v>1257</v>
      </c>
      <c r="E338" s="3">
        <v>12</v>
      </c>
      <c r="F338" s="4">
        <v>2476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2">
        <v>45995</v>
      </c>
      <c r="B339" s="3">
        <v>110538</v>
      </c>
      <c r="C339" s="3">
        <v>2668</v>
      </c>
      <c r="D339" s="4">
        <v>5060</v>
      </c>
      <c r="E339" s="3">
        <v>66</v>
      </c>
      <c r="F339" s="4">
        <v>11025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2">
        <v>45996</v>
      </c>
      <c r="B340" s="3">
        <v>78543</v>
      </c>
      <c r="C340" s="3">
        <v>749</v>
      </c>
      <c r="D340" s="4">
        <v>1211</v>
      </c>
      <c r="E340" s="3">
        <v>17</v>
      </c>
      <c r="F340" s="4">
        <v>2394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2">
        <v>45997</v>
      </c>
      <c r="B341" s="3">
        <v>51464</v>
      </c>
      <c r="C341" s="3">
        <v>1626</v>
      </c>
      <c r="D341" s="4">
        <v>2787</v>
      </c>
      <c r="E341" s="3">
        <v>22</v>
      </c>
      <c r="F341" s="4">
        <v>4551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2">
        <v>45998</v>
      </c>
      <c r="B342" s="3">
        <v>69466</v>
      </c>
      <c r="C342" s="3">
        <v>1623</v>
      </c>
      <c r="D342" s="4">
        <v>2087</v>
      </c>
      <c r="E342" s="3">
        <v>31</v>
      </c>
      <c r="F342" s="4">
        <v>4149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2">
        <v>45999</v>
      </c>
      <c r="B343" s="3">
        <v>104688</v>
      </c>
      <c r="C343" s="3">
        <v>1635</v>
      </c>
      <c r="D343" s="4">
        <v>3452</v>
      </c>
      <c r="E343" s="3">
        <v>29</v>
      </c>
      <c r="F343" s="4">
        <v>5835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2">
        <v>46000</v>
      </c>
      <c r="B344" s="3">
        <v>75437</v>
      </c>
      <c r="C344" s="3">
        <v>1700</v>
      </c>
      <c r="D344" s="4">
        <v>2936</v>
      </c>
      <c r="E344" s="3">
        <v>38</v>
      </c>
      <c r="F344" s="4">
        <v>5132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2">
        <v>46001</v>
      </c>
      <c r="B345" s="3">
        <v>45951</v>
      </c>
      <c r="C345" s="3">
        <v>906</v>
      </c>
      <c r="D345" s="4">
        <v>1458</v>
      </c>
      <c r="E345" s="3">
        <v>11</v>
      </c>
      <c r="F345" s="4">
        <v>1636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2">
        <v>46002</v>
      </c>
      <c r="B346" s="3">
        <v>67590</v>
      </c>
      <c r="C346" s="3">
        <v>712</v>
      </c>
      <c r="D346" s="4">
        <v>1535</v>
      </c>
      <c r="E346" s="3">
        <v>9</v>
      </c>
      <c r="F346" s="4">
        <v>1779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2">
        <v>46003</v>
      </c>
      <c r="B347" s="3">
        <v>34901</v>
      </c>
      <c r="C347" s="3">
        <v>345</v>
      </c>
      <c r="D347" s="4">
        <v>630</v>
      </c>
      <c r="E347" s="3">
        <v>4</v>
      </c>
      <c r="F347" s="4">
        <v>603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2">
        <v>46004</v>
      </c>
      <c r="B348" s="3">
        <v>117250</v>
      </c>
      <c r="C348" s="3">
        <v>2341</v>
      </c>
      <c r="D348" s="4">
        <v>3446</v>
      </c>
      <c r="E348" s="3">
        <v>45</v>
      </c>
      <c r="F348" s="4">
        <v>6394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2">
        <v>46005</v>
      </c>
      <c r="B349" s="3">
        <v>23580</v>
      </c>
      <c r="C349" s="3">
        <v>690</v>
      </c>
      <c r="D349" s="4">
        <v>1219</v>
      </c>
      <c r="E349" s="3">
        <v>12</v>
      </c>
      <c r="F349" s="4">
        <v>1969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2">
        <v>46006</v>
      </c>
      <c r="B350" s="3">
        <v>118209</v>
      </c>
      <c r="C350" s="3">
        <v>3022</v>
      </c>
      <c r="D350" s="4">
        <v>4503</v>
      </c>
      <c r="E350" s="3">
        <v>55</v>
      </c>
      <c r="F350" s="4">
        <v>6257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2">
        <v>46007</v>
      </c>
      <c r="B351" s="3">
        <v>88263</v>
      </c>
      <c r="C351" s="3">
        <v>2247</v>
      </c>
      <c r="D351" s="4">
        <v>2807</v>
      </c>
      <c r="E351" s="3">
        <v>54</v>
      </c>
      <c r="F351" s="4">
        <v>10718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2">
        <v>46008</v>
      </c>
      <c r="B352" s="3">
        <v>47023</v>
      </c>
      <c r="C352" s="3">
        <v>740</v>
      </c>
      <c r="D352" s="4">
        <v>1013</v>
      </c>
      <c r="E352" s="3">
        <v>9</v>
      </c>
      <c r="F352" s="4">
        <v>1798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2">
        <v>46009</v>
      </c>
      <c r="B353" s="3">
        <v>92320</v>
      </c>
      <c r="C353" s="3">
        <v>1798</v>
      </c>
      <c r="D353" s="4">
        <v>2881</v>
      </c>
      <c r="E353" s="3">
        <v>30</v>
      </c>
      <c r="F353" s="4">
        <v>5413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2">
        <v>46010</v>
      </c>
      <c r="B354" s="3">
        <v>75577</v>
      </c>
      <c r="C354" s="3">
        <v>2223</v>
      </c>
      <c r="D354" s="4">
        <v>4012</v>
      </c>
      <c r="E354" s="3">
        <v>35</v>
      </c>
      <c r="F354" s="4">
        <v>4791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2">
        <v>46011</v>
      </c>
      <c r="B355" s="3">
        <v>97231</v>
      </c>
      <c r="C355" s="3">
        <v>2509</v>
      </c>
      <c r="D355" s="4">
        <v>3337</v>
      </c>
      <c r="E355" s="3">
        <v>37</v>
      </c>
      <c r="F355" s="4">
        <v>6166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2">
        <v>46012</v>
      </c>
      <c r="B356" s="3">
        <v>22728</v>
      </c>
      <c r="C356" s="3">
        <v>263</v>
      </c>
      <c r="D356" s="4">
        <v>395</v>
      </c>
      <c r="E356" s="3">
        <v>4</v>
      </c>
      <c r="F356" s="4">
        <v>799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2">
        <v>46013</v>
      </c>
      <c r="B357" s="3">
        <v>67243</v>
      </c>
      <c r="C357" s="3">
        <v>1130</v>
      </c>
      <c r="D357" s="4">
        <v>1306</v>
      </c>
      <c r="E357" s="3">
        <v>16</v>
      </c>
      <c r="F357" s="4">
        <v>1960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2">
        <v>46014</v>
      </c>
      <c r="B358" s="3">
        <v>68598</v>
      </c>
      <c r="C358" s="3">
        <v>798</v>
      </c>
      <c r="D358" s="4">
        <v>1184</v>
      </c>
      <c r="E358" s="3">
        <v>16</v>
      </c>
      <c r="F358" s="4">
        <v>3076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2">
        <v>46015</v>
      </c>
      <c r="B359" s="3">
        <v>72214</v>
      </c>
      <c r="C359" s="3">
        <v>1685</v>
      </c>
      <c r="D359" s="4">
        <v>2161</v>
      </c>
      <c r="E359" s="3">
        <v>32</v>
      </c>
      <c r="F359" s="4">
        <v>4583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2">
        <v>46016</v>
      </c>
      <c r="B360" s="3">
        <v>101958</v>
      </c>
      <c r="C360" s="3">
        <v>1375</v>
      </c>
      <c r="D360" s="4">
        <v>1523</v>
      </c>
      <c r="E360" s="3">
        <v>22</v>
      </c>
      <c r="F360" s="4">
        <v>3095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2">
        <v>46017</v>
      </c>
      <c r="B361" s="3">
        <v>28717</v>
      </c>
      <c r="C361" s="3">
        <v>590</v>
      </c>
      <c r="D361" s="4">
        <v>642</v>
      </c>
      <c r="E361" s="3">
        <v>8</v>
      </c>
      <c r="F361" s="4">
        <v>1397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2">
        <v>46018</v>
      </c>
      <c r="B362" s="3">
        <v>98027</v>
      </c>
      <c r="C362" s="3">
        <v>2342</v>
      </c>
      <c r="D362" s="4">
        <v>2389</v>
      </c>
      <c r="E362" s="3">
        <v>27</v>
      </c>
      <c r="F362" s="4">
        <v>5010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2">
        <v>46019</v>
      </c>
      <c r="B363" s="3">
        <v>93487</v>
      </c>
      <c r="C363" s="3">
        <v>2371</v>
      </c>
      <c r="D363" s="4">
        <v>4002</v>
      </c>
      <c r="E363" s="3">
        <v>42</v>
      </c>
      <c r="F363" s="4">
        <v>6751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2">
        <v>46020</v>
      </c>
      <c r="B364" s="3">
        <v>56358</v>
      </c>
      <c r="C364" s="3">
        <v>1127</v>
      </c>
      <c r="D364" s="4">
        <v>1266</v>
      </c>
      <c r="E364" s="3">
        <v>15</v>
      </c>
      <c r="F364" s="4">
        <v>1626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2">
        <v>46021</v>
      </c>
      <c r="B365" s="3">
        <v>46415</v>
      </c>
      <c r="C365" s="3">
        <v>1176</v>
      </c>
      <c r="D365" s="4">
        <v>1755</v>
      </c>
      <c r="E365" s="3">
        <v>23</v>
      </c>
      <c r="F365" s="4">
        <v>3770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2">
        <v>46022</v>
      </c>
      <c r="B366" s="3">
        <v>83988</v>
      </c>
      <c r="C366" s="3">
        <v>2183</v>
      </c>
      <c r="D366" s="4">
        <v>2219</v>
      </c>
      <c r="E366" s="3">
        <v>41</v>
      </c>
      <c r="F366" s="4">
        <v>5949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1" max="1" width="10.83203125" customWidth="1"/>
    <col min="2" max="3" width="11.33203125" customWidth="1"/>
    <col min="4" max="4" width="10.83203125" customWidth="1"/>
    <col min="5" max="5" width="10.1640625" customWidth="1"/>
    <col min="6" max="6" width="9.83203125" customWidth="1"/>
    <col min="7" max="7" width="9.5" customWidth="1"/>
  </cols>
  <sheetData>
    <row r="1" spans="1:8" ht="15.75" customHeight="1" x14ac:dyDescent="0.15">
      <c r="A1" s="5" t="str">
        <f ca="1">IFERROR(__xludf.DUMMYFUNCTION("IMPORTRANGE(""http://docs.google.com/spreadsheets/d/1sKSMRkQpJAvyzC8Be-4Lkdp2rJaU2wWA6j3l2BYc7kU/edit?gid=846488190#gid=846488190"",""Tiktok Ads Data!A1:F366"")"),"submit_date")</f>
        <v>submit_date</v>
      </c>
      <c r="B1" s="6" t="str">
        <f ca="1">IFERROR(__xludf.DUMMYFUNCTION("""COMPUTED_VALUE"""),"impressions")</f>
        <v>impressions</v>
      </c>
      <c r="C1" s="6" t="str">
        <f ca="1">IFERROR(__xludf.DUMMYFUNCTION("""COMPUTED_VALUE"""),"clicks")</f>
        <v>clicks</v>
      </c>
      <c r="D1" s="6" t="str">
        <f ca="1">IFERROR(__xludf.DUMMYFUNCTION("""COMPUTED_VALUE"""),"spending ($)")</f>
        <v>spending ($)</v>
      </c>
      <c r="E1" s="6" t="str">
        <f ca="1">IFERROR(__xludf.DUMMYFUNCTION("""COMPUTED_VALUE"""),"conversions")</f>
        <v>conversions</v>
      </c>
      <c r="F1" s="6" t="str">
        <f ca="1">IFERROR(__xludf.DUMMYFUNCTION("""COMPUTED_VALUE"""),"revenue ($)")</f>
        <v>revenue ($)</v>
      </c>
      <c r="G1" s="6"/>
      <c r="H1" s="6"/>
    </row>
    <row r="2" spans="1:8" ht="15.75" customHeight="1" x14ac:dyDescent="0.15">
      <c r="A2" s="7">
        <f ca="1">IFERROR(__xludf.DUMMYFUNCTION("""COMPUTED_VALUE"""),45658)</f>
        <v>45658</v>
      </c>
      <c r="B2" s="8">
        <f ca="1">IFERROR(__xludf.DUMMYFUNCTION("""COMPUTED_VALUE"""),37761)</f>
        <v>37761</v>
      </c>
      <c r="C2" s="8">
        <f ca="1">IFERROR(__xludf.DUMMYFUNCTION("""COMPUTED_VALUE"""),685)</f>
        <v>685</v>
      </c>
      <c r="D2" s="9">
        <f ca="1">IFERROR(__xludf.DUMMYFUNCTION("""COMPUTED_VALUE"""),519)</f>
        <v>519</v>
      </c>
      <c r="E2" s="8">
        <f ca="1">IFERROR(__xludf.DUMMYFUNCTION("""COMPUTED_VALUE"""),11)</f>
        <v>11</v>
      </c>
      <c r="F2" s="9">
        <f ca="1">IFERROR(__xludf.DUMMYFUNCTION("""COMPUTED_VALUE"""),1711)</f>
        <v>1711</v>
      </c>
    </row>
    <row r="3" spans="1:8" ht="15.75" customHeight="1" x14ac:dyDescent="0.15">
      <c r="A3" s="7">
        <f ca="1">IFERROR(__xludf.DUMMYFUNCTION("""COMPUTED_VALUE"""),45659)</f>
        <v>45659</v>
      </c>
      <c r="B3" s="8">
        <f ca="1">IFERROR(__xludf.DUMMYFUNCTION("""COMPUTED_VALUE"""),113622)</f>
        <v>113622</v>
      </c>
      <c r="C3" s="8">
        <f ca="1">IFERROR(__xludf.DUMMYFUNCTION("""COMPUTED_VALUE"""),2139)</f>
        <v>2139</v>
      </c>
      <c r="D3" s="9">
        <f ca="1">IFERROR(__xludf.DUMMYFUNCTION("""COMPUTED_VALUE"""),1923)</f>
        <v>1923</v>
      </c>
      <c r="E3" s="8">
        <f ca="1">IFERROR(__xludf.DUMMYFUNCTION("""COMPUTED_VALUE"""),50)</f>
        <v>50</v>
      </c>
      <c r="F3" s="9">
        <f ca="1">IFERROR(__xludf.DUMMYFUNCTION("""COMPUTED_VALUE"""),6262)</f>
        <v>6262</v>
      </c>
    </row>
    <row r="4" spans="1:8" ht="15.75" customHeight="1" x14ac:dyDescent="0.15">
      <c r="A4" s="7">
        <f ca="1">IFERROR(__xludf.DUMMYFUNCTION("""COMPUTED_VALUE"""),45660)</f>
        <v>45660</v>
      </c>
      <c r="B4" s="8">
        <f ca="1">IFERROR(__xludf.DUMMYFUNCTION("""COMPUTED_VALUE"""),25676)</f>
        <v>25676</v>
      </c>
      <c r="C4" s="8">
        <f ca="1">IFERROR(__xludf.DUMMYFUNCTION("""COMPUTED_VALUE"""),360)</f>
        <v>360</v>
      </c>
      <c r="D4" s="9">
        <f ca="1">IFERROR(__xludf.DUMMYFUNCTION("""COMPUTED_VALUE"""),270)</f>
        <v>270</v>
      </c>
      <c r="E4" s="8">
        <f ca="1">IFERROR(__xludf.DUMMYFUNCTION("""COMPUTED_VALUE"""),7)</f>
        <v>7</v>
      </c>
      <c r="F4" s="9">
        <f ca="1">IFERROR(__xludf.DUMMYFUNCTION("""COMPUTED_VALUE"""),861)</f>
        <v>861</v>
      </c>
    </row>
    <row r="5" spans="1:8" ht="15.75" customHeight="1" x14ac:dyDescent="0.15">
      <c r="A5" s="7">
        <f ca="1">IFERROR(__xludf.DUMMYFUNCTION("""COMPUTED_VALUE"""),45661)</f>
        <v>45661</v>
      </c>
      <c r="B5" s="8">
        <f ca="1">IFERROR(__xludf.DUMMYFUNCTION("""COMPUTED_VALUE"""),55742)</f>
        <v>55742</v>
      </c>
      <c r="C5" s="8">
        <f ca="1">IFERROR(__xludf.DUMMYFUNCTION("""COMPUTED_VALUE"""),927)</f>
        <v>927</v>
      </c>
      <c r="D5" s="9">
        <f ca="1">IFERROR(__xludf.DUMMYFUNCTION("""COMPUTED_VALUE"""),951)</f>
        <v>951</v>
      </c>
      <c r="E5" s="8">
        <f ca="1">IFERROR(__xludf.DUMMYFUNCTION("""COMPUTED_VALUE"""),16)</f>
        <v>16</v>
      </c>
      <c r="F5" s="9">
        <f ca="1">IFERROR(__xludf.DUMMYFUNCTION("""COMPUTED_VALUE"""),3532)</f>
        <v>3532</v>
      </c>
    </row>
    <row r="6" spans="1:8" ht="15.75" customHeight="1" x14ac:dyDescent="0.15">
      <c r="A6" s="7">
        <f ca="1">IFERROR(__xludf.DUMMYFUNCTION("""COMPUTED_VALUE"""),45662)</f>
        <v>45662</v>
      </c>
      <c r="B6" s="8">
        <f ca="1">IFERROR(__xludf.DUMMYFUNCTION("""COMPUTED_VALUE"""),50034)</f>
        <v>50034</v>
      </c>
      <c r="C6" s="8">
        <f ca="1">IFERROR(__xludf.DUMMYFUNCTION("""COMPUTED_VALUE"""),669)</f>
        <v>669</v>
      </c>
      <c r="D6" s="9">
        <f ca="1">IFERROR(__xludf.DUMMYFUNCTION("""COMPUTED_VALUE"""),588)</f>
        <v>588</v>
      </c>
      <c r="E6" s="8">
        <f ca="1">IFERROR(__xludf.DUMMYFUNCTION("""COMPUTED_VALUE"""),15)</f>
        <v>15</v>
      </c>
      <c r="F6" s="9">
        <f ca="1">IFERROR(__xludf.DUMMYFUNCTION("""COMPUTED_VALUE"""),3464)</f>
        <v>3464</v>
      </c>
    </row>
    <row r="7" spans="1:8" ht="15.75" customHeight="1" x14ac:dyDescent="0.15">
      <c r="A7" s="7">
        <f ca="1">IFERROR(__xludf.DUMMYFUNCTION("""COMPUTED_VALUE"""),45663)</f>
        <v>45663</v>
      </c>
      <c r="B7" s="8">
        <f ca="1">IFERROR(__xludf.DUMMYFUNCTION("""COMPUTED_VALUE"""),72795)</f>
        <v>72795</v>
      </c>
      <c r="C7" s="8">
        <f ca="1">IFERROR(__xludf.DUMMYFUNCTION("""COMPUTED_VALUE"""),1327)</f>
        <v>1327</v>
      </c>
      <c r="D7" s="9">
        <f ca="1">IFERROR(__xludf.DUMMYFUNCTION("""COMPUTED_VALUE"""),1464)</f>
        <v>1464</v>
      </c>
      <c r="E7" s="8">
        <f ca="1">IFERROR(__xludf.DUMMYFUNCTION("""COMPUTED_VALUE"""),22)</f>
        <v>22</v>
      </c>
      <c r="F7" s="9">
        <f ca="1">IFERROR(__xludf.DUMMYFUNCTION("""COMPUTED_VALUE"""),3804)</f>
        <v>3804</v>
      </c>
    </row>
    <row r="8" spans="1:8" ht="15.75" customHeight="1" x14ac:dyDescent="0.15">
      <c r="A8" s="7">
        <f ca="1">IFERROR(__xludf.DUMMYFUNCTION("""COMPUTED_VALUE"""),45664)</f>
        <v>45664</v>
      </c>
      <c r="B8" s="8">
        <f ca="1">IFERROR(__xludf.DUMMYFUNCTION("""COMPUTED_VALUE"""),54686)</f>
        <v>54686</v>
      </c>
      <c r="C8" s="8">
        <f ca="1">IFERROR(__xludf.DUMMYFUNCTION("""COMPUTED_VALUE"""),1607)</f>
        <v>1607</v>
      </c>
      <c r="D8" s="9">
        <f ca="1">IFERROR(__xludf.DUMMYFUNCTION("""COMPUTED_VALUE"""),1118)</f>
        <v>1118</v>
      </c>
      <c r="E8" s="8">
        <f ca="1">IFERROR(__xludf.DUMMYFUNCTION("""COMPUTED_VALUE"""),33)</f>
        <v>33</v>
      </c>
      <c r="F8" s="9">
        <f ca="1">IFERROR(__xludf.DUMMYFUNCTION("""COMPUTED_VALUE"""),6814)</f>
        <v>6814</v>
      </c>
    </row>
    <row r="9" spans="1:8" ht="15.75" customHeight="1" x14ac:dyDescent="0.15">
      <c r="A9" s="7">
        <f ca="1">IFERROR(__xludf.DUMMYFUNCTION("""COMPUTED_VALUE"""),45665)</f>
        <v>45665</v>
      </c>
      <c r="B9" s="8">
        <f ca="1">IFERROR(__xludf.DUMMYFUNCTION("""COMPUTED_VALUE"""),51903)</f>
        <v>51903</v>
      </c>
      <c r="C9" s="8">
        <f ca="1">IFERROR(__xludf.DUMMYFUNCTION("""COMPUTED_VALUE"""),509)</f>
        <v>509</v>
      </c>
      <c r="D9" s="9">
        <f ca="1">IFERROR(__xludf.DUMMYFUNCTION("""COMPUTED_VALUE"""),545)</f>
        <v>545</v>
      </c>
      <c r="E9" s="8">
        <f ca="1">IFERROR(__xludf.DUMMYFUNCTION("""COMPUTED_VALUE"""),10)</f>
        <v>10</v>
      </c>
      <c r="F9" s="9">
        <f ca="1">IFERROR(__xludf.DUMMYFUNCTION("""COMPUTED_VALUE"""),1671)</f>
        <v>1671</v>
      </c>
    </row>
    <row r="10" spans="1:8" ht="15.75" customHeight="1" x14ac:dyDescent="0.15">
      <c r="A10" s="7">
        <f ca="1">IFERROR(__xludf.DUMMYFUNCTION("""COMPUTED_VALUE"""),45666)</f>
        <v>45666</v>
      </c>
      <c r="B10" s="8">
        <f ca="1">IFERROR(__xludf.DUMMYFUNCTION("""COMPUTED_VALUE"""),96174)</f>
        <v>96174</v>
      </c>
      <c r="C10" s="8">
        <f ca="1">IFERROR(__xludf.DUMMYFUNCTION("""COMPUTED_VALUE"""),2195)</f>
        <v>2195</v>
      </c>
      <c r="D10" s="9">
        <f ca="1">IFERROR(__xludf.DUMMYFUNCTION("""COMPUTED_VALUE"""),1870)</f>
        <v>1870</v>
      </c>
      <c r="E10" s="8">
        <f ca="1">IFERROR(__xludf.DUMMYFUNCTION("""COMPUTED_VALUE"""),38)</f>
        <v>38</v>
      </c>
      <c r="F10" s="9">
        <f ca="1">IFERROR(__xludf.DUMMYFUNCTION("""COMPUTED_VALUE"""),8346)</f>
        <v>8346</v>
      </c>
    </row>
    <row r="11" spans="1:8" ht="15.75" customHeight="1" x14ac:dyDescent="0.15">
      <c r="A11" s="7">
        <f ca="1">IFERROR(__xludf.DUMMYFUNCTION("""COMPUTED_VALUE"""),45667)</f>
        <v>45667</v>
      </c>
      <c r="B11" s="8">
        <f ca="1">IFERROR(__xludf.DUMMYFUNCTION("""COMPUTED_VALUE"""),85203)</f>
        <v>85203</v>
      </c>
      <c r="C11" s="8">
        <f ca="1">IFERROR(__xludf.DUMMYFUNCTION("""COMPUTED_VALUE"""),1569)</f>
        <v>1569</v>
      </c>
      <c r="D11" s="9">
        <f ca="1">IFERROR(__xludf.DUMMYFUNCTION("""COMPUTED_VALUE"""),2066)</f>
        <v>2066</v>
      </c>
      <c r="E11" s="8">
        <f ca="1">IFERROR(__xludf.DUMMYFUNCTION("""COMPUTED_VALUE"""),19)</f>
        <v>19</v>
      </c>
      <c r="F11" s="9">
        <f ca="1">IFERROR(__xludf.DUMMYFUNCTION("""COMPUTED_VALUE"""),3876)</f>
        <v>3876</v>
      </c>
    </row>
    <row r="12" spans="1:8" ht="15.75" customHeight="1" x14ac:dyDescent="0.15">
      <c r="A12" s="7">
        <f ca="1">IFERROR(__xludf.DUMMYFUNCTION("""COMPUTED_VALUE"""),45668)</f>
        <v>45668</v>
      </c>
      <c r="B12" s="8">
        <f ca="1">IFERROR(__xludf.DUMMYFUNCTION("""COMPUTED_VALUE"""),81432)</f>
        <v>81432</v>
      </c>
      <c r="C12" s="8">
        <f ca="1">IFERROR(__xludf.DUMMYFUNCTION("""COMPUTED_VALUE"""),1020)</f>
        <v>1020</v>
      </c>
      <c r="D12" s="9">
        <f ca="1">IFERROR(__xludf.DUMMYFUNCTION("""COMPUTED_VALUE"""),1090)</f>
        <v>1090</v>
      </c>
      <c r="E12" s="8">
        <f ca="1">IFERROR(__xludf.DUMMYFUNCTION("""COMPUTED_VALUE"""),20)</f>
        <v>20</v>
      </c>
      <c r="F12" s="9">
        <f ca="1">IFERROR(__xludf.DUMMYFUNCTION("""COMPUTED_VALUE"""),4285)</f>
        <v>4285</v>
      </c>
    </row>
    <row r="13" spans="1:8" ht="15.75" customHeight="1" x14ac:dyDescent="0.15">
      <c r="A13" s="7">
        <f ca="1">IFERROR(__xludf.DUMMYFUNCTION("""COMPUTED_VALUE"""),45669)</f>
        <v>45669</v>
      </c>
      <c r="B13" s="8">
        <f ca="1">IFERROR(__xludf.DUMMYFUNCTION("""COMPUTED_VALUE"""),86724)</f>
        <v>86724</v>
      </c>
      <c r="C13" s="8">
        <f ca="1">IFERROR(__xludf.DUMMYFUNCTION("""COMPUTED_VALUE"""),1608)</f>
        <v>1608</v>
      </c>
      <c r="D13" s="9">
        <f ca="1">IFERROR(__xludf.DUMMYFUNCTION("""COMPUTED_VALUE"""),1626)</f>
        <v>1626</v>
      </c>
      <c r="E13" s="8">
        <f ca="1">IFERROR(__xludf.DUMMYFUNCTION("""COMPUTED_VALUE"""),20)</f>
        <v>20</v>
      </c>
      <c r="F13" s="9">
        <f ca="1">IFERROR(__xludf.DUMMYFUNCTION("""COMPUTED_VALUE"""),4266)</f>
        <v>4266</v>
      </c>
    </row>
    <row r="14" spans="1:8" ht="15.75" customHeight="1" x14ac:dyDescent="0.15">
      <c r="A14" s="7">
        <f ca="1">IFERROR(__xludf.DUMMYFUNCTION("""COMPUTED_VALUE"""),45670)</f>
        <v>45670</v>
      </c>
      <c r="B14" s="8">
        <f ca="1">IFERROR(__xludf.DUMMYFUNCTION("""COMPUTED_VALUE"""),97450)</f>
        <v>97450</v>
      </c>
      <c r="C14" s="8">
        <f ca="1">IFERROR(__xludf.DUMMYFUNCTION("""COMPUTED_VALUE"""),2234)</f>
        <v>2234</v>
      </c>
      <c r="D14" s="9">
        <f ca="1">IFERROR(__xludf.DUMMYFUNCTION("""COMPUTED_VALUE"""),1909)</f>
        <v>1909</v>
      </c>
      <c r="E14" s="8">
        <f ca="1">IFERROR(__xludf.DUMMYFUNCTION("""COMPUTED_VALUE"""),32)</f>
        <v>32</v>
      </c>
      <c r="F14" s="9">
        <f ca="1">IFERROR(__xludf.DUMMYFUNCTION("""COMPUTED_VALUE"""),4158)</f>
        <v>4158</v>
      </c>
    </row>
    <row r="15" spans="1:8" ht="15.75" customHeight="1" x14ac:dyDescent="0.15">
      <c r="A15" s="7">
        <f ca="1">IFERROR(__xludf.DUMMYFUNCTION("""COMPUTED_VALUE"""),45671)</f>
        <v>45671</v>
      </c>
      <c r="B15" s="8">
        <f ca="1">IFERROR(__xludf.DUMMYFUNCTION("""COMPUTED_VALUE"""),87059)</f>
        <v>87059</v>
      </c>
      <c r="C15" s="8">
        <f ca="1">IFERROR(__xludf.DUMMYFUNCTION("""COMPUTED_VALUE"""),1682)</f>
        <v>1682</v>
      </c>
      <c r="D15" s="9">
        <f ca="1">IFERROR(__xludf.DUMMYFUNCTION("""COMPUTED_VALUE"""),1782)</f>
        <v>1782</v>
      </c>
      <c r="E15" s="8">
        <f ca="1">IFERROR(__xludf.DUMMYFUNCTION("""COMPUTED_VALUE"""),31)</f>
        <v>31</v>
      </c>
      <c r="F15" s="9">
        <f ca="1">IFERROR(__xludf.DUMMYFUNCTION("""COMPUTED_VALUE"""),4794)</f>
        <v>4794</v>
      </c>
    </row>
    <row r="16" spans="1:8" ht="15.75" customHeight="1" x14ac:dyDescent="0.15">
      <c r="A16" s="7">
        <f ca="1">IFERROR(__xludf.DUMMYFUNCTION("""COMPUTED_VALUE"""),45672)</f>
        <v>45672</v>
      </c>
      <c r="B16" s="8">
        <f ca="1">IFERROR(__xludf.DUMMYFUNCTION("""COMPUTED_VALUE"""),82315)</f>
        <v>82315</v>
      </c>
      <c r="C16" s="8">
        <f ca="1">IFERROR(__xludf.DUMMYFUNCTION("""COMPUTED_VALUE"""),2176)</f>
        <v>2176</v>
      </c>
      <c r="D16" s="9">
        <f ca="1">IFERROR(__xludf.DUMMYFUNCTION("""COMPUTED_VALUE"""),1913)</f>
        <v>1913</v>
      </c>
      <c r="E16" s="8">
        <f ca="1">IFERROR(__xludf.DUMMYFUNCTION("""COMPUTED_VALUE"""),34)</f>
        <v>34</v>
      </c>
      <c r="F16" s="9">
        <f ca="1">IFERROR(__xludf.DUMMYFUNCTION("""COMPUTED_VALUE"""),3083)</f>
        <v>3083</v>
      </c>
    </row>
    <row r="17" spans="1:6" ht="15.75" customHeight="1" x14ac:dyDescent="0.15">
      <c r="A17" s="7">
        <f ca="1">IFERROR(__xludf.DUMMYFUNCTION("""COMPUTED_VALUE"""),45673)</f>
        <v>45673</v>
      </c>
      <c r="B17" s="8">
        <f ca="1">IFERROR(__xludf.DUMMYFUNCTION("""COMPUTED_VALUE"""),30991)</f>
        <v>30991</v>
      </c>
      <c r="C17" s="8">
        <f ca="1">IFERROR(__xludf.DUMMYFUNCTION("""COMPUTED_VALUE"""),726)</f>
        <v>726</v>
      </c>
      <c r="D17" s="9">
        <f ca="1">IFERROR(__xludf.DUMMYFUNCTION("""COMPUTED_VALUE"""),984)</f>
        <v>984</v>
      </c>
      <c r="E17" s="8">
        <f ca="1">IFERROR(__xludf.DUMMYFUNCTION("""COMPUTED_VALUE"""),13)</f>
        <v>13</v>
      </c>
      <c r="F17" s="9">
        <f ca="1">IFERROR(__xludf.DUMMYFUNCTION("""COMPUTED_VALUE"""),1970)</f>
        <v>1970</v>
      </c>
    </row>
    <row r="18" spans="1:6" ht="15.75" customHeight="1" x14ac:dyDescent="0.15">
      <c r="A18" s="7">
        <f ca="1">IFERROR(__xludf.DUMMYFUNCTION("""COMPUTED_VALUE"""),45674)</f>
        <v>45674</v>
      </c>
      <c r="B18" s="8">
        <f ca="1">IFERROR(__xludf.DUMMYFUNCTION("""COMPUTED_VALUE"""),112741)</f>
        <v>112741</v>
      </c>
      <c r="C18" s="8">
        <f ca="1">IFERROR(__xludf.DUMMYFUNCTION("""COMPUTED_VALUE"""),2898)</f>
        <v>2898</v>
      </c>
      <c r="D18" s="9">
        <f ca="1">IFERROR(__xludf.DUMMYFUNCTION("""COMPUTED_VALUE"""),2966)</f>
        <v>2966</v>
      </c>
      <c r="E18" s="8">
        <f ca="1">IFERROR(__xludf.DUMMYFUNCTION("""COMPUTED_VALUE"""),70)</f>
        <v>70</v>
      </c>
      <c r="F18" s="9">
        <f ca="1">IFERROR(__xludf.DUMMYFUNCTION("""COMPUTED_VALUE"""),10287)</f>
        <v>10287</v>
      </c>
    </row>
    <row r="19" spans="1:6" ht="15.75" customHeight="1" x14ac:dyDescent="0.15">
      <c r="A19" s="7">
        <f ca="1">IFERROR(__xludf.DUMMYFUNCTION("""COMPUTED_VALUE"""),45675)</f>
        <v>45675</v>
      </c>
      <c r="B19" s="8">
        <f ca="1">IFERROR(__xludf.DUMMYFUNCTION("""COMPUTED_VALUE"""),65598)</f>
        <v>65598</v>
      </c>
      <c r="C19" s="8">
        <f ca="1">IFERROR(__xludf.DUMMYFUNCTION("""COMPUTED_VALUE"""),2140)</f>
        <v>2140</v>
      </c>
      <c r="D19" s="9">
        <f ca="1">IFERROR(__xludf.DUMMYFUNCTION("""COMPUTED_VALUE"""),1439)</f>
        <v>1439</v>
      </c>
      <c r="E19" s="8">
        <f ca="1">IFERROR(__xludf.DUMMYFUNCTION("""COMPUTED_VALUE"""),28)</f>
        <v>28</v>
      </c>
      <c r="F19" s="9">
        <f ca="1">IFERROR(__xludf.DUMMYFUNCTION("""COMPUTED_VALUE"""),3779)</f>
        <v>3779</v>
      </c>
    </row>
    <row r="20" spans="1:6" ht="15.75" customHeight="1" x14ac:dyDescent="0.15">
      <c r="A20" s="7">
        <f ca="1">IFERROR(__xludf.DUMMYFUNCTION("""COMPUTED_VALUE"""),45676)</f>
        <v>45676</v>
      </c>
      <c r="B20" s="8">
        <f ca="1">IFERROR(__xludf.DUMMYFUNCTION("""COMPUTED_VALUE"""),74983)</f>
        <v>74983</v>
      </c>
      <c r="C20" s="8">
        <f ca="1">IFERROR(__xludf.DUMMYFUNCTION("""COMPUTED_VALUE"""),1011)</f>
        <v>1011</v>
      </c>
      <c r="D20" s="9">
        <f ca="1">IFERROR(__xludf.DUMMYFUNCTION("""COMPUTED_VALUE"""),1029)</f>
        <v>1029</v>
      </c>
      <c r="E20" s="8">
        <f ca="1">IFERROR(__xludf.DUMMYFUNCTION("""COMPUTED_VALUE"""),23)</f>
        <v>23</v>
      </c>
      <c r="F20" s="9">
        <f ca="1">IFERROR(__xludf.DUMMYFUNCTION("""COMPUTED_VALUE"""),2972)</f>
        <v>2972</v>
      </c>
    </row>
    <row r="21" spans="1:6" ht="15.75" customHeight="1" x14ac:dyDescent="0.15">
      <c r="A21" s="7">
        <f ca="1">IFERROR(__xludf.DUMMYFUNCTION("""COMPUTED_VALUE"""),45677)</f>
        <v>45677</v>
      </c>
      <c r="B21" s="8">
        <f ca="1">IFERROR(__xludf.DUMMYFUNCTION("""COMPUTED_VALUE"""),89780)</f>
        <v>89780</v>
      </c>
      <c r="C21" s="8">
        <f ca="1">IFERROR(__xludf.DUMMYFUNCTION("""COMPUTED_VALUE"""),1406)</f>
        <v>1406</v>
      </c>
      <c r="D21" s="9">
        <f ca="1">IFERROR(__xludf.DUMMYFUNCTION("""COMPUTED_VALUE"""),998)</f>
        <v>998</v>
      </c>
      <c r="E21" s="8">
        <f ca="1">IFERROR(__xludf.DUMMYFUNCTION("""COMPUTED_VALUE"""),18)</f>
        <v>18</v>
      </c>
      <c r="F21" s="9">
        <f ca="1">IFERROR(__xludf.DUMMYFUNCTION("""COMPUTED_VALUE"""),4343)</f>
        <v>4343</v>
      </c>
    </row>
    <row r="22" spans="1:6" ht="15.75" customHeight="1" x14ac:dyDescent="0.15">
      <c r="A22" s="7">
        <f ca="1">IFERROR(__xludf.DUMMYFUNCTION("""COMPUTED_VALUE"""),45678)</f>
        <v>45678</v>
      </c>
      <c r="B22" s="8">
        <f ca="1">IFERROR(__xludf.DUMMYFUNCTION("""COMPUTED_VALUE"""),79638)</f>
        <v>79638</v>
      </c>
      <c r="C22" s="8">
        <f ca="1">IFERROR(__xludf.DUMMYFUNCTION("""COMPUTED_VALUE"""),1829)</f>
        <v>1829</v>
      </c>
      <c r="D22" s="9">
        <f ca="1">IFERROR(__xludf.DUMMYFUNCTION("""COMPUTED_VALUE"""),1825)</f>
        <v>1825</v>
      </c>
      <c r="E22" s="8">
        <f ca="1">IFERROR(__xludf.DUMMYFUNCTION("""COMPUTED_VALUE"""),30)</f>
        <v>30</v>
      </c>
      <c r="F22" s="9">
        <f ca="1">IFERROR(__xludf.DUMMYFUNCTION("""COMPUTED_VALUE"""),4958)</f>
        <v>4958</v>
      </c>
    </row>
    <row r="23" spans="1:6" ht="15.75" customHeight="1" x14ac:dyDescent="0.15">
      <c r="A23" s="7">
        <f ca="1">IFERROR(__xludf.DUMMYFUNCTION("""COMPUTED_VALUE"""),45679)</f>
        <v>45679</v>
      </c>
      <c r="B23" s="8">
        <f ca="1">IFERROR(__xludf.DUMMYFUNCTION("""COMPUTED_VALUE"""),56982)</f>
        <v>56982</v>
      </c>
      <c r="C23" s="8">
        <f ca="1">IFERROR(__xludf.DUMMYFUNCTION("""COMPUTED_VALUE"""),596)</f>
        <v>596</v>
      </c>
      <c r="D23" s="9">
        <f ca="1">IFERROR(__xludf.DUMMYFUNCTION("""COMPUTED_VALUE"""),603)</f>
        <v>603</v>
      </c>
      <c r="E23" s="8">
        <f ca="1">IFERROR(__xludf.DUMMYFUNCTION("""COMPUTED_VALUE"""),11)</f>
        <v>11</v>
      </c>
      <c r="F23" s="9">
        <f ca="1">IFERROR(__xludf.DUMMYFUNCTION("""COMPUTED_VALUE"""),1558)</f>
        <v>1558</v>
      </c>
    </row>
    <row r="24" spans="1:6" ht="15.75" customHeight="1" x14ac:dyDescent="0.15">
      <c r="A24" s="7">
        <f ca="1">IFERROR(__xludf.DUMMYFUNCTION("""COMPUTED_VALUE"""),45680)</f>
        <v>45680</v>
      </c>
      <c r="B24" s="8">
        <f ca="1">IFERROR(__xludf.DUMMYFUNCTION("""COMPUTED_VALUE"""),25416)</f>
        <v>25416</v>
      </c>
      <c r="C24" s="8">
        <f ca="1">IFERROR(__xludf.DUMMYFUNCTION("""COMPUTED_VALUE"""),196)</f>
        <v>196</v>
      </c>
      <c r="D24" s="9">
        <f ca="1">IFERROR(__xludf.DUMMYFUNCTION("""COMPUTED_VALUE"""),129)</f>
        <v>129</v>
      </c>
      <c r="E24" s="8">
        <f ca="1">IFERROR(__xludf.DUMMYFUNCTION("""COMPUTED_VALUE"""),3)</f>
        <v>3</v>
      </c>
      <c r="F24" s="9">
        <f ca="1">IFERROR(__xludf.DUMMYFUNCTION("""COMPUTED_VALUE"""),693)</f>
        <v>693</v>
      </c>
    </row>
    <row r="25" spans="1:6" ht="15.75" customHeight="1" x14ac:dyDescent="0.15">
      <c r="A25" s="7">
        <f ca="1">IFERROR(__xludf.DUMMYFUNCTION("""COMPUTED_VALUE"""),45681)</f>
        <v>45681</v>
      </c>
      <c r="B25" s="8">
        <f ca="1">IFERROR(__xludf.DUMMYFUNCTION("""COMPUTED_VALUE"""),83714)</f>
        <v>83714</v>
      </c>
      <c r="C25" s="8">
        <f ca="1">IFERROR(__xludf.DUMMYFUNCTION("""COMPUTED_VALUE"""),1288)</f>
        <v>1288</v>
      </c>
      <c r="D25" s="9">
        <f ca="1">IFERROR(__xludf.DUMMYFUNCTION("""COMPUTED_VALUE"""),1499)</f>
        <v>1499</v>
      </c>
      <c r="E25" s="8">
        <f ca="1">IFERROR(__xludf.DUMMYFUNCTION("""COMPUTED_VALUE"""),29)</f>
        <v>29</v>
      </c>
      <c r="F25" s="9">
        <f ca="1">IFERROR(__xludf.DUMMYFUNCTION("""COMPUTED_VALUE"""),5466)</f>
        <v>5466</v>
      </c>
    </row>
    <row r="26" spans="1:6" ht="15.75" customHeight="1" x14ac:dyDescent="0.15">
      <c r="A26" s="7">
        <f ca="1">IFERROR(__xludf.DUMMYFUNCTION("""COMPUTED_VALUE"""),45682)</f>
        <v>45682</v>
      </c>
      <c r="B26" s="8">
        <f ca="1">IFERROR(__xludf.DUMMYFUNCTION("""COMPUTED_VALUE"""),61918)</f>
        <v>61918</v>
      </c>
      <c r="C26" s="8">
        <f ca="1">IFERROR(__xludf.DUMMYFUNCTION("""COMPUTED_VALUE"""),1513)</f>
        <v>1513</v>
      </c>
      <c r="D26" s="9">
        <f ca="1">IFERROR(__xludf.DUMMYFUNCTION("""COMPUTED_VALUE"""),2129)</f>
        <v>2129</v>
      </c>
      <c r="E26" s="8">
        <f ca="1">IFERROR(__xludf.DUMMYFUNCTION("""COMPUTED_VALUE"""),35)</f>
        <v>35</v>
      </c>
      <c r="F26" s="9">
        <f ca="1">IFERROR(__xludf.DUMMYFUNCTION("""COMPUTED_VALUE"""),6437)</f>
        <v>6437</v>
      </c>
    </row>
    <row r="27" spans="1:6" ht="15.75" customHeight="1" x14ac:dyDescent="0.15">
      <c r="A27" s="7">
        <f ca="1">IFERROR(__xludf.DUMMYFUNCTION("""COMPUTED_VALUE"""),45683)</f>
        <v>45683</v>
      </c>
      <c r="B27" s="8">
        <f ca="1">IFERROR(__xludf.DUMMYFUNCTION("""COMPUTED_VALUE"""),39505)</f>
        <v>39505</v>
      </c>
      <c r="C27" s="8">
        <f ca="1">IFERROR(__xludf.DUMMYFUNCTION("""COMPUTED_VALUE"""),399)</f>
        <v>399</v>
      </c>
      <c r="D27" s="9">
        <f ca="1">IFERROR(__xludf.DUMMYFUNCTION("""COMPUTED_VALUE"""),454)</f>
        <v>454</v>
      </c>
      <c r="E27" s="8">
        <f ca="1">IFERROR(__xludf.DUMMYFUNCTION("""COMPUTED_VALUE"""),7)</f>
        <v>7</v>
      </c>
      <c r="F27" s="9">
        <f ca="1">IFERROR(__xludf.DUMMYFUNCTION("""COMPUTED_VALUE"""),1114)</f>
        <v>1114</v>
      </c>
    </row>
    <row r="28" spans="1:6" ht="15.75" customHeight="1" x14ac:dyDescent="0.15">
      <c r="A28" s="7">
        <f ca="1">IFERROR(__xludf.DUMMYFUNCTION("""COMPUTED_VALUE"""),45684)</f>
        <v>45684</v>
      </c>
      <c r="B28" s="8">
        <f ca="1">IFERROR(__xludf.DUMMYFUNCTION("""COMPUTED_VALUE"""),35645)</f>
        <v>35645</v>
      </c>
      <c r="C28" s="8">
        <f ca="1">IFERROR(__xludf.DUMMYFUNCTION("""COMPUTED_VALUE"""),443)</f>
        <v>443</v>
      </c>
      <c r="D28" s="9">
        <f ca="1">IFERROR(__xludf.DUMMYFUNCTION("""COMPUTED_VALUE"""),593)</f>
        <v>593</v>
      </c>
      <c r="E28" s="8">
        <f ca="1">IFERROR(__xludf.DUMMYFUNCTION("""COMPUTED_VALUE"""),8)</f>
        <v>8</v>
      </c>
      <c r="F28" s="9">
        <f ca="1">IFERROR(__xludf.DUMMYFUNCTION("""COMPUTED_VALUE"""),1750)</f>
        <v>1750</v>
      </c>
    </row>
    <row r="29" spans="1:6" ht="15.75" customHeight="1" x14ac:dyDescent="0.15">
      <c r="A29" s="7">
        <f ca="1">IFERROR(__xludf.DUMMYFUNCTION("""COMPUTED_VALUE"""),45685)</f>
        <v>45685</v>
      </c>
      <c r="B29" s="8">
        <f ca="1">IFERROR(__xludf.DUMMYFUNCTION("""COMPUTED_VALUE"""),77867)</f>
        <v>77867</v>
      </c>
      <c r="C29" s="8">
        <f ca="1">IFERROR(__xludf.DUMMYFUNCTION("""COMPUTED_VALUE"""),981)</f>
        <v>981</v>
      </c>
      <c r="D29" s="9">
        <f ca="1">IFERROR(__xludf.DUMMYFUNCTION("""COMPUTED_VALUE"""),1055)</f>
        <v>1055</v>
      </c>
      <c r="E29" s="8">
        <f ca="1">IFERROR(__xludf.DUMMYFUNCTION("""COMPUTED_VALUE"""),23)</f>
        <v>23</v>
      </c>
      <c r="F29" s="9">
        <f ca="1">IFERROR(__xludf.DUMMYFUNCTION("""COMPUTED_VALUE"""),4255)</f>
        <v>4255</v>
      </c>
    </row>
    <row r="30" spans="1:6" ht="15.75" customHeight="1" x14ac:dyDescent="0.15">
      <c r="A30" s="7">
        <f ca="1">IFERROR(__xludf.DUMMYFUNCTION("""COMPUTED_VALUE"""),45686)</f>
        <v>45686</v>
      </c>
      <c r="B30" s="8">
        <f ca="1">IFERROR(__xludf.DUMMYFUNCTION("""COMPUTED_VALUE"""),40913)</f>
        <v>40913</v>
      </c>
      <c r="C30" s="8">
        <f ca="1">IFERROR(__xludf.DUMMYFUNCTION("""COMPUTED_VALUE"""),929)</f>
        <v>929</v>
      </c>
      <c r="D30" s="9">
        <f ca="1">IFERROR(__xludf.DUMMYFUNCTION("""COMPUTED_VALUE"""),669)</f>
        <v>669</v>
      </c>
      <c r="E30" s="8">
        <f ca="1">IFERROR(__xludf.DUMMYFUNCTION("""COMPUTED_VALUE"""),17)</f>
        <v>17</v>
      </c>
      <c r="F30" s="9">
        <f ca="1">IFERROR(__xludf.DUMMYFUNCTION("""COMPUTED_VALUE"""),3399)</f>
        <v>3399</v>
      </c>
    </row>
    <row r="31" spans="1:6" ht="15.75" customHeight="1" x14ac:dyDescent="0.15">
      <c r="A31" s="7">
        <f ca="1">IFERROR(__xludf.DUMMYFUNCTION("""COMPUTED_VALUE"""),45687)</f>
        <v>45687</v>
      </c>
      <c r="B31" s="8">
        <f ca="1">IFERROR(__xludf.DUMMYFUNCTION("""COMPUTED_VALUE"""),64428)</f>
        <v>64428</v>
      </c>
      <c r="C31" s="8">
        <f ca="1">IFERROR(__xludf.DUMMYFUNCTION("""COMPUTED_VALUE"""),2025)</f>
        <v>2025</v>
      </c>
      <c r="D31" s="9">
        <f ca="1">IFERROR(__xludf.DUMMYFUNCTION("""COMPUTED_VALUE"""),1969)</f>
        <v>1969</v>
      </c>
      <c r="E31" s="8">
        <f ca="1">IFERROR(__xludf.DUMMYFUNCTION("""COMPUTED_VALUE"""),30)</f>
        <v>30</v>
      </c>
      <c r="F31" s="9">
        <f ca="1">IFERROR(__xludf.DUMMYFUNCTION("""COMPUTED_VALUE"""),4442)</f>
        <v>4442</v>
      </c>
    </row>
    <row r="32" spans="1:6" ht="15.75" customHeight="1" x14ac:dyDescent="0.15">
      <c r="A32" s="7">
        <f ca="1">IFERROR(__xludf.DUMMYFUNCTION("""COMPUTED_VALUE"""),45688)</f>
        <v>45688</v>
      </c>
      <c r="B32" s="8">
        <f ca="1">IFERROR(__xludf.DUMMYFUNCTION("""COMPUTED_VALUE"""),93925)</f>
        <v>93925</v>
      </c>
      <c r="C32" s="8">
        <f ca="1">IFERROR(__xludf.DUMMYFUNCTION("""COMPUTED_VALUE"""),1932)</f>
        <v>1932</v>
      </c>
      <c r="D32" s="9">
        <f ca="1">IFERROR(__xludf.DUMMYFUNCTION("""COMPUTED_VALUE"""),2165)</f>
        <v>2165</v>
      </c>
      <c r="E32" s="8">
        <f ca="1">IFERROR(__xludf.DUMMYFUNCTION("""COMPUTED_VALUE"""),36)</f>
        <v>36</v>
      </c>
      <c r="F32" s="9">
        <f ca="1">IFERROR(__xludf.DUMMYFUNCTION("""COMPUTED_VALUE"""),6059)</f>
        <v>6059</v>
      </c>
    </row>
    <row r="33" spans="1:6" ht="15.75" customHeight="1" x14ac:dyDescent="0.15">
      <c r="A33" s="7">
        <f ca="1">IFERROR(__xludf.DUMMYFUNCTION("""COMPUTED_VALUE"""),45689)</f>
        <v>45689</v>
      </c>
      <c r="B33" s="8">
        <f ca="1">IFERROR(__xludf.DUMMYFUNCTION("""COMPUTED_VALUE"""),115794)</f>
        <v>115794</v>
      </c>
      <c r="C33" s="8">
        <f ca="1">IFERROR(__xludf.DUMMYFUNCTION("""COMPUTED_VALUE"""),3255)</f>
        <v>3255</v>
      </c>
      <c r="D33" s="9">
        <f ca="1">IFERROR(__xludf.DUMMYFUNCTION("""COMPUTED_VALUE"""),2584)</f>
        <v>2584</v>
      </c>
      <c r="E33" s="8">
        <f ca="1">IFERROR(__xludf.DUMMYFUNCTION("""COMPUTED_VALUE"""),61)</f>
        <v>61</v>
      </c>
      <c r="F33" s="9">
        <f ca="1">IFERROR(__xludf.DUMMYFUNCTION("""COMPUTED_VALUE"""),9359)</f>
        <v>9359</v>
      </c>
    </row>
    <row r="34" spans="1:6" ht="15.75" customHeight="1" x14ac:dyDescent="0.15">
      <c r="A34" s="7">
        <f ca="1">IFERROR(__xludf.DUMMYFUNCTION("""COMPUTED_VALUE"""),45690)</f>
        <v>45690</v>
      </c>
      <c r="B34" s="8">
        <f ca="1">IFERROR(__xludf.DUMMYFUNCTION("""COMPUTED_VALUE"""),39694)</f>
        <v>39694</v>
      </c>
      <c r="C34" s="8">
        <f ca="1">IFERROR(__xludf.DUMMYFUNCTION("""COMPUTED_VALUE"""),514)</f>
        <v>514</v>
      </c>
      <c r="D34" s="9">
        <f ca="1">IFERROR(__xludf.DUMMYFUNCTION("""COMPUTED_VALUE"""),662)</f>
        <v>662</v>
      </c>
      <c r="E34" s="8">
        <f ca="1">IFERROR(__xludf.DUMMYFUNCTION("""COMPUTED_VALUE"""),9)</f>
        <v>9</v>
      </c>
      <c r="F34" s="9">
        <f ca="1">IFERROR(__xludf.DUMMYFUNCTION("""COMPUTED_VALUE"""),2087)</f>
        <v>2087</v>
      </c>
    </row>
    <row r="35" spans="1:6" ht="15.75" customHeight="1" x14ac:dyDescent="0.15">
      <c r="A35" s="7">
        <f ca="1">IFERROR(__xludf.DUMMYFUNCTION("""COMPUTED_VALUE"""),45691)</f>
        <v>45691</v>
      </c>
      <c r="B35" s="8">
        <f ca="1">IFERROR(__xludf.DUMMYFUNCTION("""COMPUTED_VALUE"""),37397)</f>
        <v>37397</v>
      </c>
      <c r="C35" s="8">
        <f ca="1">IFERROR(__xludf.DUMMYFUNCTION("""COMPUTED_VALUE"""),807)</f>
        <v>807</v>
      </c>
      <c r="D35" s="9">
        <f ca="1">IFERROR(__xludf.DUMMYFUNCTION("""COMPUTED_VALUE"""),629)</f>
        <v>629</v>
      </c>
      <c r="E35" s="8">
        <f ca="1">IFERROR(__xludf.DUMMYFUNCTION("""COMPUTED_VALUE"""),17)</f>
        <v>17</v>
      </c>
      <c r="F35" s="9">
        <f ca="1">IFERROR(__xludf.DUMMYFUNCTION("""COMPUTED_VALUE"""),2780)</f>
        <v>2780</v>
      </c>
    </row>
    <row r="36" spans="1:6" ht="15.75" customHeight="1" x14ac:dyDescent="0.15">
      <c r="A36" s="7">
        <f ca="1">IFERROR(__xludf.DUMMYFUNCTION("""COMPUTED_VALUE"""),45692)</f>
        <v>45692</v>
      </c>
      <c r="B36" s="8">
        <f ca="1">IFERROR(__xludf.DUMMYFUNCTION("""COMPUTED_VALUE"""),23589)</f>
        <v>23589</v>
      </c>
      <c r="C36" s="8">
        <f ca="1">IFERROR(__xludf.DUMMYFUNCTION("""COMPUTED_VALUE"""),480)</f>
        <v>480</v>
      </c>
      <c r="D36" s="9">
        <f ca="1">IFERROR(__xludf.DUMMYFUNCTION("""COMPUTED_VALUE"""),401)</f>
        <v>401</v>
      </c>
      <c r="E36" s="8">
        <f ca="1">IFERROR(__xludf.DUMMYFUNCTION("""COMPUTED_VALUE"""),8)</f>
        <v>8</v>
      </c>
      <c r="F36" s="9">
        <f ca="1">IFERROR(__xludf.DUMMYFUNCTION("""COMPUTED_VALUE"""),1138)</f>
        <v>1138</v>
      </c>
    </row>
    <row r="37" spans="1:6" ht="15.75" customHeight="1" x14ac:dyDescent="0.15">
      <c r="A37" s="7">
        <f ca="1">IFERROR(__xludf.DUMMYFUNCTION("""COMPUTED_VALUE"""),45693)</f>
        <v>45693</v>
      </c>
      <c r="B37" s="8">
        <f ca="1">IFERROR(__xludf.DUMMYFUNCTION("""COMPUTED_VALUE"""),92100)</f>
        <v>92100</v>
      </c>
      <c r="C37" s="8">
        <f ca="1">IFERROR(__xludf.DUMMYFUNCTION("""COMPUTED_VALUE"""),2462)</f>
        <v>2462</v>
      </c>
      <c r="D37" s="9">
        <f ca="1">IFERROR(__xludf.DUMMYFUNCTION("""COMPUTED_VALUE"""),2909)</f>
        <v>2909</v>
      </c>
      <c r="E37" s="8">
        <f ca="1">IFERROR(__xludf.DUMMYFUNCTION("""COMPUTED_VALUE"""),43)</f>
        <v>43</v>
      </c>
      <c r="F37" s="9">
        <f ca="1">IFERROR(__xludf.DUMMYFUNCTION("""COMPUTED_VALUE"""),8356)</f>
        <v>8356</v>
      </c>
    </row>
    <row r="38" spans="1:6" ht="15.75" customHeight="1" x14ac:dyDescent="0.15">
      <c r="A38" s="7">
        <f ca="1">IFERROR(__xludf.DUMMYFUNCTION("""COMPUTED_VALUE"""),45694)</f>
        <v>45694</v>
      </c>
      <c r="B38" s="8">
        <f ca="1">IFERROR(__xludf.DUMMYFUNCTION("""COMPUTED_VALUE"""),93317)</f>
        <v>93317</v>
      </c>
      <c r="C38" s="8">
        <f ca="1">IFERROR(__xludf.DUMMYFUNCTION("""COMPUTED_VALUE"""),1307)</f>
        <v>1307</v>
      </c>
      <c r="D38" s="9">
        <f ca="1">IFERROR(__xludf.DUMMYFUNCTION("""COMPUTED_VALUE"""),1032)</f>
        <v>1032</v>
      </c>
      <c r="E38" s="8">
        <f ca="1">IFERROR(__xludf.DUMMYFUNCTION("""COMPUTED_VALUE"""),23)</f>
        <v>23</v>
      </c>
      <c r="F38" s="9">
        <f ca="1">IFERROR(__xludf.DUMMYFUNCTION("""COMPUTED_VALUE"""),3098)</f>
        <v>3098</v>
      </c>
    </row>
    <row r="39" spans="1:6" ht="15.75" customHeight="1" x14ac:dyDescent="0.15">
      <c r="A39" s="7">
        <f ca="1">IFERROR(__xludf.DUMMYFUNCTION("""COMPUTED_VALUE"""),45695)</f>
        <v>45695</v>
      </c>
      <c r="B39" s="8">
        <f ca="1">IFERROR(__xludf.DUMMYFUNCTION("""COMPUTED_VALUE"""),105397)</f>
        <v>105397</v>
      </c>
      <c r="C39" s="8">
        <f ca="1">IFERROR(__xludf.DUMMYFUNCTION("""COMPUTED_VALUE"""),2964)</f>
        <v>2964</v>
      </c>
      <c r="D39" s="9">
        <f ca="1">IFERROR(__xludf.DUMMYFUNCTION("""COMPUTED_VALUE"""),2764)</f>
        <v>2764</v>
      </c>
      <c r="E39" s="8">
        <f ca="1">IFERROR(__xludf.DUMMYFUNCTION("""COMPUTED_VALUE"""),50)</f>
        <v>50</v>
      </c>
      <c r="F39" s="9">
        <f ca="1">IFERROR(__xludf.DUMMYFUNCTION("""COMPUTED_VALUE"""),7707)</f>
        <v>7707</v>
      </c>
    </row>
    <row r="40" spans="1:6" ht="15.75" customHeight="1" x14ac:dyDescent="0.15">
      <c r="A40" s="7">
        <f ca="1">IFERROR(__xludf.DUMMYFUNCTION("""COMPUTED_VALUE"""),45696)</f>
        <v>45696</v>
      </c>
      <c r="B40" s="8">
        <f ca="1">IFERROR(__xludf.DUMMYFUNCTION("""COMPUTED_VALUE"""),83825)</f>
        <v>83825</v>
      </c>
      <c r="C40" s="8">
        <f ca="1">IFERROR(__xludf.DUMMYFUNCTION("""COMPUTED_VALUE"""),1171)</f>
        <v>1171</v>
      </c>
      <c r="D40" s="9">
        <f ca="1">IFERROR(__xludf.DUMMYFUNCTION("""COMPUTED_VALUE"""),821)</f>
        <v>821</v>
      </c>
      <c r="E40" s="8">
        <f ca="1">IFERROR(__xludf.DUMMYFUNCTION("""COMPUTED_VALUE"""),21)</f>
        <v>21</v>
      </c>
      <c r="F40" s="9">
        <f ca="1">IFERROR(__xludf.DUMMYFUNCTION("""COMPUTED_VALUE"""),3938)</f>
        <v>3938</v>
      </c>
    </row>
    <row r="41" spans="1:6" ht="15.75" customHeight="1" x14ac:dyDescent="0.15">
      <c r="A41" s="7">
        <f ca="1">IFERROR(__xludf.DUMMYFUNCTION("""COMPUTED_VALUE"""),45697)</f>
        <v>45697</v>
      </c>
      <c r="B41" s="8">
        <f ca="1">IFERROR(__xludf.DUMMYFUNCTION("""COMPUTED_VALUE"""),75195)</f>
        <v>75195</v>
      </c>
      <c r="C41" s="8">
        <f ca="1">IFERROR(__xludf.DUMMYFUNCTION("""COMPUTED_VALUE"""),1865)</f>
        <v>1865</v>
      </c>
      <c r="D41" s="9">
        <f ca="1">IFERROR(__xludf.DUMMYFUNCTION("""COMPUTED_VALUE"""),2223)</f>
        <v>2223</v>
      </c>
      <c r="E41" s="8">
        <f ca="1">IFERROR(__xludf.DUMMYFUNCTION("""COMPUTED_VALUE"""),27)</f>
        <v>27</v>
      </c>
      <c r="F41" s="9">
        <f ca="1">IFERROR(__xludf.DUMMYFUNCTION("""COMPUTED_VALUE"""),3073)</f>
        <v>3073</v>
      </c>
    </row>
    <row r="42" spans="1:6" ht="15.75" customHeight="1" x14ac:dyDescent="0.15">
      <c r="A42" s="7">
        <f ca="1">IFERROR(__xludf.DUMMYFUNCTION("""COMPUTED_VALUE"""),45698)</f>
        <v>45698</v>
      </c>
      <c r="B42" s="8">
        <f ca="1">IFERROR(__xludf.DUMMYFUNCTION("""COMPUTED_VALUE"""),50744)</f>
        <v>50744</v>
      </c>
      <c r="C42" s="8">
        <f ca="1">IFERROR(__xludf.DUMMYFUNCTION("""COMPUTED_VALUE"""),1266)</f>
        <v>1266</v>
      </c>
      <c r="D42" s="9">
        <f ca="1">IFERROR(__xludf.DUMMYFUNCTION("""COMPUTED_VALUE"""),1055)</f>
        <v>1055</v>
      </c>
      <c r="E42" s="8">
        <f ca="1">IFERROR(__xludf.DUMMYFUNCTION("""COMPUTED_VALUE"""),32)</f>
        <v>32</v>
      </c>
      <c r="F42" s="9">
        <f ca="1">IFERROR(__xludf.DUMMYFUNCTION("""COMPUTED_VALUE"""),7428)</f>
        <v>7428</v>
      </c>
    </row>
    <row r="43" spans="1:6" ht="15.75" customHeight="1" x14ac:dyDescent="0.15">
      <c r="A43" s="7">
        <f ca="1">IFERROR(__xludf.DUMMYFUNCTION("""COMPUTED_VALUE"""),45699)</f>
        <v>45699</v>
      </c>
      <c r="B43" s="8">
        <f ca="1">IFERROR(__xludf.DUMMYFUNCTION("""COMPUTED_VALUE"""),86190)</f>
        <v>86190</v>
      </c>
      <c r="C43" s="8">
        <f ca="1">IFERROR(__xludf.DUMMYFUNCTION("""COMPUTED_VALUE"""),2396)</f>
        <v>2396</v>
      </c>
      <c r="D43" s="9">
        <f ca="1">IFERROR(__xludf.DUMMYFUNCTION("""COMPUTED_VALUE"""),1604)</f>
        <v>1604</v>
      </c>
      <c r="E43" s="8">
        <f ca="1">IFERROR(__xludf.DUMMYFUNCTION("""COMPUTED_VALUE"""),36)</f>
        <v>36</v>
      </c>
      <c r="F43" s="9">
        <f ca="1">IFERROR(__xludf.DUMMYFUNCTION("""COMPUTED_VALUE"""),6894)</f>
        <v>6894</v>
      </c>
    </row>
    <row r="44" spans="1:6" ht="15.75" customHeight="1" x14ac:dyDescent="0.15">
      <c r="A44" s="7">
        <f ca="1">IFERROR(__xludf.DUMMYFUNCTION("""COMPUTED_VALUE"""),45700)</f>
        <v>45700</v>
      </c>
      <c r="B44" s="8">
        <f ca="1">IFERROR(__xludf.DUMMYFUNCTION("""COMPUTED_VALUE"""),102631)</f>
        <v>102631</v>
      </c>
      <c r="C44" s="8">
        <f ca="1">IFERROR(__xludf.DUMMYFUNCTION("""COMPUTED_VALUE"""),2023)</f>
        <v>2023</v>
      </c>
      <c r="D44" s="9">
        <f ca="1">IFERROR(__xludf.DUMMYFUNCTION("""COMPUTED_VALUE"""),1562)</f>
        <v>1562</v>
      </c>
      <c r="E44" s="8">
        <f ca="1">IFERROR(__xludf.DUMMYFUNCTION("""COMPUTED_VALUE"""),32)</f>
        <v>32</v>
      </c>
      <c r="F44" s="9">
        <f ca="1">IFERROR(__xludf.DUMMYFUNCTION("""COMPUTED_VALUE"""),5628)</f>
        <v>5628</v>
      </c>
    </row>
    <row r="45" spans="1:6" ht="13" x14ac:dyDescent="0.15">
      <c r="A45" s="7">
        <f ca="1">IFERROR(__xludf.DUMMYFUNCTION("""COMPUTED_VALUE"""),45701)</f>
        <v>45701</v>
      </c>
      <c r="B45" s="8">
        <f ca="1">IFERROR(__xludf.DUMMYFUNCTION("""COMPUTED_VALUE"""),38591)</f>
        <v>38591</v>
      </c>
      <c r="C45" s="8">
        <f ca="1">IFERROR(__xludf.DUMMYFUNCTION("""COMPUTED_VALUE"""),617)</f>
        <v>617</v>
      </c>
      <c r="D45" s="9">
        <f ca="1">IFERROR(__xludf.DUMMYFUNCTION("""COMPUTED_VALUE"""),672)</f>
        <v>672</v>
      </c>
      <c r="E45" s="8">
        <f ca="1">IFERROR(__xludf.DUMMYFUNCTION("""COMPUTED_VALUE"""),16)</f>
        <v>16</v>
      </c>
      <c r="F45" s="9">
        <f ca="1">IFERROR(__xludf.DUMMYFUNCTION("""COMPUTED_VALUE"""),2378)</f>
        <v>2378</v>
      </c>
    </row>
    <row r="46" spans="1:6" ht="13" x14ac:dyDescent="0.15">
      <c r="A46" s="7">
        <f ca="1">IFERROR(__xludf.DUMMYFUNCTION("""COMPUTED_VALUE"""),45702)</f>
        <v>45702</v>
      </c>
      <c r="B46" s="8">
        <f ca="1">IFERROR(__xludf.DUMMYFUNCTION("""COMPUTED_VALUE"""),105603)</f>
        <v>105603</v>
      </c>
      <c r="C46" s="8">
        <f ca="1">IFERROR(__xludf.DUMMYFUNCTION("""COMPUTED_VALUE"""),2186)</f>
        <v>2186</v>
      </c>
      <c r="D46" s="9">
        <f ca="1">IFERROR(__xludf.DUMMYFUNCTION("""COMPUTED_VALUE"""),2095)</f>
        <v>2095</v>
      </c>
      <c r="E46" s="8">
        <f ca="1">IFERROR(__xludf.DUMMYFUNCTION("""COMPUTED_VALUE"""),50)</f>
        <v>50</v>
      </c>
      <c r="F46" s="9">
        <f ca="1">IFERROR(__xludf.DUMMYFUNCTION("""COMPUTED_VALUE"""),7996)</f>
        <v>7996</v>
      </c>
    </row>
    <row r="47" spans="1:6" ht="13" x14ac:dyDescent="0.15">
      <c r="A47" s="7">
        <f ca="1">IFERROR(__xludf.DUMMYFUNCTION("""COMPUTED_VALUE"""),45703)</f>
        <v>45703</v>
      </c>
      <c r="B47" s="8">
        <f ca="1">IFERROR(__xludf.DUMMYFUNCTION("""COMPUTED_VALUE"""),86755)</f>
        <v>86755</v>
      </c>
      <c r="C47" s="8">
        <f ca="1">IFERROR(__xludf.DUMMYFUNCTION("""COMPUTED_VALUE"""),2521)</f>
        <v>2521</v>
      </c>
      <c r="D47" s="9">
        <f ca="1">IFERROR(__xludf.DUMMYFUNCTION("""COMPUTED_VALUE"""),2970)</f>
        <v>2970</v>
      </c>
      <c r="E47" s="8">
        <f ca="1">IFERROR(__xludf.DUMMYFUNCTION("""COMPUTED_VALUE"""),29)</f>
        <v>29</v>
      </c>
      <c r="F47" s="9">
        <f ca="1">IFERROR(__xludf.DUMMYFUNCTION("""COMPUTED_VALUE"""),5816)</f>
        <v>5816</v>
      </c>
    </row>
    <row r="48" spans="1:6" ht="13" x14ac:dyDescent="0.15">
      <c r="A48" s="7">
        <f ca="1">IFERROR(__xludf.DUMMYFUNCTION("""COMPUTED_VALUE"""),45704)</f>
        <v>45704</v>
      </c>
      <c r="B48" s="8">
        <f ca="1">IFERROR(__xludf.DUMMYFUNCTION("""COMPUTED_VALUE"""),24397)</f>
        <v>24397</v>
      </c>
      <c r="C48" s="8">
        <f ca="1">IFERROR(__xludf.DUMMYFUNCTION("""COMPUTED_VALUE"""),250)</f>
        <v>250</v>
      </c>
      <c r="D48" s="9">
        <f ca="1">IFERROR(__xludf.DUMMYFUNCTION("""COMPUTED_VALUE"""),258)</f>
        <v>258</v>
      </c>
      <c r="E48" s="8">
        <f ca="1">IFERROR(__xludf.DUMMYFUNCTION("""COMPUTED_VALUE"""),5)</f>
        <v>5</v>
      </c>
      <c r="F48" s="9">
        <f ca="1">IFERROR(__xludf.DUMMYFUNCTION("""COMPUTED_VALUE"""),827)</f>
        <v>827</v>
      </c>
    </row>
    <row r="49" spans="1:6" ht="13" x14ac:dyDescent="0.15">
      <c r="A49" s="7">
        <f ca="1">IFERROR(__xludf.DUMMYFUNCTION("""COMPUTED_VALUE"""),45705)</f>
        <v>45705</v>
      </c>
      <c r="B49" s="8">
        <f ca="1">IFERROR(__xludf.DUMMYFUNCTION("""COMPUTED_VALUE"""),22719)</f>
        <v>22719</v>
      </c>
      <c r="C49" s="8">
        <f ca="1">IFERROR(__xludf.DUMMYFUNCTION("""COMPUTED_VALUE"""),217)</f>
        <v>217</v>
      </c>
      <c r="D49" s="9">
        <f ca="1">IFERROR(__xludf.DUMMYFUNCTION("""COMPUTED_VALUE"""),276)</f>
        <v>276</v>
      </c>
      <c r="E49" s="8">
        <f ca="1">IFERROR(__xludf.DUMMYFUNCTION("""COMPUTED_VALUE"""),3)</f>
        <v>3</v>
      </c>
      <c r="F49" s="9">
        <f ca="1">IFERROR(__xludf.DUMMYFUNCTION("""COMPUTED_VALUE"""),826)</f>
        <v>826</v>
      </c>
    </row>
    <row r="50" spans="1:6" ht="13" x14ac:dyDescent="0.15">
      <c r="A50" s="7">
        <f ca="1">IFERROR(__xludf.DUMMYFUNCTION("""COMPUTED_VALUE"""),45706)</f>
        <v>45706</v>
      </c>
      <c r="B50" s="8">
        <f ca="1">IFERROR(__xludf.DUMMYFUNCTION("""COMPUTED_VALUE"""),68469)</f>
        <v>68469</v>
      </c>
      <c r="C50" s="8">
        <f ca="1">IFERROR(__xludf.DUMMYFUNCTION("""COMPUTED_VALUE"""),921)</f>
        <v>921</v>
      </c>
      <c r="D50" s="9">
        <f ca="1">IFERROR(__xludf.DUMMYFUNCTION("""COMPUTED_VALUE"""),1026)</f>
        <v>1026</v>
      </c>
      <c r="E50" s="8">
        <f ca="1">IFERROR(__xludf.DUMMYFUNCTION("""COMPUTED_VALUE"""),11)</f>
        <v>11</v>
      </c>
      <c r="F50" s="9">
        <f ca="1">IFERROR(__xludf.DUMMYFUNCTION("""COMPUTED_VALUE"""),2197)</f>
        <v>2197</v>
      </c>
    </row>
    <row r="51" spans="1:6" ht="13" x14ac:dyDescent="0.15">
      <c r="A51" s="7">
        <f ca="1">IFERROR(__xludf.DUMMYFUNCTION("""COMPUTED_VALUE"""),45707)</f>
        <v>45707</v>
      </c>
      <c r="B51" s="8">
        <f ca="1">IFERROR(__xludf.DUMMYFUNCTION("""COMPUTED_VALUE"""),35741)</f>
        <v>35741</v>
      </c>
      <c r="C51" s="8">
        <f ca="1">IFERROR(__xludf.DUMMYFUNCTION("""COMPUTED_VALUE"""),784)</f>
        <v>784</v>
      </c>
      <c r="D51" s="9">
        <f ca="1">IFERROR(__xludf.DUMMYFUNCTION("""COMPUTED_VALUE"""),991)</f>
        <v>991</v>
      </c>
      <c r="E51" s="8">
        <f ca="1">IFERROR(__xludf.DUMMYFUNCTION("""COMPUTED_VALUE"""),12)</f>
        <v>12</v>
      </c>
      <c r="F51" s="9">
        <f ca="1">IFERROR(__xludf.DUMMYFUNCTION("""COMPUTED_VALUE"""),1610)</f>
        <v>1610</v>
      </c>
    </row>
    <row r="52" spans="1:6" ht="13" x14ac:dyDescent="0.15">
      <c r="A52" s="7">
        <f ca="1">IFERROR(__xludf.DUMMYFUNCTION("""COMPUTED_VALUE"""),45708)</f>
        <v>45708</v>
      </c>
      <c r="B52" s="8">
        <f ca="1">IFERROR(__xludf.DUMMYFUNCTION("""COMPUTED_VALUE"""),92642)</f>
        <v>92642</v>
      </c>
      <c r="C52" s="8">
        <f ca="1">IFERROR(__xludf.DUMMYFUNCTION("""COMPUTED_VALUE"""),1666)</f>
        <v>1666</v>
      </c>
      <c r="D52" s="9">
        <f ca="1">IFERROR(__xludf.DUMMYFUNCTION("""COMPUTED_VALUE"""),1765)</f>
        <v>1765</v>
      </c>
      <c r="E52" s="8">
        <f ca="1">IFERROR(__xludf.DUMMYFUNCTION("""COMPUTED_VALUE"""),38)</f>
        <v>38</v>
      </c>
      <c r="F52" s="9">
        <f ca="1">IFERROR(__xludf.DUMMYFUNCTION("""COMPUTED_VALUE"""),5719)</f>
        <v>5719</v>
      </c>
    </row>
    <row r="53" spans="1:6" ht="13" x14ac:dyDescent="0.15">
      <c r="A53" s="7">
        <f ca="1">IFERROR(__xludf.DUMMYFUNCTION("""COMPUTED_VALUE"""),45709)</f>
        <v>45709</v>
      </c>
      <c r="B53" s="8">
        <f ca="1">IFERROR(__xludf.DUMMYFUNCTION("""COMPUTED_VALUE"""),108105)</f>
        <v>108105</v>
      </c>
      <c r="C53" s="8">
        <f ca="1">IFERROR(__xludf.DUMMYFUNCTION("""COMPUTED_VALUE"""),1162)</f>
        <v>1162</v>
      </c>
      <c r="D53" s="9">
        <f ca="1">IFERROR(__xludf.DUMMYFUNCTION("""COMPUTED_VALUE"""),1391)</f>
        <v>1391</v>
      </c>
      <c r="E53" s="8">
        <f ca="1">IFERROR(__xludf.DUMMYFUNCTION("""COMPUTED_VALUE"""),17)</f>
        <v>17</v>
      </c>
      <c r="F53" s="9">
        <f ca="1">IFERROR(__xludf.DUMMYFUNCTION("""COMPUTED_VALUE"""),1856)</f>
        <v>1856</v>
      </c>
    </row>
    <row r="54" spans="1:6" ht="13" x14ac:dyDescent="0.15">
      <c r="A54" s="7">
        <f ca="1">IFERROR(__xludf.DUMMYFUNCTION("""COMPUTED_VALUE"""),45710)</f>
        <v>45710</v>
      </c>
      <c r="B54" s="8">
        <f ca="1">IFERROR(__xludf.DUMMYFUNCTION("""COMPUTED_VALUE"""),81877)</f>
        <v>81877</v>
      </c>
      <c r="C54" s="8">
        <f ca="1">IFERROR(__xludf.DUMMYFUNCTION("""COMPUTED_VALUE"""),1214)</f>
        <v>1214</v>
      </c>
      <c r="D54" s="9">
        <f ca="1">IFERROR(__xludf.DUMMYFUNCTION("""COMPUTED_VALUE"""),1223)</f>
        <v>1223</v>
      </c>
      <c r="E54" s="8">
        <f ca="1">IFERROR(__xludf.DUMMYFUNCTION("""COMPUTED_VALUE"""),18)</f>
        <v>18</v>
      </c>
      <c r="F54" s="9">
        <f ca="1">IFERROR(__xludf.DUMMYFUNCTION("""COMPUTED_VALUE"""),2602)</f>
        <v>2602</v>
      </c>
    </row>
    <row r="55" spans="1:6" ht="13" x14ac:dyDescent="0.15">
      <c r="A55" s="7">
        <f ca="1">IFERROR(__xludf.DUMMYFUNCTION("""COMPUTED_VALUE"""),45711)</f>
        <v>45711</v>
      </c>
      <c r="B55" s="8">
        <f ca="1">IFERROR(__xludf.DUMMYFUNCTION("""COMPUTED_VALUE"""),103967)</f>
        <v>103967</v>
      </c>
      <c r="C55" s="8">
        <f ca="1">IFERROR(__xludf.DUMMYFUNCTION("""COMPUTED_VALUE"""),1170)</f>
        <v>1170</v>
      </c>
      <c r="D55" s="9">
        <f ca="1">IFERROR(__xludf.DUMMYFUNCTION("""COMPUTED_VALUE"""),1098)</f>
        <v>1098</v>
      </c>
      <c r="E55" s="8">
        <f ca="1">IFERROR(__xludf.DUMMYFUNCTION("""COMPUTED_VALUE"""),27)</f>
        <v>27</v>
      </c>
      <c r="F55" s="9">
        <f ca="1">IFERROR(__xludf.DUMMYFUNCTION("""COMPUTED_VALUE"""),5713)</f>
        <v>5713</v>
      </c>
    </row>
    <row r="56" spans="1:6" ht="13" x14ac:dyDescent="0.15">
      <c r="A56" s="7">
        <f ca="1">IFERROR(__xludf.DUMMYFUNCTION("""COMPUTED_VALUE"""),45712)</f>
        <v>45712</v>
      </c>
      <c r="B56" s="8">
        <f ca="1">IFERROR(__xludf.DUMMYFUNCTION("""COMPUTED_VALUE"""),27443)</f>
        <v>27443</v>
      </c>
      <c r="C56" s="8">
        <f ca="1">IFERROR(__xludf.DUMMYFUNCTION("""COMPUTED_VALUE"""),632)</f>
        <v>632</v>
      </c>
      <c r="D56" s="9">
        <f ca="1">IFERROR(__xludf.DUMMYFUNCTION("""COMPUTED_VALUE"""),536)</f>
        <v>536</v>
      </c>
      <c r="E56" s="8">
        <f ca="1">IFERROR(__xludf.DUMMYFUNCTION("""COMPUTED_VALUE"""),7)</f>
        <v>7</v>
      </c>
      <c r="F56" s="9">
        <f ca="1">IFERROR(__xludf.DUMMYFUNCTION("""COMPUTED_VALUE"""),868)</f>
        <v>868</v>
      </c>
    </row>
    <row r="57" spans="1:6" ht="13" x14ac:dyDescent="0.15">
      <c r="A57" s="7">
        <f ca="1">IFERROR(__xludf.DUMMYFUNCTION("""COMPUTED_VALUE"""),45713)</f>
        <v>45713</v>
      </c>
      <c r="B57" s="8">
        <f ca="1">IFERROR(__xludf.DUMMYFUNCTION("""COMPUTED_VALUE"""),66742)</f>
        <v>66742</v>
      </c>
      <c r="C57" s="8">
        <f ca="1">IFERROR(__xludf.DUMMYFUNCTION("""COMPUTED_VALUE"""),1199)</f>
        <v>1199</v>
      </c>
      <c r="D57" s="9">
        <f ca="1">IFERROR(__xludf.DUMMYFUNCTION("""COMPUTED_VALUE"""),765)</f>
        <v>765</v>
      </c>
      <c r="E57" s="8">
        <f ca="1">IFERROR(__xludf.DUMMYFUNCTION("""COMPUTED_VALUE"""),19)</f>
        <v>19</v>
      </c>
      <c r="F57" s="9">
        <f ca="1">IFERROR(__xludf.DUMMYFUNCTION("""COMPUTED_VALUE"""),2334)</f>
        <v>2334</v>
      </c>
    </row>
    <row r="58" spans="1:6" ht="13" x14ac:dyDescent="0.15">
      <c r="A58" s="7">
        <f ca="1">IFERROR(__xludf.DUMMYFUNCTION("""COMPUTED_VALUE"""),45714)</f>
        <v>45714</v>
      </c>
      <c r="B58" s="8">
        <f ca="1">IFERROR(__xludf.DUMMYFUNCTION("""COMPUTED_VALUE"""),94411)</f>
        <v>94411</v>
      </c>
      <c r="C58" s="8">
        <f ca="1">IFERROR(__xludf.DUMMYFUNCTION("""COMPUTED_VALUE"""),2697)</f>
        <v>2697</v>
      </c>
      <c r="D58" s="9">
        <f ca="1">IFERROR(__xludf.DUMMYFUNCTION("""COMPUTED_VALUE"""),2590)</f>
        <v>2590</v>
      </c>
      <c r="E58" s="8">
        <f ca="1">IFERROR(__xludf.DUMMYFUNCTION("""COMPUTED_VALUE"""),44)</f>
        <v>44</v>
      </c>
      <c r="F58" s="9">
        <f ca="1">IFERROR(__xludf.DUMMYFUNCTION("""COMPUTED_VALUE"""),6715)</f>
        <v>6715</v>
      </c>
    </row>
    <row r="59" spans="1:6" ht="13" x14ac:dyDescent="0.15">
      <c r="A59" s="7">
        <f ca="1">IFERROR(__xludf.DUMMYFUNCTION("""COMPUTED_VALUE"""),45715)</f>
        <v>45715</v>
      </c>
      <c r="B59" s="8">
        <f ca="1">IFERROR(__xludf.DUMMYFUNCTION("""COMPUTED_VALUE"""),59457)</f>
        <v>59457</v>
      </c>
      <c r="C59" s="8">
        <f ca="1">IFERROR(__xludf.DUMMYFUNCTION("""COMPUTED_VALUE"""),1760)</f>
        <v>1760</v>
      </c>
      <c r="D59" s="9">
        <f ca="1">IFERROR(__xludf.DUMMYFUNCTION("""COMPUTED_VALUE"""),1808)</f>
        <v>1808</v>
      </c>
      <c r="E59" s="8">
        <f ca="1">IFERROR(__xludf.DUMMYFUNCTION("""COMPUTED_VALUE"""),18)</f>
        <v>18</v>
      </c>
      <c r="F59" s="9">
        <f ca="1">IFERROR(__xludf.DUMMYFUNCTION("""COMPUTED_VALUE"""),3936)</f>
        <v>3936</v>
      </c>
    </row>
    <row r="60" spans="1:6" ht="13" x14ac:dyDescent="0.15">
      <c r="A60" s="7">
        <f ca="1">IFERROR(__xludf.DUMMYFUNCTION("""COMPUTED_VALUE"""),45716)</f>
        <v>45716</v>
      </c>
      <c r="B60" s="8">
        <f ca="1">IFERROR(__xludf.DUMMYFUNCTION("""COMPUTED_VALUE"""),26211)</f>
        <v>26211</v>
      </c>
      <c r="C60" s="8">
        <f ca="1">IFERROR(__xludf.DUMMYFUNCTION("""COMPUTED_VALUE"""),208)</f>
        <v>208</v>
      </c>
      <c r="D60" s="9">
        <f ca="1">IFERROR(__xludf.DUMMYFUNCTION("""COMPUTED_VALUE"""),214)</f>
        <v>214</v>
      </c>
      <c r="E60" s="8">
        <f ca="1">IFERROR(__xludf.DUMMYFUNCTION("""COMPUTED_VALUE"""),2)</f>
        <v>2</v>
      </c>
      <c r="F60" s="9">
        <f ca="1">IFERROR(__xludf.DUMMYFUNCTION("""COMPUTED_VALUE"""),451)</f>
        <v>451</v>
      </c>
    </row>
    <row r="61" spans="1:6" ht="13" x14ac:dyDescent="0.15">
      <c r="A61" s="7">
        <f ca="1">IFERROR(__xludf.DUMMYFUNCTION("""COMPUTED_VALUE"""),45717)</f>
        <v>45717</v>
      </c>
      <c r="B61" s="8">
        <f ca="1">IFERROR(__xludf.DUMMYFUNCTION("""COMPUTED_VALUE"""),85553)</f>
        <v>85553</v>
      </c>
      <c r="C61" s="8">
        <f ca="1">IFERROR(__xludf.DUMMYFUNCTION("""COMPUTED_VALUE"""),1511)</f>
        <v>1511</v>
      </c>
      <c r="D61" s="9">
        <f ca="1">IFERROR(__xludf.DUMMYFUNCTION("""COMPUTED_VALUE"""),1327)</f>
        <v>1327</v>
      </c>
      <c r="E61" s="8">
        <f ca="1">IFERROR(__xludf.DUMMYFUNCTION("""COMPUTED_VALUE"""),37)</f>
        <v>37</v>
      </c>
      <c r="F61" s="9">
        <f ca="1">IFERROR(__xludf.DUMMYFUNCTION("""COMPUTED_VALUE"""),5908)</f>
        <v>5908</v>
      </c>
    </row>
    <row r="62" spans="1:6" ht="13" x14ac:dyDescent="0.15">
      <c r="A62" s="7">
        <f ca="1">IFERROR(__xludf.DUMMYFUNCTION("""COMPUTED_VALUE"""),45718)</f>
        <v>45718</v>
      </c>
      <c r="B62" s="8">
        <f ca="1">IFERROR(__xludf.DUMMYFUNCTION("""COMPUTED_VALUE"""),54557)</f>
        <v>54557</v>
      </c>
      <c r="C62" s="8">
        <f ca="1">IFERROR(__xludf.DUMMYFUNCTION("""COMPUTED_VALUE"""),1540)</f>
        <v>1540</v>
      </c>
      <c r="D62" s="9">
        <f ca="1">IFERROR(__xludf.DUMMYFUNCTION("""COMPUTED_VALUE"""),1786)</f>
        <v>1786</v>
      </c>
      <c r="E62" s="8">
        <f ca="1">IFERROR(__xludf.DUMMYFUNCTION("""COMPUTED_VALUE"""),29)</f>
        <v>29</v>
      </c>
      <c r="F62" s="9">
        <f ca="1">IFERROR(__xludf.DUMMYFUNCTION("""COMPUTED_VALUE"""),4767)</f>
        <v>4767</v>
      </c>
    </row>
    <row r="63" spans="1:6" ht="13" x14ac:dyDescent="0.15">
      <c r="A63" s="7">
        <f ca="1">IFERROR(__xludf.DUMMYFUNCTION("""COMPUTED_VALUE"""),45719)</f>
        <v>45719</v>
      </c>
      <c r="B63" s="8">
        <f ca="1">IFERROR(__xludf.DUMMYFUNCTION("""COMPUTED_VALUE"""),33309)</f>
        <v>33309</v>
      </c>
      <c r="C63" s="8">
        <f ca="1">IFERROR(__xludf.DUMMYFUNCTION("""COMPUTED_VALUE"""),657)</f>
        <v>657</v>
      </c>
      <c r="D63" s="9">
        <f ca="1">IFERROR(__xludf.DUMMYFUNCTION("""COMPUTED_VALUE"""),604)</f>
        <v>604</v>
      </c>
      <c r="E63" s="8">
        <f ca="1">IFERROR(__xludf.DUMMYFUNCTION("""COMPUTED_VALUE"""),16)</f>
        <v>16</v>
      </c>
      <c r="F63" s="9">
        <f ca="1">IFERROR(__xludf.DUMMYFUNCTION("""COMPUTED_VALUE"""),3225)</f>
        <v>3225</v>
      </c>
    </row>
    <row r="64" spans="1:6" ht="13" x14ac:dyDescent="0.15">
      <c r="A64" s="7">
        <f ca="1">IFERROR(__xludf.DUMMYFUNCTION("""COMPUTED_VALUE"""),45720)</f>
        <v>45720</v>
      </c>
      <c r="B64" s="8">
        <f ca="1">IFERROR(__xludf.DUMMYFUNCTION("""COMPUTED_VALUE"""),41657)</f>
        <v>41657</v>
      </c>
      <c r="C64" s="8">
        <f ca="1">IFERROR(__xludf.DUMMYFUNCTION("""COMPUTED_VALUE"""),661)</f>
        <v>661</v>
      </c>
      <c r="D64" s="9">
        <f ca="1">IFERROR(__xludf.DUMMYFUNCTION("""COMPUTED_VALUE"""),637)</f>
        <v>637</v>
      </c>
      <c r="E64" s="8">
        <f ca="1">IFERROR(__xludf.DUMMYFUNCTION("""COMPUTED_VALUE"""),12)</f>
        <v>12</v>
      </c>
      <c r="F64" s="9">
        <f ca="1">IFERROR(__xludf.DUMMYFUNCTION("""COMPUTED_VALUE"""),2391)</f>
        <v>2391</v>
      </c>
    </row>
    <row r="65" spans="1:6" ht="13" x14ac:dyDescent="0.15">
      <c r="A65" s="7">
        <f ca="1">IFERROR(__xludf.DUMMYFUNCTION("""COMPUTED_VALUE"""),45721)</f>
        <v>45721</v>
      </c>
      <c r="B65" s="8">
        <f ca="1">IFERROR(__xludf.DUMMYFUNCTION("""COMPUTED_VALUE"""),68691)</f>
        <v>68691</v>
      </c>
      <c r="C65" s="8">
        <f ca="1">IFERROR(__xludf.DUMMYFUNCTION("""COMPUTED_VALUE"""),1756)</f>
        <v>1756</v>
      </c>
      <c r="D65" s="9">
        <f ca="1">IFERROR(__xludf.DUMMYFUNCTION("""COMPUTED_VALUE"""),1700)</f>
        <v>1700</v>
      </c>
      <c r="E65" s="8">
        <f ca="1">IFERROR(__xludf.DUMMYFUNCTION("""COMPUTED_VALUE"""),37)</f>
        <v>37</v>
      </c>
      <c r="F65" s="9">
        <f ca="1">IFERROR(__xludf.DUMMYFUNCTION("""COMPUTED_VALUE"""),4394)</f>
        <v>4394</v>
      </c>
    </row>
    <row r="66" spans="1:6" ht="13" x14ac:dyDescent="0.15">
      <c r="A66" s="7">
        <f ca="1">IFERROR(__xludf.DUMMYFUNCTION("""COMPUTED_VALUE"""),45722)</f>
        <v>45722</v>
      </c>
      <c r="B66" s="8">
        <f ca="1">IFERROR(__xludf.DUMMYFUNCTION("""COMPUTED_VALUE"""),65226)</f>
        <v>65226</v>
      </c>
      <c r="C66" s="8">
        <f ca="1">IFERROR(__xludf.DUMMYFUNCTION("""COMPUTED_VALUE"""),1583)</f>
        <v>1583</v>
      </c>
      <c r="D66" s="9">
        <f ca="1">IFERROR(__xludf.DUMMYFUNCTION("""COMPUTED_VALUE"""),1268)</f>
        <v>1268</v>
      </c>
      <c r="E66" s="8">
        <f ca="1">IFERROR(__xludf.DUMMYFUNCTION("""COMPUTED_VALUE"""),25)</f>
        <v>25</v>
      </c>
      <c r="F66" s="9">
        <f ca="1">IFERROR(__xludf.DUMMYFUNCTION("""COMPUTED_VALUE"""),4588)</f>
        <v>4588</v>
      </c>
    </row>
    <row r="67" spans="1:6" ht="13" x14ac:dyDescent="0.15">
      <c r="A67" s="7">
        <f ca="1">IFERROR(__xludf.DUMMYFUNCTION("""COMPUTED_VALUE"""),45723)</f>
        <v>45723</v>
      </c>
      <c r="B67" s="8">
        <f ca="1">IFERROR(__xludf.DUMMYFUNCTION("""COMPUTED_VALUE"""),35908)</f>
        <v>35908</v>
      </c>
      <c r="C67" s="8">
        <f ca="1">IFERROR(__xludf.DUMMYFUNCTION("""COMPUTED_VALUE"""),770)</f>
        <v>770</v>
      </c>
      <c r="D67" s="9">
        <f ca="1">IFERROR(__xludf.DUMMYFUNCTION("""COMPUTED_VALUE"""),522)</f>
        <v>522</v>
      </c>
      <c r="E67" s="8">
        <f ca="1">IFERROR(__xludf.DUMMYFUNCTION("""COMPUTED_VALUE"""),13)</f>
        <v>13</v>
      </c>
      <c r="F67" s="9">
        <f ca="1">IFERROR(__xludf.DUMMYFUNCTION("""COMPUTED_VALUE"""),1516)</f>
        <v>1516</v>
      </c>
    </row>
    <row r="68" spans="1:6" ht="13" x14ac:dyDescent="0.15">
      <c r="A68" s="7">
        <f ca="1">IFERROR(__xludf.DUMMYFUNCTION("""COMPUTED_VALUE"""),45724)</f>
        <v>45724</v>
      </c>
      <c r="B68" s="8">
        <f ca="1">IFERROR(__xludf.DUMMYFUNCTION("""COMPUTED_VALUE"""),90050)</f>
        <v>90050</v>
      </c>
      <c r="C68" s="8">
        <f ca="1">IFERROR(__xludf.DUMMYFUNCTION("""COMPUTED_VALUE"""),2615)</f>
        <v>2615</v>
      </c>
      <c r="D68" s="9">
        <f ca="1">IFERROR(__xludf.DUMMYFUNCTION("""COMPUTED_VALUE"""),1567)</f>
        <v>1567</v>
      </c>
      <c r="E68" s="8">
        <f ca="1">IFERROR(__xludf.DUMMYFUNCTION("""COMPUTED_VALUE"""),53)</f>
        <v>53</v>
      </c>
      <c r="F68" s="9">
        <f ca="1">IFERROR(__xludf.DUMMYFUNCTION("""COMPUTED_VALUE"""),5792)</f>
        <v>5792</v>
      </c>
    </row>
    <row r="69" spans="1:6" ht="13" x14ac:dyDescent="0.15">
      <c r="A69" s="7">
        <f ca="1">IFERROR(__xludf.DUMMYFUNCTION("""COMPUTED_VALUE"""),45725)</f>
        <v>45725</v>
      </c>
      <c r="B69" s="8">
        <f ca="1">IFERROR(__xludf.DUMMYFUNCTION("""COMPUTED_VALUE"""),82917)</f>
        <v>82917</v>
      </c>
      <c r="C69" s="8">
        <f ca="1">IFERROR(__xludf.DUMMYFUNCTION("""COMPUTED_VALUE"""),2378)</f>
        <v>2378</v>
      </c>
      <c r="D69" s="9">
        <f ca="1">IFERROR(__xludf.DUMMYFUNCTION("""COMPUTED_VALUE"""),2304)</f>
        <v>2304</v>
      </c>
      <c r="E69" s="8">
        <f ca="1">IFERROR(__xludf.DUMMYFUNCTION("""COMPUTED_VALUE"""),54)</f>
        <v>54</v>
      </c>
      <c r="F69" s="9">
        <f ca="1">IFERROR(__xludf.DUMMYFUNCTION("""COMPUTED_VALUE"""),8599)</f>
        <v>8599</v>
      </c>
    </row>
    <row r="70" spans="1:6" ht="13" x14ac:dyDescent="0.15">
      <c r="A70" s="7">
        <f ca="1">IFERROR(__xludf.DUMMYFUNCTION("""COMPUTED_VALUE"""),45726)</f>
        <v>45726</v>
      </c>
      <c r="B70" s="8">
        <f ca="1">IFERROR(__xludf.DUMMYFUNCTION("""COMPUTED_VALUE"""),90435)</f>
        <v>90435</v>
      </c>
      <c r="C70" s="8">
        <f ca="1">IFERROR(__xludf.DUMMYFUNCTION("""COMPUTED_VALUE"""),2385)</f>
        <v>2385</v>
      </c>
      <c r="D70" s="9">
        <f ca="1">IFERROR(__xludf.DUMMYFUNCTION("""COMPUTED_VALUE"""),2386)</f>
        <v>2386</v>
      </c>
      <c r="E70" s="8">
        <f ca="1">IFERROR(__xludf.DUMMYFUNCTION("""COMPUTED_VALUE"""),51)</f>
        <v>51</v>
      </c>
      <c r="F70" s="9">
        <f ca="1">IFERROR(__xludf.DUMMYFUNCTION("""COMPUTED_VALUE"""),8951)</f>
        <v>8951</v>
      </c>
    </row>
    <row r="71" spans="1:6" ht="13" x14ac:dyDescent="0.15">
      <c r="A71" s="7">
        <f ca="1">IFERROR(__xludf.DUMMYFUNCTION("""COMPUTED_VALUE"""),45727)</f>
        <v>45727</v>
      </c>
      <c r="B71" s="8">
        <f ca="1">IFERROR(__xludf.DUMMYFUNCTION("""COMPUTED_VALUE"""),45828)</f>
        <v>45828</v>
      </c>
      <c r="C71" s="8">
        <f ca="1">IFERROR(__xludf.DUMMYFUNCTION("""COMPUTED_VALUE"""),1072)</f>
        <v>1072</v>
      </c>
      <c r="D71" s="9">
        <f ca="1">IFERROR(__xludf.DUMMYFUNCTION("""COMPUTED_VALUE"""),706)</f>
        <v>706</v>
      </c>
      <c r="E71" s="8">
        <f ca="1">IFERROR(__xludf.DUMMYFUNCTION("""COMPUTED_VALUE"""),12)</f>
        <v>12</v>
      </c>
      <c r="F71" s="9">
        <f ca="1">IFERROR(__xludf.DUMMYFUNCTION("""COMPUTED_VALUE"""),2348)</f>
        <v>2348</v>
      </c>
    </row>
    <row r="72" spans="1:6" ht="13" x14ac:dyDescent="0.15">
      <c r="A72" s="7">
        <f ca="1">IFERROR(__xludf.DUMMYFUNCTION("""COMPUTED_VALUE"""),45728)</f>
        <v>45728</v>
      </c>
      <c r="B72" s="8">
        <f ca="1">IFERROR(__xludf.DUMMYFUNCTION("""COMPUTED_VALUE"""),96808)</f>
        <v>96808</v>
      </c>
      <c r="C72" s="8">
        <f ca="1">IFERROR(__xludf.DUMMYFUNCTION("""COMPUTED_VALUE"""),2074)</f>
        <v>2074</v>
      </c>
      <c r="D72" s="9">
        <f ca="1">IFERROR(__xludf.DUMMYFUNCTION("""COMPUTED_VALUE"""),1658)</f>
        <v>1658</v>
      </c>
      <c r="E72" s="8">
        <f ca="1">IFERROR(__xludf.DUMMYFUNCTION("""COMPUTED_VALUE"""),36)</f>
        <v>36</v>
      </c>
      <c r="F72" s="9">
        <f ca="1">IFERROR(__xludf.DUMMYFUNCTION("""COMPUTED_VALUE"""),6226)</f>
        <v>6226</v>
      </c>
    </row>
    <row r="73" spans="1:6" ht="13" x14ac:dyDescent="0.15">
      <c r="A73" s="7">
        <f ca="1">IFERROR(__xludf.DUMMYFUNCTION("""COMPUTED_VALUE"""),45729)</f>
        <v>45729</v>
      </c>
      <c r="B73" s="8">
        <f ca="1">IFERROR(__xludf.DUMMYFUNCTION("""COMPUTED_VALUE"""),36019)</f>
        <v>36019</v>
      </c>
      <c r="C73" s="8">
        <f ca="1">IFERROR(__xludf.DUMMYFUNCTION("""COMPUTED_VALUE"""),662)</f>
        <v>662</v>
      </c>
      <c r="D73" s="9">
        <f ca="1">IFERROR(__xludf.DUMMYFUNCTION("""COMPUTED_VALUE"""),540)</f>
        <v>540</v>
      </c>
      <c r="E73" s="8">
        <f ca="1">IFERROR(__xludf.DUMMYFUNCTION("""COMPUTED_VALUE"""),11)</f>
        <v>11</v>
      </c>
      <c r="F73" s="9">
        <f ca="1">IFERROR(__xludf.DUMMYFUNCTION("""COMPUTED_VALUE"""),1754)</f>
        <v>1754</v>
      </c>
    </row>
    <row r="74" spans="1:6" ht="13" x14ac:dyDescent="0.15">
      <c r="A74" s="7">
        <f ca="1">IFERROR(__xludf.DUMMYFUNCTION("""COMPUTED_VALUE"""),45730)</f>
        <v>45730</v>
      </c>
      <c r="B74" s="8">
        <f ca="1">IFERROR(__xludf.DUMMYFUNCTION("""COMPUTED_VALUE"""),65734)</f>
        <v>65734</v>
      </c>
      <c r="C74" s="8">
        <f ca="1">IFERROR(__xludf.DUMMYFUNCTION("""COMPUTED_VALUE"""),828)</f>
        <v>828</v>
      </c>
      <c r="D74" s="9">
        <f ca="1">IFERROR(__xludf.DUMMYFUNCTION("""COMPUTED_VALUE"""),949)</f>
        <v>949</v>
      </c>
      <c r="E74" s="8">
        <f ca="1">IFERROR(__xludf.DUMMYFUNCTION("""COMPUTED_VALUE"""),11)</f>
        <v>11</v>
      </c>
      <c r="F74" s="9">
        <f ca="1">IFERROR(__xludf.DUMMYFUNCTION("""COMPUTED_VALUE"""),1161)</f>
        <v>1161</v>
      </c>
    </row>
    <row r="75" spans="1:6" ht="13" x14ac:dyDescent="0.15">
      <c r="A75" s="7">
        <f ca="1">IFERROR(__xludf.DUMMYFUNCTION("""COMPUTED_VALUE"""),45731)</f>
        <v>45731</v>
      </c>
      <c r="B75" s="8">
        <f ca="1">IFERROR(__xludf.DUMMYFUNCTION("""COMPUTED_VALUE"""),34177)</f>
        <v>34177</v>
      </c>
      <c r="C75" s="8">
        <f ca="1">IFERROR(__xludf.DUMMYFUNCTION("""COMPUTED_VALUE"""),381)</f>
        <v>381</v>
      </c>
      <c r="D75" s="9">
        <f ca="1">IFERROR(__xludf.DUMMYFUNCTION("""COMPUTED_VALUE"""),279)</f>
        <v>279</v>
      </c>
      <c r="E75" s="8">
        <f ca="1">IFERROR(__xludf.DUMMYFUNCTION("""COMPUTED_VALUE"""),6)</f>
        <v>6</v>
      </c>
      <c r="F75" s="9">
        <f ca="1">IFERROR(__xludf.DUMMYFUNCTION("""COMPUTED_VALUE"""),1258)</f>
        <v>1258</v>
      </c>
    </row>
    <row r="76" spans="1:6" ht="13" x14ac:dyDescent="0.15">
      <c r="A76" s="7">
        <f ca="1">IFERROR(__xludf.DUMMYFUNCTION("""COMPUTED_VALUE"""),45732)</f>
        <v>45732</v>
      </c>
      <c r="B76" s="8">
        <f ca="1">IFERROR(__xludf.DUMMYFUNCTION("""COMPUTED_VALUE"""),39087)</f>
        <v>39087</v>
      </c>
      <c r="C76" s="8">
        <f ca="1">IFERROR(__xludf.DUMMYFUNCTION("""COMPUTED_VALUE"""),640)</f>
        <v>640</v>
      </c>
      <c r="D76" s="9">
        <f ca="1">IFERROR(__xludf.DUMMYFUNCTION("""COMPUTED_VALUE"""),744)</f>
        <v>744</v>
      </c>
      <c r="E76" s="8">
        <f ca="1">IFERROR(__xludf.DUMMYFUNCTION("""COMPUTED_VALUE"""),10)</f>
        <v>10</v>
      </c>
      <c r="F76" s="9">
        <f ca="1">IFERROR(__xludf.DUMMYFUNCTION("""COMPUTED_VALUE"""),1362)</f>
        <v>1362</v>
      </c>
    </row>
    <row r="77" spans="1:6" ht="13" x14ac:dyDescent="0.15">
      <c r="A77" s="7">
        <f ca="1">IFERROR(__xludf.DUMMYFUNCTION("""COMPUTED_VALUE"""),45733)</f>
        <v>45733</v>
      </c>
      <c r="B77" s="8">
        <f ca="1">IFERROR(__xludf.DUMMYFUNCTION("""COMPUTED_VALUE"""),66428)</f>
        <v>66428</v>
      </c>
      <c r="C77" s="8">
        <f ca="1">IFERROR(__xludf.DUMMYFUNCTION("""COMPUTED_VALUE"""),1746)</f>
        <v>1746</v>
      </c>
      <c r="D77" s="9">
        <f ca="1">IFERROR(__xludf.DUMMYFUNCTION("""COMPUTED_VALUE"""),2045)</f>
        <v>2045</v>
      </c>
      <c r="E77" s="8">
        <f ca="1">IFERROR(__xludf.DUMMYFUNCTION("""COMPUTED_VALUE"""),44)</f>
        <v>44</v>
      </c>
      <c r="F77" s="9">
        <f ca="1">IFERROR(__xludf.DUMMYFUNCTION("""COMPUTED_VALUE"""),9133)</f>
        <v>9133</v>
      </c>
    </row>
    <row r="78" spans="1:6" ht="13" x14ac:dyDescent="0.15">
      <c r="A78" s="7">
        <f ca="1">IFERROR(__xludf.DUMMYFUNCTION("""COMPUTED_VALUE"""),45734)</f>
        <v>45734</v>
      </c>
      <c r="B78" s="8">
        <f ca="1">IFERROR(__xludf.DUMMYFUNCTION("""COMPUTED_VALUE"""),49952)</f>
        <v>49952</v>
      </c>
      <c r="C78" s="8">
        <f ca="1">IFERROR(__xludf.DUMMYFUNCTION("""COMPUTED_VALUE"""),850)</f>
        <v>850</v>
      </c>
      <c r="D78" s="9">
        <f ca="1">IFERROR(__xludf.DUMMYFUNCTION("""COMPUTED_VALUE"""),897)</f>
        <v>897</v>
      </c>
      <c r="E78" s="8">
        <f ca="1">IFERROR(__xludf.DUMMYFUNCTION("""COMPUTED_VALUE"""),12)</f>
        <v>12</v>
      </c>
      <c r="F78" s="9">
        <f ca="1">IFERROR(__xludf.DUMMYFUNCTION("""COMPUTED_VALUE"""),1450)</f>
        <v>1450</v>
      </c>
    </row>
    <row r="79" spans="1:6" ht="13" x14ac:dyDescent="0.15">
      <c r="A79" s="7">
        <f ca="1">IFERROR(__xludf.DUMMYFUNCTION("""COMPUTED_VALUE"""),45735)</f>
        <v>45735</v>
      </c>
      <c r="B79" s="8">
        <f ca="1">IFERROR(__xludf.DUMMYFUNCTION("""COMPUTED_VALUE"""),38705)</f>
        <v>38705</v>
      </c>
      <c r="C79" s="8">
        <f ca="1">IFERROR(__xludf.DUMMYFUNCTION("""COMPUTED_VALUE"""),706)</f>
        <v>706</v>
      </c>
      <c r="D79" s="9">
        <f ca="1">IFERROR(__xludf.DUMMYFUNCTION("""COMPUTED_VALUE"""),629)</f>
        <v>629</v>
      </c>
      <c r="E79" s="8">
        <f ca="1">IFERROR(__xludf.DUMMYFUNCTION("""COMPUTED_VALUE"""),15)</f>
        <v>15</v>
      </c>
      <c r="F79" s="9">
        <f ca="1">IFERROR(__xludf.DUMMYFUNCTION("""COMPUTED_VALUE"""),3294)</f>
        <v>3294</v>
      </c>
    </row>
    <row r="80" spans="1:6" ht="13" x14ac:dyDescent="0.15">
      <c r="A80" s="7">
        <f ca="1">IFERROR(__xludf.DUMMYFUNCTION("""COMPUTED_VALUE"""),45736)</f>
        <v>45736</v>
      </c>
      <c r="B80" s="8">
        <f ca="1">IFERROR(__xludf.DUMMYFUNCTION("""COMPUTED_VALUE"""),104415)</f>
        <v>104415</v>
      </c>
      <c r="C80" s="8">
        <f ca="1">IFERROR(__xludf.DUMMYFUNCTION("""COMPUTED_VALUE"""),1123)</f>
        <v>1123</v>
      </c>
      <c r="D80" s="9">
        <f ca="1">IFERROR(__xludf.DUMMYFUNCTION("""COMPUTED_VALUE"""),1296)</f>
        <v>1296</v>
      </c>
      <c r="E80" s="8">
        <f ca="1">IFERROR(__xludf.DUMMYFUNCTION("""COMPUTED_VALUE"""),25)</f>
        <v>25</v>
      </c>
      <c r="F80" s="9">
        <f ca="1">IFERROR(__xludf.DUMMYFUNCTION("""COMPUTED_VALUE"""),5154)</f>
        <v>5154</v>
      </c>
    </row>
    <row r="81" spans="1:6" ht="13" x14ac:dyDescent="0.15">
      <c r="A81" s="7">
        <f ca="1">IFERROR(__xludf.DUMMYFUNCTION("""COMPUTED_VALUE"""),45737)</f>
        <v>45737</v>
      </c>
      <c r="B81" s="8">
        <f ca="1">IFERROR(__xludf.DUMMYFUNCTION("""COMPUTED_VALUE"""),45418)</f>
        <v>45418</v>
      </c>
      <c r="C81" s="8">
        <f ca="1">IFERROR(__xludf.DUMMYFUNCTION("""COMPUTED_VALUE"""),877)</f>
        <v>877</v>
      </c>
      <c r="D81" s="9">
        <f ca="1">IFERROR(__xludf.DUMMYFUNCTION("""COMPUTED_VALUE"""),1060)</f>
        <v>1060</v>
      </c>
      <c r="E81" s="8">
        <f ca="1">IFERROR(__xludf.DUMMYFUNCTION("""COMPUTED_VALUE"""),18)</f>
        <v>18</v>
      </c>
      <c r="F81" s="9">
        <f ca="1">IFERROR(__xludf.DUMMYFUNCTION("""COMPUTED_VALUE"""),2053)</f>
        <v>2053</v>
      </c>
    </row>
    <row r="82" spans="1:6" ht="13" x14ac:dyDescent="0.15">
      <c r="A82" s="7">
        <f ca="1">IFERROR(__xludf.DUMMYFUNCTION("""COMPUTED_VALUE"""),45738)</f>
        <v>45738</v>
      </c>
      <c r="B82" s="8">
        <f ca="1">IFERROR(__xludf.DUMMYFUNCTION("""COMPUTED_VALUE"""),43038)</f>
        <v>43038</v>
      </c>
      <c r="C82" s="8">
        <f ca="1">IFERROR(__xludf.DUMMYFUNCTION("""COMPUTED_VALUE"""),1140)</f>
        <v>1140</v>
      </c>
      <c r="D82" s="9">
        <f ca="1">IFERROR(__xludf.DUMMYFUNCTION("""COMPUTED_VALUE"""),1034)</f>
        <v>1034</v>
      </c>
      <c r="E82" s="8">
        <f ca="1">IFERROR(__xludf.DUMMYFUNCTION("""COMPUTED_VALUE"""),18)</f>
        <v>18</v>
      </c>
      <c r="F82" s="9">
        <f ca="1">IFERROR(__xludf.DUMMYFUNCTION("""COMPUTED_VALUE"""),2734)</f>
        <v>2734</v>
      </c>
    </row>
    <row r="83" spans="1:6" ht="13" x14ac:dyDescent="0.15">
      <c r="A83" s="7">
        <f ca="1">IFERROR(__xludf.DUMMYFUNCTION("""COMPUTED_VALUE"""),45739)</f>
        <v>45739</v>
      </c>
      <c r="B83" s="8">
        <f ca="1">IFERROR(__xludf.DUMMYFUNCTION("""COMPUTED_VALUE"""),112277)</f>
        <v>112277</v>
      </c>
      <c r="C83" s="8">
        <f ca="1">IFERROR(__xludf.DUMMYFUNCTION("""COMPUTED_VALUE"""),2162)</f>
        <v>2162</v>
      </c>
      <c r="D83" s="9">
        <f ca="1">IFERROR(__xludf.DUMMYFUNCTION("""COMPUTED_VALUE"""),1808)</f>
        <v>1808</v>
      </c>
      <c r="E83" s="8">
        <f ca="1">IFERROR(__xludf.DUMMYFUNCTION("""COMPUTED_VALUE"""),36)</f>
        <v>36</v>
      </c>
      <c r="F83" s="9">
        <f ca="1">IFERROR(__xludf.DUMMYFUNCTION("""COMPUTED_VALUE"""),5134)</f>
        <v>5134</v>
      </c>
    </row>
    <row r="84" spans="1:6" ht="13" x14ac:dyDescent="0.15">
      <c r="A84" s="7">
        <f ca="1">IFERROR(__xludf.DUMMYFUNCTION("""COMPUTED_VALUE"""),45740)</f>
        <v>45740</v>
      </c>
      <c r="B84" s="8">
        <f ca="1">IFERROR(__xludf.DUMMYFUNCTION("""COMPUTED_VALUE"""),19294)</f>
        <v>19294</v>
      </c>
      <c r="C84" s="8">
        <f ca="1">IFERROR(__xludf.DUMMYFUNCTION("""COMPUTED_VALUE"""),142)</f>
        <v>142</v>
      </c>
      <c r="D84" s="9">
        <f ca="1">IFERROR(__xludf.DUMMYFUNCTION("""COMPUTED_VALUE"""),167)</f>
        <v>167</v>
      </c>
      <c r="E84" s="8">
        <f ca="1">IFERROR(__xludf.DUMMYFUNCTION("""COMPUTED_VALUE"""),1)</f>
        <v>1</v>
      </c>
      <c r="F84" s="9">
        <f ca="1">IFERROR(__xludf.DUMMYFUNCTION("""COMPUTED_VALUE"""),271)</f>
        <v>271</v>
      </c>
    </row>
    <row r="85" spans="1:6" ht="13" x14ac:dyDescent="0.15">
      <c r="A85" s="7">
        <f ca="1">IFERROR(__xludf.DUMMYFUNCTION("""COMPUTED_VALUE"""),45741)</f>
        <v>45741</v>
      </c>
      <c r="B85" s="8">
        <f ca="1">IFERROR(__xludf.DUMMYFUNCTION("""COMPUTED_VALUE"""),85477)</f>
        <v>85477</v>
      </c>
      <c r="C85" s="8">
        <f ca="1">IFERROR(__xludf.DUMMYFUNCTION("""COMPUTED_VALUE"""),2285)</f>
        <v>2285</v>
      </c>
      <c r="D85" s="9">
        <f ca="1">IFERROR(__xludf.DUMMYFUNCTION("""COMPUTED_VALUE"""),2603)</f>
        <v>2603</v>
      </c>
      <c r="E85" s="8">
        <f ca="1">IFERROR(__xludf.DUMMYFUNCTION("""COMPUTED_VALUE"""),41)</f>
        <v>41</v>
      </c>
      <c r="F85" s="9">
        <f ca="1">IFERROR(__xludf.DUMMYFUNCTION("""COMPUTED_VALUE"""),4688)</f>
        <v>4688</v>
      </c>
    </row>
    <row r="86" spans="1:6" ht="13" x14ac:dyDescent="0.15">
      <c r="A86" s="7">
        <f ca="1">IFERROR(__xludf.DUMMYFUNCTION("""COMPUTED_VALUE"""),45742)</f>
        <v>45742</v>
      </c>
      <c r="B86" s="8">
        <f ca="1">IFERROR(__xludf.DUMMYFUNCTION("""COMPUTED_VALUE"""),35785)</f>
        <v>35785</v>
      </c>
      <c r="C86" s="8">
        <f ca="1">IFERROR(__xludf.DUMMYFUNCTION("""COMPUTED_VALUE"""),691)</f>
        <v>691</v>
      </c>
      <c r="D86" s="9">
        <f ca="1">IFERROR(__xludf.DUMMYFUNCTION("""COMPUTED_VALUE"""),527)</f>
        <v>527</v>
      </c>
      <c r="E86" s="8">
        <f ca="1">IFERROR(__xludf.DUMMYFUNCTION("""COMPUTED_VALUE"""),15)</f>
        <v>15</v>
      </c>
      <c r="F86" s="9">
        <f ca="1">IFERROR(__xludf.DUMMYFUNCTION("""COMPUTED_VALUE"""),1920)</f>
        <v>1920</v>
      </c>
    </row>
    <row r="87" spans="1:6" ht="13" x14ac:dyDescent="0.15">
      <c r="A87" s="7">
        <f ca="1">IFERROR(__xludf.DUMMYFUNCTION("""COMPUTED_VALUE"""),45743)</f>
        <v>45743</v>
      </c>
      <c r="B87" s="8">
        <f ca="1">IFERROR(__xludf.DUMMYFUNCTION("""COMPUTED_VALUE"""),91829)</f>
        <v>91829</v>
      </c>
      <c r="C87" s="8">
        <f ca="1">IFERROR(__xludf.DUMMYFUNCTION("""COMPUTED_VALUE"""),1356)</f>
        <v>1356</v>
      </c>
      <c r="D87" s="9">
        <f ca="1">IFERROR(__xludf.DUMMYFUNCTION("""COMPUTED_VALUE"""),1034)</f>
        <v>1034</v>
      </c>
      <c r="E87" s="8">
        <f ca="1">IFERROR(__xludf.DUMMYFUNCTION("""COMPUTED_VALUE"""),26)</f>
        <v>26</v>
      </c>
      <c r="F87" s="9">
        <f ca="1">IFERROR(__xludf.DUMMYFUNCTION("""COMPUTED_VALUE"""),3449)</f>
        <v>3449</v>
      </c>
    </row>
    <row r="88" spans="1:6" ht="13" x14ac:dyDescent="0.15">
      <c r="A88" s="7">
        <f ca="1">IFERROR(__xludf.DUMMYFUNCTION("""COMPUTED_VALUE"""),45744)</f>
        <v>45744</v>
      </c>
      <c r="B88" s="8">
        <f ca="1">IFERROR(__xludf.DUMMYFUNCTION("""COMPUTED_VALUE"""),25201)</f>
        <v>25201</v>
      </c>
      <c r="C88" s="8">
        <f ca="1">IFERROR(__xludf.DUMMYFUNCTION("""COMPUTED_VALUE"""),403)</f>
        <v>403</v>
      </c>
      <c r="D88" s="9">
        <f ca="1">IFERROR(__xludf.DUMMYFUNCTION("""COMPUTED_VALUE"""),331)</f>
        <v>331</v>
      </c>
      <c r="E88" s="8">
        <f ca="1">IFERROR(__xludf.DUMMYFUNCTION("""COMPUTED_VALUE"""),6)</f>
        <v>6</v>
      </c>
      <c r="F88" s="9">
        <f ca="1">IFERROR(__xludf.DUMMYFUNCTION("""COMPUTED_VALUE"""),1213)</f>
        <v>1213</v>
      </c>
    </row>
    <row r="89" spans="1:6" ht="13" x14ac:dyDescent="0.15">
      <c r="A89" s="7">
        <f ca="1">IFERROR(__xludf.DUMMYFUNCTION("""COMPUTED_VALUE"""),45745)</f>
        <v>45745</v>
      </c>
      <c r="B89" s="8">
        <f ca="1">IFERROR(__xludf.DUMMYFUNCTION("""COMPUTED_VALUE"""),83832)</f>
        <v>83832</v>
      </c>
      <c r="C89" s="8">
        <f ca="1">IFERROR(__xludf.DUMMYFUNCTION("""COMPUTED_VALUE"""),2838)</f>
        <v>2838</v>
      </c>
      <c r="D89" s="9">
        <f ca="1">IFERROR(__xludf.DUMMYFUNCTION("""COMPUTED_VALUE"""),3230)</f>
        <v>3230</v>
      </c>
      <c r="E89" s="8">
        <f ca="1">IFERROR(__xludf.DUMMYFUNCTION("""COMPUTED_VALUE"""),42)</f>
        <v>42</v>
      </c>
      <c r="F89" s="9">
        <f ca="1">IFERROR(__xludf.DUMMYFUNCTION("""COMPUTED_VALUE"""),7423)</f>
        <v>7423</v>
      </c>
    </row>
    <row r="90" spans="1:6" ht="13" x14ac:dyDescent="0.15">
      <c r="A90" s="7">
        <f ca="1">IFERROR(__xludf.DUMMYFUNCTION("""COMPUTED_VALUE"""),45746)</f>
        <v>45746</v>
      </c>
      <c r="B90" s="8">
        <f ca="1">IFERROR(__xludf.DUMMYFUNCTION("""COMPUTED_VALUE"""),65661)</f>
        <v>65661</v>
      </c>
      <c r="C90" s="8">
        <f ca="1">IFERROR(__xludf.DUMMYFUNCTION("""COMPUTED_VALUE"""),969)</f>
        <v>969</v>
      </c>
      <c r="D90" s="9">
        <f ca="1">IFERROR(__xludf.DUMMYFUNCTION("""COMPUTED_VALUE"""),720)</f>
        <v>720</v>
      </c>
      <c r="E90" s="8">
        <f ca="1">IFERROR(__xludf.DUMMYFUNCTION("""COMPUTED_VALUE"""),15)</f>
        <v>15</v>
      </c>
      <c r="F90" s="9">
        <f ca="1">IFERROR(__xludf.DUMMYFUNCTION("""COMPUTED_VALUE"""),1723)</f>
        <v>1723</v>
      </c>
    </row>
    <row r="91" spans="1:6" ht="13" x14ac:dyDescent="0.15">
      <c r="A91" s="7">
        <f ca="1">IFERROR(__xludf.DUMMYFUNCTION("""COMPUTED_VALUE"""),45747)</f>
        <v>45747</v>
      </c>
      <c r="B91" s="8">
        <f ca="1">IFERROR(__xludf.DUMMYFUNCTION("""COMPUTED_VALUE"""),60497)</f>
        <v>60497</v>
      </c>
      <c r="C91" s="8">
        <f ca="1">IFERROR(__xludf.DUMMYFUNCTION("""COMPUTED_VALUE"""),835)</f>
        <v>835</v>
      </c>
      <c r="D91" s="9">
        <f ca="1">IFERROR(__xludf.DUMMYFUNCTION("""COMPUTED_VALUE"""),735)</f>
        <v>735</v>
      </c>
      <c r="E91" s="8">
        <f ca="1">IFERROR(__xludf.DUMMYFUNCTION("""COMPUTED_VALUE"""),18)</f>
        <v>18</v>
      </c>
      <c r="F91" s="9">
        <f ca="1">IFERROR(__xludf.DUMMYFUNCTION("""COMPUTED_VALUE"""),2162)</f>
        <v>2162</v>
      </c>
    </row>
    <row r="92" spans="1:6" ht="13" x14ac:dyDescent="0.15">
      <c r="A92" s="7">
        <f ca="1">IFERROR(__xludf.DUMMYFUNCTION("""COMPUTED_VALUE"""),45748)</f>
        <v>45748</v>
      </c>
      <c r="B92" s="8">
        <f ca="1">IFERROR(__xludf.DUMMYFUNCTION("""COMPUTED_VALUE"""),75083)</f>
        <v>75083</v>
      </c>
      <c r="C92" s="8">
        <f ca="1">IFERROR(__xludf.DUMMYFUNCTION("""COMPUTED_VALUE"""),1549)</f>
        <v>1549</v>
      </c>
      <c r="D92" s="9">
        <f ca="1">IFERROR(__xludf.DUMMYFUNCTION("""COMPUTED_VALUE"""),1350)</f>
        <v>1350</v>
      </c>
      <c r="E92" s="8">
        <f ca="1">IFERROR(__xludf.DUMMYFUNCTION("""COMPUTED_VALUE"""),29)</f>
        <v>29</v>
      </c>
      <c r="F92" s="9">
        <f ca="1">IFERROR(__xludf.DUMMYFUNCTION("""COMPUTED_VALUE"""),3323)</f>
        <v>3323</v>
      </c>
    </row>
    <row r="93" spans="1:6" ht="13" x14ac:dyDescent="0.15">
      <c r="A93" s="7">
        <f ca="1">IFERROR(__xludf.DUMMYFUNCTION("""COMPUTED_VALUE"""),45749)</f>
        <v>45749</v>
      </c>
      <c r="B93" s="8">
        <f ca="1">IFERROR(__xludf.DUMMYFUNCTION("""COMPUTED_VALUE"""),106776)</f>
        <v>106776</v>
      </c>
      <c r="C93" s="8">
        <f ca="1">IFERROR(__xludf.DUMMYFUNCTION("""COMPUTED_VALUE"""),2376)</f>
        <v>2376</v>
      </c>
      <c r="D93" s="9">
        <f ca="1">IFERROR(__xludf.DUMMYFUNCTION("""COMPUTED_VALUE"""),2466)</f>
        <v>2466</v>
      </c>
      <c r="E93" s="8">
        <f ca="1">IFERROR(__xludf.DUMMYFUNCTION("""COMPUTED_VALUE"""),51)</f>
        <v>51</v>
      </c>
      <c r="F93" s="9">
        <f ca="1">IFERROR(__xludf.DUMMYFUNCTION("""COMPUTED_VALUE"""),6117)</f>
        <v>6117</v>
      </c>
    </row>
    <row r="94" spans="1:6" ht="13" x14ac:dyDescent="0.15">
      <c r="A94" s="7">
        <f ca="1">IFERROR(__xludf.DUMMYFUNCTION("""COMPUTED_VALUE"""),45750)</f>
        <v>45750</v>
      </c>
      <c r="B94" s="8">
        <f ca="1">IFERROR(__xludf.DUMMYFUNCTION("""COMPUTED_VALUE"""),38478)</f>
        <v>38478</v>
      </c>
      <c r="C94" s="8">
        <f ca="1">IFERROR(__xludf.DUMMYFUNCTION("""COMPUTED_VALUE"""),394)</f>
        <v>394</v>
      </c>
      <c r="D94" s="9">
        <f ca="1">IFERROR(__xludf.DUMMYFUNCTION("""COMPUTED_VALUE"""),394)</f>
        <v>394</v>
      </c>
      <c r="E94" s="8">
        <f ca="1">IFERROR(__xludf.DUMMYFUNCTION("""COMPUTED_VALUE"""),7)</f>
        <v>7</v>
      </c>
      <c r="F94" s="9">
        <f ca="1">IFERROR(__xludf.DUMMYFUNCTION("""COMPUTED_VALUE"""),970)</f>
        <v>970</v>
      </c>
    </row>
    <row r="95" spans="1:6" ht="13" x14ac:dyDescent="0.15">
      <c r="A95" s="7">
        <f ca="1">IFERROR(__xludf.DUMMYFUNCTION("""COMPUTED_VALUE"""),45751)</f>
        <v>45751</v>
      </c>
      <c r="B95" s="8">
        <f ca="1">IFERROR(__xludf.DUMMYFUNCTION("""COMPUTED_VALUE"""),88425)</f>
        <v>88425</v>
      </c>
      <c r="C95" s="8">
        <f ca="1">IFERROR(__xludf.DUMMYFUNCTION("""COMPUTED_VALUE"""),2853)</f>
        <v>2853</v>
      </c>
      <c r="D95" s="9">
        <f ca="1">IFERROR(__xludf.DUMMYFUNCTION("""COMPUTED_VALUE"""),2412)</f>
        <v>2412</v>
      </c>
      <c r="E95" s="8">
        <f ca="1">IFERROR(__xludf.DUMMYFUNCTION("""COMPUTED_VALUE"""),59)</f>
        <v>59</v>
      </c>
      <c r="F95" s="9">
        <f ca="1">IFERROR(__xludf.DUMMYFUNCTION("""COMPUTED_VALUE"""),8104)</f>
        <v>8104</v>
      </c>
    </row>
    <row r="96" spans="1:6" ht="13" x14ac:dyDescent="0.15">
      <c r="A96" s="7">
        <f ca="1">IFERROR(__xludf.DUMMYFUNCTION("""COMPUTED_VALUE"""),45752)</f>
        <v>45752</v>
      </c>
      <c r="B96" s="8">
        <f ca="1">IFERROR(__xludf.DUMMYFUNCTION("""COMPUTED_VALUE"""),29606)</f>
        <v>29606</v>
      </c>
      <c r="C96" s="8">
        <f ca="1">IFERROR(__xludf.DUMMYFUNCTION("""COMPUTED_VALUE"""),602)</f>
        <v>602</v>
      </c>
      <c r="D96" s="9">
        <f ca="1">IFERROR(__xludf.DUMMYFUNCTION("""COMPUTED_VALUE"""),564)</f>
        <v>564</v>
      </c>
      <c r="E96" s="8">
        <f ca="1">IFERROR(__xludf.DUMMYFUNCTION("""COMPUTED_VALUE"""),8)</f>
        <v>8</v>
      </c>
      <c r="F96" s="9">
        <f ca="1">IFERROR(__xludf.DUMMYFUNCTION("""COMPUTED_VALUE"""),942)</f>
        <v>942</v>
      </c>
    </row>
    <row r="97" spans="1:6" ht="13" x14ac:dyDescent="0.15">
      <c r="A97" s="7">
        <f ca="1">IFERROR(__xludf.DUMMYFUNCTION("""COMPUTED_VALUE"""),45753)</f>
        <v>45753</v>
      </c>
      <c r="B97" s="8">
        <f ca="1">IFERROR(__xludf.DUMMYFUNCTION("""COMPUTED_VALUE"""),110299)</f>
        <v>110299</v>
      </c>
      <c r="C97" s="8">
        <f ca="1">IFERROR(__xludf.DUMMYFUNCTION("""COMPUTED_VALUE"""),2037)</f>
        <v>2037</v>
      </c>
      <c r="D97" s="9">
        <f ca="1">IFERROR(__xludf.DUMMYFUNCTION("""COMPUTED_VALUE"""),2356)</f>
        <v>2356</v>
      </c>
      <c r="E97" s="8">
        <f ca="1">IFERROR(__xludf.DUMMYFUNCTION("""COMPUTED_VALUE"""),37)</f>
        <v>37</v>
      </c>
      <c r="F97" s="9">
        <f ca="1">IFERROR(__xludf.DUMMYFUNCTION("""COMPUTED_VALUE"""),6077)</f>
        <v>6077</v>
      </c>
    </row>
    <row r="98" spans="1:6" ht="13" x14ac:dyDescent="0.15">
      <c r="A98" s="7">
        <f ca="1">IFERROR(__xludf.DUMMYFUNCTION("""COMPUTED_VALUE"""),45754)</f>
        <v>45754</v>
      </c>
      <c r="B98" s="8">
        <f ca="1">IFERROR(__xludf.DUMMYFUNCTION("""COMPUTED_VALUE"""),95139)</f>
        <v>95139</v>
      </c>
      <c r="C98" s="8">
        <f ca="1">IFERROR(__xludf.DUMMYFUNCTION("""COMPUTED_VALUE"""),2806)</f>
        <v>2806</v>
      </c>
      <c r="D98" s="9">
        <f ca="1">IFERROR(__xludf.DUMMYFUNCTION("""COMPUTED_VALUE"""),3061)</f>
        <v>3061</v>
      </c>
      <c r="E98" s="8">
        <f ca="1">IFERROR(__xludf.DUMMYFUNCTION("""COMPUTED_VALUE"""),51)</f>
        <v>51</v>
      </c>
      <c r="F98" s="9">
        <f ca="1">IFERROR(__xludf.DUMMYFUNCTION("""COMPUTED_VALUE"""),7430)</f>
        <v>7430</v>
      </c>
    </row>
    <row r="99" spans="1:6" ht="13" x14ac:dyDescent="0.15">
      <c r="A99" s="7">
        <f ca="1">IFERROR(__xludf.DUMMYFUNCTION("""COMPUTED_VALUE"""),45755)</f>
        <v>45755</v>
      </c>
      <c r="B99" s="8">
        <f ca="1">IFERROR(__xludf.DUMMYFUNCTION("""COMPUTED_VALUE"""),102095)</f>
        <v>102095</v>
      </c>
      <c r="C99" s="8">
        <f ca="1">IFERROR(__xludf.DUMMYFUNCTION("""COMPUTED_VALUE"""),2350)</f>
        <v>2350</v>
      </c>
      <c r="D99" s="9">
        <f ca="1">IFERROR(__xludf.DUMMYFUNCTION("""COMPUTED_VALUE"""),2904)</f>
        <v>2904</v>
      </c>
      <c r="E99" s="8">
        <f ca="1">IFERROR(__xludf.DUMMYFUNCTION("""COMPUTED_VALUE"""),37)</f>
        <v>37</v>
      </c>
      <c r="F99" s="9">
        <f ca="1">IFERROR(__xludf.DUMMYFUNCTION("""COMPUTED_VALUE"""),6922)</f>
        <v>6922</v>
      </c>
    </row>
    <row r="100" spans="1:6" ht="13" x14ac:dyDescent="0.15">
      <c r="A100" s="7">
        <f ca="1">IFERROR(__xludf.DUMMYFUNCTION("""COMPUTED_VALUE"""),45756)</f>
        <v>45756</v>
      </c>
      <c r="B100" s="8">
        <f ca="1">IFERROR(__xludf.DUMMYFUNCTION("""COMPUTED_VALUE"""),66319)</f>
        <v>66319</v>
      </c>
      <c r="C100" s="8">
        <f ca="1">IFERROR(__xludf.DUMMYFUNCTION("""COMPUTED_VALUE"""),788)</f>
        <v>788</v>
      </c>
      <c r="D100" s="9">
        <f ca="1">IFERROR(__xludf.DUMMYFUNCTION("""COMPUTED_VALUE"""),679)</f>
        <v>679</v>
      </c>
      <c r="E100" s="8">
        <f ca="1">IFERROR(__xludf.DUMMYFUNCTION("""COMPUTED_VALUE"""),15)</f>
        <v>15</v>
      </c>
      <c r="F100" s="9">
        <f ca="1">IFERROR(__xludf.DUMMYFUNCTION("""COMPUTED_VALUE"""),1737)</f>
        <v>1737</v>
      </c>
    </row>
    <row r="101" spans="1:6" ht="13" x14ac:dyDescent="0.15">
      <c r="A101" s="7">
        <f ca="1">IFERROR(__xludf.DUMMYFUNCTION("""COMPUTED_VALUE"""),45757)</f>
        <v>45757</v>
      </c>
      <c r="B101" s="8">
        <f ca="1">IFERROR(__xludf.DUMMYFUNCTION("""COMPUTED_VALUE"""),64829)</f>
        <v>64829</v>
      </c>
      <c r="C101" s="8">
        <f ca="1">IFERROR(__xludf.DUMMYFUNCTION("""COMPUTED_VALUE"""),1139)</f>
        <v>1139</v>
      </c>
      <c r="D101" s="9">
        <f ca="1">IFERROR(__xludf.DUMMYFUNCTION("""COMPUTED_VALUE"""),962)</f>
        <v>962</v>
      </c>
      <c r="E101" s="8">
        <f ca="1">IFERROR(__xludf.DUMMYFUNCTION("""COMPUTED_VALUE"""),15)</f>
        <v>15</v>
      </c>
      <c r="F101" s="9">
        <f ca="1">IFERROR(__xludf.DUMMYFUNCTION("""COMPUTED_VALUE"""),2077)</f>
        <v>2077</v>
      </c>
    </row>
    <row r="102" spans="1:6" ht="13" x14ac:dyDescent="0.15">
      <c r="A102" s="7">
        <f ca="1">IFERROR(__xludf.DUMMYFUNCTION("""COMPUTED_VALUE"""),45758)</f>
        <v>45758</v>
      </c>
      <c r="B102" s="8">
        <f ca="1">IFERROR(__xludf.DUMMYFUNCTION("""COMPUTED_VALUE"""),77950)</f>
        <v>77950</v>
      </c>
      <c r="C102" s="8">
        <f ca="1">IFERROR(__xludf.DUMMYFUNCTION("""COMPUTED_VALUE"""),2622)</f>
        <v>2622</v>
      </c>
      <c r="D102" s="9">
        <f ca="1">IFERROR(__xludf.DUMMYFUNCTION("""COMPUTED_VALUE"""),2303)</f>
        <v>2303</v>
      </c>
      <c r="E102" s="8">
        <f ca="1">IFERROR(__xludf.DUMMYFUNCTION("""COMPUTED_VALUE"""),44)</f>
        <v>44</v>
      </c>
      <c r="F102" s="9">
        <f ca="1">IFERROR(__xludf.DUMMYFUNCTION("""COMPUTED_VALUE"""),8218)</f>
        <v>8218</v>
      </c>
    </row>
    <row r="103" spans="1:6" ht="13" x14ac:dyDescent="0.15">
      <c r="A103" s="7">
        <f ca="1">IFERROR(__xludf.DUMMYFUNCTION("""COMPUTED_VALUE"""),45759)</f>
        <v>45759</v>
      </c>
      <c r="B103" s="8">
        <f ca="1">IFERROR(__xludf.DUMMYFUNCTION("""COMPUTED_VALUE"""),109882)</f>
        <v>109882</v>
      </c>
      <c r="C103" s="8">
        <f ca="1">IFERROR(__xludf.DUMMYFUNCTION("""COMPUTED_VALUE"""),2216)</f>
        <v>2216</v>
      </c>
      <c r="D103" s="9">
        <f ca="1">IFERROR(__xludf.DUMMYFUNCTION("""COMPUTED_VALUE"""),1513)</f>
        <v>1513</v>
      </c>
      <c r="E103" s="8">
        <f ca="1">IFERROR(__xludf.DUMMYFUNCTION("""COMPUTED_VALUE"""),25)</f>
        <v>25</v>
      </c>
      <c r="F103" s="9">
        <f ca="1">IFERROR(__xludf.DUMMYFUNCTION("""COMPUTED_VALUE"""),2999)</f>
        <v>2999</v>
      </c>
    </row>
    <row r="104" spans="1:6" ht="13" x14ac:dyDescent="0.15">
      <c r="A104" s="7">
        <f ca="1">IFERROR(__xludf.DUMMYFUNCTION("""COMPUTED_VALUE"""),45760)</f>
        <v>45760</v>
      </c>
      <c r="B104" s="8">
        <f ca="1">IFERROR(__xludf.DUMMYFUNCTION("""COMPUTED_VALUE"""),30168)</f>
        <v>30168</v>
      </c>
      <c r="C104" s="8">
        <f ca="1">IFERROR(__xludf.DUMMYFUNCTION("""COMPUTED_VALUE"""),534)</f>
        <v>534</v>
      </c>
      <c r="D104" s="9">
        <f ca="1">IFERROR(__xludf.DUMMYFUNCTION("""COMPUTED_VALUE"""),575)</f>
        <v>575</v>
      </c>
      <c r="E104" s="8">
        <f ca="1">IFERROR(__xludf.DUMMYFUNCTION("""COMPUTED_VALUE"""),7)</f>
        <v>7</v>
      </c>
      <c r="F104" s="9">
        <f ca="1">IFERROR(__xludf.DUMMYFUNCTION("""COMPUTED_VALUE"""),1149)</f>
        <v>1149</v>
      </c>
    </row>
    <row r="105" spans="1:6" ht="13" x14ac:dyDescent="0.15">
      <c r="A105" s="7">
        <f ca="1">IFERROR(__xludf.DUMMYFUNCTION("""COMPUTED_VALUE"""),45761)</f>
        <v>45761</v>
      </c>
      <c r="B105" s="8">
        <f ca="1">IFERROR(__xludf.DUMMYFUNCTION("""COMPUTED_VALUE"""),87700)</f>
        <v>87700</v>
      </c>
      <c r="C105" s="8">
        <f ca="1">IFERROR(__xludf.DUMMYFUNCTION("""COMPUTED_VALUE"""),1213)</f>
        <v>1213</v>
      </c>
      <c r="D105" s="9">
        <f ca="1">IFERROR(__xludf.DUMMYFUNCTION("""COMPUTED_VALUE"""),1132)</f>
        <v>1132</v>
      </c>
      <c r="E105" s="8">
        <f ca="1">IFERROR(__xludf.DUMMYFUNCTION("""COMPUTED_VALUE"""),27)</f>
        <v>27</v>
      </c>
      <c r="F105" s="9">
        <f ca="1">IFERROR(__xludf.DUMMYFUNCTION("""COMPUTED_VALUE"""),4369)</f>
        <v>4369</v>
      </c>
    </row>
    <row r="106" spans="1:6" ht="13" x14ac:dyDescent="0.15">
      <c r="A106" s="7">
        <f ca="1">IFERROR(__xludf.DUMMYFUNCTION("""COMPUTED_VALUE"""),45762)</f>
        <v>45762</v>
      </c>
      <c r="B106" s="8">
        <f ca="1">IFERROR(__xludf.DUMMYFUNCTION("""COMPUTED_VALUE"""),97251)</f>
        <v>97251</v>
      </c>
      <c r="C106" s="8">
        <f ca="1">IFERROR(__xludf.DUMMYFUNCTION("""COMPUTED_VALUE"""),2596)</f>
        <v>2596</v>
      </c>
      <c r="D106" s="9">
        <f ca="1">IFERROR(__xludf.DUMMYFUNCTION("""COMPUTED_VALUE"""),3362)</f>
        <v>3362</v>
      </c>
      <c r="E106" s="8">
        <f ca="1">IFERROR(__xludf.DUMMYFUNCTION("""COMPUTED_VALUE"""),41)</f>
        <v>41</v>
      </c>
      <c r="F106" s="9">
        <f ca="1">IFERROR(__xludf.DUMMYFUNCTION("""COMPUTED_VALUE"""),8217)</f>
        <v>8217</v>
      </c>
    </row>
    <row r="107" spans="1:6" ht="13" x14ac:dyDescent="0.15">
      <c r="A107" s="7">
        <f ca="1">IFERROR(__xludf.DUMMYFUNCTION("""COMPUTED_VALUE"""),45763)</f>
        <v>45763</v>
      </c>
      <c r="B107" s="8">
        <f ca="1">IFERROR(__xludf.DUMMYFUNCTION("""COMPUTED_VALUE"""),34338)</f>
        <v>34338</v>
      </c>
      <c r="C107" s="8">
        <f ca="1">IFERROR(__xludf.DUMMYFUNCTION("""COMPUTED_VALUE"""),468)</f>
        <v>468</v>
      </c>
      <c r="D107" s="9">
        <f ca="1">IFERROR(__xludf.DUMMYFUNCTION("""COMPUTED_VALUE"""),292)</f>
        <v>292</v>
      </c>
      <c r="E107" s="8">
        <f ca="1">IFERROR(__xludf.DUMMYFUNCTION("""COMPUTED_VALUE"""),10)</f>
        <v>10</v>
      </c>
      <c r="F107" s="9">
        <f ca="1">IFERROR(__xludf.DUMMYFUNCTION("""COMPUTED_VALUE"""),1686)</f>
        <v>1686</v>
      </c>
    </row>
    <row r="108" spans="1:6" ht="13" x14ac:dyDescent="0.15">
      <c r="A108" s="7">
        <f ca="1">IFERROR(__xludf.DUMMYFUNCTION("""COMPUTED_VALUE"""),45764)</f>
        <v>45764</v>
      </c>
      <c r="B108" s="8">
        <f ca="1">IFERROR(__xludf.DUMMYFUNCTION("""COMPUTED_VALUE"""),97838)</f>
        <v>97838</v>
      </c>
      <c r="C108" s="8">
        <f ca="1">IFERROR(__xludf.DUMMYFUNCTION("""COMPUTED_VALUE"""),1187)</f>
        <v>1187</v>
      </c>
      <c r="D108" s="9">
        <f ca="1">IFERROR(__xludf.DUMMYFUNCTION("""COMPUTED_VALUE"""),1620)</f>
        <v>1620</v>
      </c>
      <c r="E108" s="8">
        <f ca="1">IFERROR(__xludf.DUMMYFUNCTION("""COMPUTED_VALUE"""),26)</f>
        <v>26</v>
      </c>
      <c r="F108" s="9">
        <f ca="1">IFERROR(__xludf.DUMMYFUNCTION("""COMPUTED_VALUE"""),4553)</f>
        <v>4553</v>
      </c>
    </row>
    <row r="109" spans="1:6" ht="13" x14ac:dyDescent="0.15">
      <c r="A109" s="7">
        <f ca="1">IFERROR(__xludf.DUMMYFUNCTION("""COMPUTED_VALUE"""),45765)</f>
        <v>45765</v>
      </c>
      <c r="B109" s="8">
        <f ca="1">IFERROR(__xludf.DUMMYFUNCTION("""COMPUTED_VALUE"""),111480)</f>
        <v>111480</v>
      </c>
      <c r="C109" s="8">
        <f ca="1">IFERROR(__xludf.DUMMYFUNCTION("""COMPUTED_VALUE"""),2388)</f>
        <v>2388</v>
      </c>
      <c r="D109" s="9">
        <f ca="1">IFERROR(__xludf.DUMMYFUNCTION("""COMPUTED_VALUE"""),1933)</f>
        <v>1933</v>
      </c>
      <c r="E109" s="8">
        <f ca="1">IFERROR(__xludf.DUMMYFUNCTION("""COMPUTED_VALUE"""),54)</f>
        <v>54</v>
      </c>
      <c r="F109" s="9">
        <f ca="1">IFERROR(__xludf.DUMMYFUNCTION("""COMPUTED_VALUE"""),7744)</f>
        <v>7744</v>
      </c>
    </row>
    <row r="110" spans="1:6" ht="13" x14ac:dyDescent="0.15">
      <c r="A110" s="7">
        <f ca="1">IFERROR(__xludf.DUMMYFUNCTION("""COMPUTED_VALUE"""),45766)</f>
        <v>45766</v>
      </c>
      <c r="B110" s="8">
        <f ca="1">IFERROR(__xludf.DUMMYFUNCTION("""COMPUTED_VALUE"""),31279)</f>
        <v>31279</v>
      </c>
      <c r="C110" s="8">
        <f ca="1">IFERROR(__xludf.DUMMYFUNCTION("""COMPUTED_VALUE"""),504)</f>
        <v>504</v>
      </c>
      <c r="D110" s="9">
        <f ca="1">IFERROR(__xludf.DUMMYFUNCTION("""COMPUTED_VALUE"""),595)</f>
        <v>595</v>
      </c>
      <c r="E110" s="8">
        <f ca="1">IFERROR(__xludf.DUMMYFUNCTION("""COMPUTED_VALUE"""),5)</f>
        <v>5</v>
      </c>
      <c r="F110" s="9">
        <f ca="1">IFERROR(__xludf.DUMMYFUNCTION("""COMPUTED_VALUE"""),832)</f>
        <v>832</v>
      </c>
    </row>
    <row r="111" spans="1:6" ht="13" x14ac:dyDescent="0.15">
      <c r="A111" s="7">
        <f ca="1">IFERROR(__xludf.DUMMYFUNCTION("""COMPUTED_VALUE"""),45767)</f>
        <v>45767</v>
      </c>
      <c r="B111" s="8">
        <f ca="1">IFERROR(__xludf.DUMMYFUNCTION("""COMPUTED_VALUE"""),50596)</f>
        <v>50596</v>
      </c>
      <c r="C111" s="8">
        <f ca="1">IFERROR(__xludf.DUMMYFUNCTION("""COMPUTED_VALUE"""),903)</f>
        <v>903</v>
      </c>
      <c r="D111" s="9">
        <f ca="1">IFERROR(__xludf.DUMMYFUNCTION("""COMPUTED_VALUE"""),927)</f>
        <v>927</v>
      </c>
      <c r="E111" s="8">
        <f ca="1">IFERROR(__xludf.DUMMYFUNCTION("""COMPUTED_VALUE"""),21)</f>
        <v>21</v>
      </c>
      <c r="F111" s="9">
        <f ca="1">IFERROR(__xludf.DUMMYFUNCTION("""COMPUTED_VALUE"""),3780)</f>
        <v>3780</v>
      </c>
    </row>
    <row r="112" spans="1:6" ht="13" x14ac:dyDescent="0.15">
      <c r="A112" s="7">
        <f ca="1">IFERROR(__xludf.DUMMYFUNCTION("""COMPUTED_VALUE"""),45768)</f>
        <v>45768</v>
      </c>
      <c r="B112" s="8">
        <f ca="1">IFERROR(__xludf.DUMMYFUNCTION("""COMPUTED_VALUE"""),100697)</f>
        <v>100697</v>
      </c>
      <c r="C112" s="8">
        <f ca="1">IFERROR(__xludf.DUMMYFUNCTION("""COMPUTED_VALUE"""),2694)</f>
        <v>2694</v>
      </c>
      <c r="D112" s="9">
        <f ca="1">IFERROR(__xludf.DUMMYFUNCTION("""COMPUTED_VALUE"""),2923)</f>
        <v>2923</v>
      </c>
      <c r="E112" s="8">
        <f ca="1">IFERROR(__xludf.DUMMYFUNCTION("""COMPUTED_VALUE"""),69)</f>
        <v>69</v>
      </c>
      <c r="F112" s="9">
        <f ca="1">IFERROR(__xludf.DUMMYFUNCTION("""COMPUTED_VALUE"""),11284)</f>
        <v>11284</v>
      </c>
    </row>
    <row r="113" spans="1:6" ht="13" x14ac:dyDescent="0.15">
      <c r="A113" s="7">
        <f ca="1">IFERROR(__xludf.DUMMYFUNCTION("""COMPUTED_VALUE"""),45769)</f>
        <v>45769</v>
      </c>
      <c r="B113" s="8">
        <f ca="1">IFERROR(__xludf.DUMMYFUNCTION("""COMPUTED_VALUE"""),102536)</f>
        <v>102536</v>
      </c>
      <c r="C113" s="8">
        <f ca="1">IFERROR(__xludf.DUMMYFUNCTION("""COMPUTED_VALUE"""),2354)</f>
        <v>2354</v>
      </c>
      <c r="D113" s="9">
        <f ca="1">IFERROR(__xludf.DUMMYFUNCTION("""COMPUTED_VALUE"""),2801)</f>
        <v>2801</v>
      </c>
      <c r="E113" s="8">
        <f ca="1">IFERROR(__xludf.DUMMYFUNCTION("""COMPUTED_VALUE"""),36)</f>
        <v>36</v>
      </c>
      <c r="F113" s="9">
        <f ca="1">IFERROR(__xludf.DUMMYFUNCTION("""COMPUTED_VALUE"""),5763)</f>
        <v>5763</v>
      </c>
    </row>
    <row r="114" spans="1:6" ht="13" x14ac:dyDescent="0.15">
      <c r="A114" s="7">
        <f ca="1">IFERROR(__xludf.DUMMYFUNCTION("""COMPUTED_VALUE"""),45770)</f>
        <v>45770</v>
      </c>
      <c r="B114" s="8">
        <f ca="1">IFERROR(__xludf.DUMMYFUNCTION("""COMPUTED_VALUE"""),89706)</f>
        <v>89706</v>
      </c>
      <c r="C114" s="8">
        <f ca="1">IFERROR(__xludf.DUMMYFUNCTION("""COMPUTED_VALUE"""),2802)</f>
        <v>2802</v>
      </c>
      <c r="D114" s="9">
        <f ca="1">IFERROR(__xludf.DUMMYFUNCTION("""COMPUTED_VALUE"""),1535)</f>
        <v>1535</v>
      </c>
      <c r="E114" s="8">
        <f ca="1">IFERROR(__xludf.DUMMYFUNCTION("""COMPUTED_VALUE"""),52)</f>
        <v>52</v>
      </c>
      <c r="F114" s="9">
        <f ca="1">IFERROR(__xludf.DUMMYFUNCTION("""COMPUTED_VALUE"""),7724)</f>
        <v>7724</v>
      </c>
    </row>
    <row r="115" spans="1:6" ht="13" x14ac:dyDescent="0.15">
      <c r="A115" s="7">
        <f ca="1">IFERROR(__xludf.DUMMYFUNCTION("""COMPUTED_VALUE"""),45771)</f>
        <v>45771</v>
      </c>
      <c r="B115" s="8">
        <f ca="1">IFERROR(__xludf.DUMMYFUNCTION("""COMPUTED_VALUE"""),101868)</f>
        <v>101868</v>
      </c>
      <c r="C115" s="8">
        <f ca="1">IFERROR(__xludf.DUMMYFUNCTION("""COMPUTED_VALUE"""),1180)</f>
        <v>1180</v>
      </c>
      <c r="D115" s="9">
        <f ca="1">IFERROR(__xludf.DUMMYFUNCTION("""COMPUTED_VALUE"""),1727)</f>
        <v>1727</v>
      </c>
      <c r="E115" s="8">
        <f ca="1">IFERROR(__xludf.DUMMYFUNCTION("""COMPUTED_VALUE"""),29)</f>
        <v>29</v>
      </c>
      <c r="F115" s="9">
        <f ca="1">IFERROR(__xludf.DUMMYFUNCTION("""COMPUTED_VALUE"""),4524)</f>
        <v>4524</v>
      </c>
    </row>
    <row r="116" spans="1:6" ht="13" x14ac:dyDescent="0.15">
      <c r="A116" s="7">
        <f ca="1">IFERROR(__xludf.DUMMYFUNCTION("""COMPUTED_VALUE"""),45772)</f>
        <v>45772</v>
      </c>
      <c r="B116" s="8">
        <f ca="1">IFERROR(__xludf.DUMMYFUNCTION("""COMPUTED_VALUE"""),51639)</f>
        <v>51639</v>
      </c>
      <c r="C116" s="8">
        <f ca="1">IFERROR(__xludf.DUMMYFUNCTION("""COMPUTED_VALUE"""),1362)</f>
        <v>1362</v>
      </c>
      <c r="D116" s="9">
        <f ca="1">IFERROR(__xludf.DUMMYFUNCTION("""COMPUTED_VALUE"""),1642)</f>
        <v>1642</v>
      </c>
      <c r="E116" s="8">
        <f ca="1">IFERROR(__xludf.DUMMYFUNCTION("""COMPUTED_VALUE"""),28)</f>
        <v>28</v>
      </c>
      <c r="F116" s="9">
        <f ca="1">IFERROR(__xludf.DUMMYFUNCTION("""COMPUTED_VALUE"""),5669)</f>
        <v>5669</v>
      </c>
    </row>
    <row r="117" spans="1:6" ht="13" x14ac:dyDescent="0.15">
      <c r="A117" s="7">
        <f ca="1">IFERROR(__xludf.DUMMYFUNCTION("""COMPUTED_VALUE"""),45773)</f>
        <v>45773</v>
      </c>
      <c r="B117" s="8">
        <f ca="1">IFERROR(__xludf.DUMMYFUNCTION("""COMPUTED_VALUE"""),84816)</f>
        <v>84816</v>
      </c>
      <c r="C117" s="8">
        <f ca="1">IFERROR(__xludf.DUMMYFUNCTION("""COMPUTED_VALUE"""),1259)</f>
        <v>1259</v>
      </c>
      <c r="D117" s="9">
        <f ca="1">IFERROR(__xludf.DUMMYFUNCTION("""COMPUTED_VALUE"""),1403)</f>
        <v>1403</v>
      </c>
      <c r="E117" s="8">
        <f ca="1">IFERROR(__xludf.DUMMYFUNCTION("""COMPUTED_VALUE"""),27)</f>
        <v>27</v>
      </c>
      <c r="F117" s="9">
        <f ca="1">IFERROR(__xludf.DUMMYFUNCTION("""COMPUTED_VALUE"""),4630)</f>
        <v>4630</v>
      </c>
    </row>
    <row r="118" spans="1:6" ht="13" x14ac:dyDescent="0.15">
      <c r="A118" s="7">
        <f ca="1">IFERROR(__xludf.DUMMYFUNCTION("""COMPUTED_VALUE"""),45774)</f>
        <v>45774</v>
      </c>
      <c r="B118" s="8">
        <f ca="1">IFERROR(__xludf.DUMMYFUNCTION("""COMPUTED_VALUE"""),39447)</f>
        <v>39447</v>
      </c>
      <c r="C118" s="8">
        <f ca="1">IFERROR(__xludf.DUMMYFUNCTION("""COMPUTED_VALUE"""),656)</f>
        <v>656</v>
      </c>
      <c r="D118" s="9">
        <f ca="1">IFERROR(__xludf.DUMMYFUNCTION("""COMPUTED_VALUE"""),770)</f>
        <v>770</v>
      </c>
      <c r="E118" s="8">
        <f ca="1">IFERROR(__xludf.DUMMYFUNCTION("""COMPUTED_VALUE"""),11)</f>
        <v>11</v>
      </c>
      <c r="F118" s="9">
        <f ca="1">IFERROR(__xludf.DUMMYFUNCTION("""COMPUTED_VALUE"""),1508)</f>
        <v>1508</v>
      </c>
    </row>
    <row r="119" spans="1:6" ht="13" x14ac:dyDescent="0.15">
      <c r="A119" s="7">
        <f ca="1">IFERROR(__xludf.DUMMYFUNCTION("""COMPUTED_VALUE"""),45775)</f>
        <v>45775</v>
      </c>
      <c r="B119" s="8">
        <f ca="1">IFERROR(__xludf.DUMMYFUNCTION("""COMPUTED_VALUE"""),76707)</f>
        <v>76707</v>
      </c>
      <c r="C119" s="8">
        <f ca="1">IFERROR(__xludf.DUMMYFUNCTION("""COMPUTED_VALUE"""),879)</f>
        <v>879</v>
      </c>
      <c r="D119" s="9">
        <f ca="1">IFERROR(__xludf.DUMMYFUNCTION("""COMPUTED_VALUE"""),733)</f>
        <v>733</v>
      </c>
      <c r="E119" s="8">
        <f ca="1">IFERROR(__xludf.DUMMYFUNCTION("""COMPUTED_VALUE"""),17)</f>
        <v>17</v>
      </c>
      <c r="F119" s="9">
        <f ca="1">IFERROR(__xludf.DUMMYFUNCTION("""COMPUTED_VALUE"""),2954)</f>
        <v>2954</v>
      </c>
    </row>
    <row r="120" spans="1:6" ht="13" x14ac:dyDescent="0.15">
      <c r="A120" s="7">
        <f ca="1">IFERROR(__xludf.DUMMYFUNCTION("""COMPUTED_VALUE"""),45776)</f>
        <v>45776</v>
      </c>
      <c r="B120" s="8">
        <f ca="1">IFERROR(__xludf.DUMMYFUNCTION("""COMPUTED_VALUE"""),53101)</f>
        <v>53101</v>
      </c>
      <c r="C120" s="8">
        <f ca="1">IFERROR(__xludf.DUMMYFUNCTION("""COMPUTED_VALUE"""),993)</f>
        <v>993</v>
      </c>
      <c r="D120" s="9">
        <f ca="1">IFERROR(__xludf.DUMMYFUNCTION("""COMPUTED_VALUE"""),830)</f>
        <v>830</v>
      </c>
      <c r="E120" s="8">
        <f ca="1">IFERROR(__xludf.DUMMYFUNCTION("""COMPUTED_VALUE"""),19)</f>
        <v>19</v>
      </c>
      <c r="F120" s="9">
        <f ca="1">IFERROR(__xludf.DUMMYFUNCTION("""COMPUTED_VALUE"""),2771)</f>
        <v>2771</v>
      </c>
    </row>
    <row r="121" spans="1:6" ht="13" x14ac:dyDescent="0.15">
      <c r="A121" s="7">
        <f ca="1">IFERROR(__xludf.DUMMYFUNCTION("""COMPUTED_VALUE"""),45777)</f>
        <v>45777</v>
      </c>
      <c r="B121" s="8">
        <f ca="1">IFERROR(__xludf.DUMMYFUNCTION("""COMPUTED_VALUE"""),76471)</f>
        <v>76471</v>
      </c>
      <c r="C121" s="8">
        <f ca="1">IFERROR(__xludf.DUMMYFUNCTION("""COMPUTED_VALUE"""),1696)</f>
        <v>1696</v>
      </c>
      <c r="D121" s="9">
        <f ca="1">IFERROR(__xludf.DUMMYFUNCTION("""COMPUTED_VALUE"""),1769)</f>
        <v>1769</v>
      </c>
      <c r="E121" s="8">
        <f ca="1">IFERROR(__xludf.DUMMYFUNCTION("""COMPUTED_VALUE"""),30)</f>
        <v>30</v>
      </c>
      <c r="F121" s="9">
        <f ca="1">IFERROR(__xludf.DUMMYFUNCTION("""COMPUTED_VALUE"""),4114)</f>
        <v>4114</v>
      </c>
    </row>
    <row r="122" spans="1:6" ht="13" x14ac:dyDescent="0.15">
      <c r="A122" s="7">
        <f ca="1">IFERROR(__xludf.DUMMYFUNCTION("""COMPUTED_VALUE"""),45778)</f>
        <v>45778</v>
      </c>
      <c r="B122" s="8">
        <f ca="1">IFERROR(__xludf.DUMMYFUNCTION("""COMPUTED_VALUE"""),24448)</f>
        <v>24448</v>
      </c>
      <c r="C122" s="8">
        <f ca="1">IFERROR(__xludf.DUMMYFUNCTION("""COMPUTED_VALUE"""),256)</f>
        <v>256</v>
      </c>
      <c r="D122" s="9">
        <f ca="1">IFERROR(__xludf.DUMMYFUNCTION("""COMPUTED_VALUE"""),238)</f>
        <v>238</v>
      </c>
      <c r="E122" s="8">
        <f ca="1">IFERROR(__xludf.DUMMYFUNCTION("""COMPUTED_VALUE"""),5)</f>
        <v>5</v>
      </c>
      <c r="F122" s="9">
        <f ca="1">IFERROR(__xludf.DUMMYFUNCTION("""COMPUTED_VALUE"""),766)</f>
        <v>766</v>
      </c>
    </row>
    <row r="123" spans="1:6" ht="13" x14ac:dyDescent="0.15">
      <c r="A123" s="7">
        <f ca="1">IFERROR(__xludf.DUMMYFUNCTION("""COMPUTED_VALUE"""),45779)</f>
        <v>45779</v>
      </c>
      <c r="B123" s="8">
        <f ca="1">IFERROR(__xludf.DUMMYFUNCTION("""COMPUTED_VALUE"""),107312)</f>
        <v>107312</v>
      </c>
      <c r="C123" s="8">
        <f ca="1">IFERROR(__xludf.DUMMYFUNCTION("""COMPUTED_VALUE"""),1699)</f>
        <v>1699</v>
      </c>
      <c r="D123" s="9">
        <f ca="1">IFERROR(__xludf.DUMMYFUNCTION("""COMPUTED_VALUE"""),1489)</f>
        <v>1489</v>
      </c>
      <c r="E123" s="8">
        <f ca="1">IFERROR(__xludf.DUMMYFUNCTION("""COMPUTED_VALUE"""),31)</f>
        <v>31</v>
      </c>
      <c r="F123" s="9">
        <f ca="1">IFERROR(__xludf.DUMMYFUNCTION("""COMPUTED_VALUE"""),3449)</f>
        <v>3449</v>
      </c>
    </row>
    <row r="124" spans="1:6" ht="13" x14ac:dyDescent="0.15">
      <c r="A124" s="7">
        <f ca="1">IFERROR(__xludf.DUMMYFUNCTION("""COMPUTED_VALUE"""),45780)</f>
        <v>45780</v>
      </c>
      <c r="B124" s="8">
        <f ca="1">IFERROR(__xludf.DUMMYFUNCTION("""COMPUTED_VALUE"""),66041)</f>
        <v>66041</v>
      </c>
      <c r="C124" s="8">
        <f ca="1">IFERROR(__xludf.DUMMYFUNCTION("""COMPUTED_VALUE"""),1702)</f>
        <v>1702</v>
      </c>
      <c r="D124" s="9">
        <f ca="1">IFERROR(__xludf.DUMMYFUNCTION("""COMPUTED_VALUE"""),1890)</f>
        <v>1890</v>
      </c>
      <c r="E124" s="8">
        <f ca="1">IFERROR(__xludf.DUMMYFUNCTION("""COMPUTED_VALUE"""),30)</f>
        <v>30</v>
      </c>
      <c r="F124" s="9">
        <f ca="1">IFERROR(__xludf.DUMMYFUNCTION("""COMPUTED_VALUE"""),4232)</f>
        <v>4232</v>
      </c>
    </row>
    <row r="125" spans="1:6" ht="13" x14ac:dyDescent="0.15">
      <c r="A125" s="7">
        <f ca="1">IFERROR(__xludf.DUMMYFUNCTION("""COMPUTED_VALUE"""),45781)</f>
        <v>45781</v>
      </c>
      <c r="B125" s="8">
        <f ca="1">IFERROR(__xludf.DUMMYFUNCTION("""COMPUTED_VALUE"""),67456)</f>
        <v>67456</v>
      </c>
      <c r="C125" s="8">
        <f ca="1">IFERROR(__xludf.DUMMYFUNCTION("""COMPUTED_VALUE"""),1814)</f>
        <v>1814</v>
      </c>
      <c r="D125" s="9">
        <f ca="1">IFERROR(__xludf.DUMMYFUNCTION("""COMPUTED_VALUE"""),1683)</f>
        <v>1683</v>
      </c>
      <c r="E125" s="8">
        <f ca="1">IFERROR(__xludf.DUMMYFUNCTION("""COMPUTED_VALUE"""),38)</f>
        <v>38</v>
      </c>
      <c r="F125" s="9">
        <f ca="1">IFERROR(__xludf.DUMMYFUNCTION("""COMPUTED_VALUE"""),5888)</f>
        <v>5888</v>
      </c>
    </row>
    <row r="126" spans="1:6" ht="13" x14ac:dyDescent="0.15">
      <c r="A126" s="7">
        <f ca="1">IFERROR(__xludf.DUMMYFUNCTION("""COMPUTED_VALUE"""),45782)</f>
        <v>45782</v>
      </c>
      <c r="B126" s="8">
        <f ca="1">IFERROR(__xludf.DUMMYFUNCTION("""COMPUTED_VALUE"""),105881)</f>
        <v>105881</v>
      </c>
      <c r="C126" s="8">
        <f ca="1">IFERROR(__xludf.DUMMYFUNCTION("""COMPUTED_VALUE"""),2191)</f>
        <v>2191</v>
      </c>
      <c r="D126" s="9">
        <f ca="1">IFERROR(__xludf.DUMMYFUNCTION("""COMPUTED_VALUE"""),2368)</f>
        <v>2368</v>
      </c>
      <c r="E126" s="8">
        <f ca="1">IFERROR(__xludf.DUMMYFUNCTION("""COMPUTED_VALUE"""),55)</f>
        <v>55</v>
      </c>
      <c r="F126" s="9">
        <f ca="1">IFERROR(__xludf.DUMMYFUNCTION("""COMPUTED_VALUE"""),8333)</f>
        <v>8333</v>
      </c>
    </row>
    <row r="127" spans="1:6" ht="13" x14ac:dyDescent="0.15">
      <c r="A127" s="7">
        <f ca="1">IFERROR(__xludf.DUMMYFUNCTION("""COMPUTED_VALUE"""),45783)</f>
        <v>45783</v>
      </c>
      <c r="B127" s="8">
        <f ca="1">IFERROR(__xludf.DUMMYFUNCTION("""COMPUTED_VALUE"""),63438)</f>
        <v>63438</v>
      </c>
      <c r="C127" s="8">
        <f ca="1">IFERROR(__xludf.DUMMYFUNCTION("""COMPUTED_VALUE"""),1031)</f>
        <v>1031</v>
      </c>
      <c r="D127" s="9">
        <f ca="1">IFERROR(__xludf.DUMMYFUNCTION("""COMPUTED_VALUE"""),709)</f>
        <v>709</v>
      </c>
      <c r="E127" s="8">
        <f ca="1">IFERROR(__xludf.DUMMYFUNCTION("""COMPUTED_VALUE"""),21)</f>
        <v>21</v>
      </c>
      <c r="F127" s="9">
        <f ca="1">IFERROR(__xludf.DUMMYFUNCTION("""COMPUTED_VALUE"""),3399)</f>
        <v>3399</v>
      </c>
    </row>
    <row r="128" spans="1:6" ht="13" x14ac:dyDescent="0.15">
      <c r="A128" s="7">
        <f ca="1">IFERROR(__xludf.DUMMYFUNCTION("""COMPUTED_VALUE"""),45784)</f>
        <v>45784</v>
      </c>
      <c r="B128" s="8">
        <f ca="1">IFERROR(__xludf.DUMMYFUNCTION("""COMPUTED_VALUE"""),80609)</f>
        <v>80609</v>
      </c>
      <c r="C128" s="8">
        <f ca="1">IFERROR(__xludf.DUMMYFUNCTION("""COMPUTED_VALUE"""),2134)</f>
        <v>2134</v>
      </c>
      <c r="D128" s="9">
        <f ca="1">IFERROR(__xludf.DUMMYFUNCTION("""COMPUTED_VALUE"""),2905)</f>
        <v>2905</v>
      </c>
      <c r="E128" s="8">
        <f ca="1">IFERROR(__xludf.DUMMYFUNCTION("""COMPUTED_VALUE"""),33)</f>
        <v>33</v>
      </c>
      <c r="F128" s="9">
        <f ca="1">IFERROR(__xludf.DUMMYFUNCTION("""COMPUTED_VALUE"""),3394)</f>
        <v>3394</v>
      </c>
    </row>
    <row r="129" spans="1:6" ht="13" x14ac:dyDescent="0.15">
      <c r="A129" s="7">
        <f ca="1">IFERROR(__xludf.DUMMYFUNCTION("""COMPUTED_VALUE"""),45785)</f>
        <v>45785</v>
      </c>
      <c r="B129" s="8">
        <f ca="1">IFERROR(__xludf.DUMMYFUNCTION("""COMPUTED_VALUE"""),36438)</f>
        <v>36438</v>
      </c>
      <c r="C129" s="8">
        <f ca="1">IFERROR(__xludf.DUMMYFUNCTION("""COMPUTED_VALUE"""),542)</f>
        <v>542</v>
      </c>
      <c r="D129" s="9">
        <f ca="1">IFERROR(__xludf.DUMMYFUNCTION("""COMPUTED_VALUE"""),424)</f>
        <v>424</v>
      </c>
      <c r="E129" s="8">
        <f ca="1">IFERROR(__xludf.DUMMYFUNCTION("""COMPUTED_VALUE"""),7)</f>
        <v>7</v>
      </c>
      <c r="F129" s="9">
        <f ca="1">IFERROR(__xludf.DUMMYFUNCTION("""COMPUTED_VALUE"""),1127)</f>
        <v>1127</v>
      </c>
    </row>
    <row r="130" spans="1:6" ht="13" x14ac:dyDescent="0.15">
      <c r="A130" s="7">
        <f ca="1">IFERROR(__xludf.DUMMYFUNCTION("""COMPUTED_VALUE"""),45786)</f>
        <v>45786</v>
      </c>
      <c r="B130" s="8">
        <f ca="1">IFERROR(__xludf.DUMMYFUNCTION("""COMPUTED_VALUE"""),85077)</f>
        <v>85077</v>
      </c>
      <c r="C130" s="8">
        <f ca="1">IFERROR(__xludf.DUMMYFUNCTION("""COMPUTED_VALUE"""),2322)</f>
        <v>2322</v>
      </c>
      <c r="D130" s="9">
        <f ca="1">IFERROR(__xludf.DUMMYFUNCTION("""COMPUTED_VALUE"""),1996)</f>
        <v>1996</v>
      </c>
      <c r="E130" s="8">
        <f ca="1">IFERROR(__xludf.DUMMYFUNCTION("""COMPUTED_VALUE"""),55)</f>
        <v>55</v>
      </c>
      <c r="F130" s="9">
        <f ca="1">IFERROR(__xludf.DUMMYFUNCTION("""COMPUTED_VALUE"""),7949)</f>
        <v>7949</v>
      </c>
    </row>
    <row r="131" spans="1:6" ht="13" x14ac:dyDescent="0.15">
      <c r="A131" s="7">
        <f ca="1">IFERROR(__xludf.DUMMYFUNCTION("""COMPUTED_VALUE"""),45787)</f>
        <v>45787</v>
      </c>
      <c r="B131" s="8">
        <f ca="1">IFERROR(__xludf.DUMMYFUNCTION("""COMPUTED_VALUE"""),73834)</f>
        <v>73834</v>
      </c>
      <c r="C131" s="8">
        <f ca="1">IFERROR(__xludf.DUMMYFUNCTION("""COMPUTED_VALUE"""),2410)</f>
        <v>2410</v>
      </c>
      <c r="D131" s="9">
        <f ca="1">IFERROR(__xludf.DUMMYFUNCTION("""COMPUTED_VALUE"""),2808)</f>
        <v>2808</v>
      </c>
      <c r="E131" s="8">
        <f ca="1">IFERROR(__xludf.DUMMYFUNCTION("""COMPUTED_VALUE"""),48)</f>
        <v>48</v>
      </c>
      <c r="F131" s="9">
        <f ca="1">IFERROR(__xludf.DUMMYFUNCTION("""COMPUTED_VALUE"""),7077)</f>
        <v>7077</v>
      </c>
    </row>
    <row r="132" spans="1:6" ht="13" x14ac:dyDescent="0.15">
      <c r="A132" s="7">
        <f ca="1">IFERROR(__xludf.DUMMYFUNCTION("""COMPUTED_VALUE"""),45788)</f>
        <v>45788</v>
      </c>
      <c r="B132" s="8">
        <f ca="1">IFERROR(__xludf.DUMMYFUNCTION("""COMPUTED_VALUE"""),21139)</f>
        <v>21139</v>
      </c>
      <c r="C132" s="8">
        <f ca="1">IFERROR(__xludf.DUMMYFUNCTION("""COMPUTED_VALUE"""),275)</f>
        <v>275</v>
      </c>
      <c r="D132" s="9">
        <f ca="1">IFERROR(__xludf.DUMMYFUNCTION("""COMPUTED_VALUE"""),350)</f>
        <v>350</v>
      </c>
      <c r="E132" s="8">
        <f ca="1">IFERROR(__xludf.DUMMYFUNCTION("""COMPUTED_VALUE"""),5)</f>
        <v>5</v>
      </c>
      <c r="F132" s="9">
        <f ca="1">IFERROR(__xludf.DUMMYFUNCTION("""COMPUTED_VALUE"""),615)</f>
        <v>615</v>
      </c>
    </row>
    <row r="133" spans="1:6" ht="13" x14ac:dyDescent="0.15">
      <c r="A133" s="7">
        <f ca="1">IFERROR(__xludf.DUMMYFUNCTION("""COMPUTED_VALUE"""),45789)</f>
        <v>45789</v>
      </c>
      <c r="B133" s="8">
        <f ca="1">IFERROR(__xludf.DUMMYFUNCTION("""COMPUTED_VALUE"""),37740)</f>
        <v>37740</v>
      </c>
      <c r="C133" s="8">
        <f ca="1">IFERROR(__xludf.DUMMYFUNCTION("""COMPUTED_VALUE"""),955)</f>
        <v>955</v>
      </c>
      <c r="D133" s="9">
        <f ca="1">IFERROR(__xludf.DUMMYFUNCTION("""COMPUTED_VALUE"""),1079)</f>
        <v>1079</v>
      </c>
      <c r="E133" s="8">
        <f ca="1">IFERROR(__xludf.DUMMYFUNCTION("""COMPUTED_VALUE"""),14)</f>
        <v>14</v>
      </c>
      <c r="F133" s="9">
        <f ca="1">IFERROR(__xludf.DUMMYFUNCTION("""COMPUTED_VALUE"""),3124)</f>
        <v>3124</v>
      </c>
    </row>
    <row r="134" spans="1:6" ht="13" x14ac:dyDescent="0.15">
      <c r="A134" s="7">
        <f ca="1">IFERROR(__xludf.DUMMYFUNCTION("""COMPUTED_VALUE"""),45790)</f>
        <v>45790</v>
      </c>
      <c r="B134" s="8">
        <f ca="1">IFERROR(__xludf.DUMMYFUNCTION("""COMPUTED_VALUE"""),52306)</f>
        <v>52306</v>
      </c>
      <c r="C134" s="8">
        <f ca="1">IFERROR(__xludf.DUMMYFUNCTION("""COMPUTED_VALUE"""),932)</f>
        <v>932</v>
      </c>
      <c r="D134" s="9">
        <f ca="1">IFERROR(__xludf.DUMMYFUNCTION("""COMPUTED_VALUE"""),904)</f>
        <v>904</v>
      </c>
      <c r="E134" s="8">
        <f ca="1">IFERROR(__xludf.DUMMYFUNCTION("""COMPUTED_VALUE"""),17)</f>
        <v>17</v>
      </c>
      <c r="F134" s="9">
        <f ca="1">IFERROR(__xludf.DUMMYFUNCTION("""COMPUTED_VALUE"""),2288)</f>
        <v>2288</v>
      </c>
    </row>
    <row r="135" spans="1:6" ht="13" x14ac:dyDescent="0.15">
      <c r="A135" s="7">
        <f ca="1">IFERROR(__xludf.DUMMYFUNCTION("""COMPUTED_VALUE"""),45791)</f>
        <v>45791</v>
      </c>
      <c r="B135" s="8">
        <f ca="1">IFERROR(__xludf.DUMMYFUNCTION("""COMPUTED_VALUE"""),117564)</f>
        <v>117564</v>
      </c>
      <c r="C135" s="8">
        <f ca="1">IFERROR(__xludf.DUMMYFUNCTION("""COMPUTED_VALUE"""),1981)</f>
        <v>1981</v>
      </c>
      <c r="D135" s="9">
        <f ca="1">IFERROR(__xludf.DUMMYFUNCTION("""COMPUTED_VALUE"""),2552)</f>
        <v>2552</v>
      </c>
      <c r="E135" s="8">
        <f ca="1">IFERROR(__xludf.DUMMYFUNCTION("""COMPUTED_VALUE"""),25)</f>
        <v>25</v>
      </c>
      <c r="F135" s="9">
        <f ca="1">IFERROR(__xludf.DUMMYFUNCTION("""COMPUTED_VALUE"""),2710)</f>
        <v>2710</v>
      </c>
    </row>
    <row r="136" spans="1:6" ht="13" x14ac:dyDescent="0.15">
      <c r="A136" s="7">
        <f ca="1">IFERROR(__xludf.DUMMYFUNCTION("""COMPUTED_VALUE"""),45792)</f>
        <v>45792</v>
      </c>
      <c r="B136" s="8">
        <f ca="1">IFERROR(__xludf.DUMMYFUNCTION("""COMPUTED_VALUE"""),25364)</f>
        <v>25364</v>
      </c>
      <c r="C136" s="8">
        <f ca="1">IFERROR(__xludf.DUMMYFUNCTION("""COMPUTED_VALUE"""),434)</f>
        <v>434</v>
      </c>
      <c r="D136" s="9">
        <f ca="1">IFERROR(__xludf.DUMMYFUNCTION("""COMPUTED_VALUE"""),294)</f>
        <v>294</v>
      </c>
      <c r="E136" s="8">
        <f ca="1">IFERROR(__xludf.DUMMYFUNCTION("""COMPUTED_VALUE"""),11)</f>
        <v>11</v>
      </c>
      <c r="F136" s="9">
        <f ca="1">IFERROR(__xludf.DUMMYFUNCTION("""COMPUTED_VALUE"""),1194)</f>
        <v>1194</v>
      </c>
    </row>
    <row r="137" spans="1:6" ht="13" x14ac:dyDescent="0.15">
      <c r="A137" s="7">
        <f ca="1">IFERROR(__xludf.DUMMYFUNCTION("""COMPUTED_VALUE"""),45793)</f>
        <v>45793</v>
      </c>
      <c r="B137" s="8">
        <f ca="1">IFERROR(__xludf.DUMMYFUNCTION("""COMPUTED_VALUE"""),74630)</f>
        <v>74630</v>
      </c>
      <c r="C137" s="8">
        <f ca="1">IFERROR(__xludf.DUMMYFUNCTION("""COMPUTED_VALUE"""),1584)</f>
        <v>1584</v>
      </c>
      <c r="D137" s="9">
        <f ca="1">IFERROR(__xludf.DUMMYFUNCTION("""COMPUTED_VALUE"""),1102)</f>
        <v>1102</v>
      </c>
      <c r="E137" s="8">
        <f ca="1">IFERROR(__xludf.DUMMYFUNCTION("""COMPUTED_VALUE"""),40)</f>
        <v>40</v>
      </c>
      <c r="F137" s="9">
        <f ca="1">IFERROR(__xludf.DUMMYFUNCTION("""COMPUTED_VALUE"""),5770)</f>
        <v>5770</v>
      </c>
    </row>
    <row r="138" spans="1:6" ht="13" x14ac:dyDescent="0.15">
      <c r="A138" s="7">
        <f ca="1">IFERROR(__xludf.DUMMYFUNCTION("""COMPUTED_VALUE"""),45794)</f>
        <v>45794</v>
      </c>
      <c r="B138" s="8">
        <f ca="1">IFERROR(__xludf.DUMMYFUNCTION("""COMPUTED_VALUE"""),63489)</f>
        <v>63489</v>
      </c>
      <c r="C138" s="8">
        <f ca="1">IFERROR(__xludf.DUMMYFUNCTION("""COMPUTED_VALUE"""),1236)</f>
        <v>1236</v>
      </c>
      <c r="D138" s="9">
        <f ca="1">IFERROR(__xludf.DUMMYFUNCTION("""COMPUTED_VALUE"""),1066)</f>
        <v>1066</v>
      </c>
      <c r="E138" s="8">
        <f ca="1">IFERROR(__xludf.DUMMYFUNCTION("""COMPUTED_VALUE"""),17)</f>
        <v>17</v>
      </c>
      <c r="F138" s="9">
        <f ca="1">IFERROR(__xludf.DUMMYFUNCTION("""COMPUTED_VALUE"""),2611)</f>
        <v>2611</v>
      </c>
    </row>
    <row r="139" spans="1:6" ht="13" x14ac:dyDescent="0.15">
      <c r="A139" s="7">
        <f ca="1">IFERROR(__xludf.DUMMYFUNCTION("""COMPUTED_VALUE"""),45795)</f>
        <v>45795</v>
      </c>
      <c r="B139" s="8">
        <f ca="1">IFERROR(__xludf.DUMMYFUNCTION("""COMPUTED_VALUE"""),105220)</f>
        <v>105220</v>
      </c>
      <c r="C139" s="8">
        <f ca="1">IFERROR(__xludf.DUMMYFUNCTION("""COMPUTED_VALUE"""),1702)</f>
        <v>1702</v>
      </c>
      <c r="D139" s="9">
        <f ca="1">IFERROR(__xludf.DUMMYFUNCTION("""COMPUTED_VALUE"""),2200)</f>
        <v>2200</v>
      </c>
      <c r="E139" s="8">
        <f ca="1">IFERROR(__xludf.DUMMYFUNCTION("""COMPUTED_VALUE"""),45)</f>
        <v>45</v>
      </c>
      <c r="F139" s="9">
        <f ca="1">IFERROR(__xludf.DUMMYFUNCTION("""COMPUTED_VALUE"""),6598)</f>
        <v>6598</v>
      </c>
    </row>
    <row r="140" spans="1:6" ht="13" x14ac:dyDescent="0.15">
      <c r="A140" s="7">
        <f ca="1">IFERROR(__xludf.DUMMYFUNCTION("""COMPUTED_VALUE"""),45796)</f>
        <v>45796</v>
      </c>
      <c r="B140" s="8">
        <f ca="1">IFERROR(__xludf.DUMMYFUNCTION("""COMPUTED_VALUE"""),68778)</f>
        <v>68778</v>
      </c>
      <c r="C140" s="8">
        <f ca="1">IFERROR(__xludf.DUMMYFUNCTION("""COMPUTED_VALUE"""),2502)</f>
        <v>2502</v>
      </c>
      <c r="D140" s="9">
        <f ca="1">IFERROR(__xludf.DUMMYFUNCTION("""COMPUTED_VALUE"""),2106)</f>
        <v>2106</v>
      </c>
      <c r="E140" s="8">
        <f ca="1">IFERROR(__xludf.DUMMYFUNCTION("""COMPUTED_VALUE"""),56)</f>
        <v>56</v>
      </c>
      <c r="F140" s="9">
        <f ca="1">IFERROR(__xludf.DUMMYFUNCTION("""COMPUTED_VALUE"""),8625)</f>
        <v>8625</v>
      </c>
    </row>
    <row r="141" spans="1:6" ht="13" x14ac:dyDescent="0.15">
      <c r="A141" s="7">
        <f ca="1">IFERROR(__xludf.DUMMYFUNCTION("""COMPUTED_VALUE"""),45797)</f>
        <v>45797</v>
      </c>
      <c r="B141" s="8">
        <f ca="1">IFERROR(__xludf.DUMMYFUNCTION("""COMPUTED_VALUE"""),93302)</f>
        <v>93302</v>
      </c>
      <c r="C141" s="8">
        <f ca="1">IFERROR(__xludf.DUMMYFUNCTION("""COMPUTED_VALUE"""),973)</f>
        <v>973</v>
      </c>
      <c r="D141" s="9">
        <f ca="1">IFERROR(__xludf.DUMMYFUNCTION("""COMPUTED_VALUE"""),774)</f>
        <v>774</v>
      </c>
      <c r="E141" s="8">
        <f ca="1">IFERROR(__xludf.DUMMYFUNCTION("""COMPUTED_VALUE"""),13)</f>
        <v>13</v>
      </c>
      <c r="F141" s="9">
        <f ca="1">IFERROR(__xludf.DUMMYFUNCTION("""COMPUTED_VALUE"""),1478)</f>
        <v>1478</v>
      </c>
    </row>
    <row r="142" spans="1:6" ht="13" x14ac:dyDescent="0.15">
      <c r="A142" s="7">
        <f ca="1">IFERROR(__xludf.DUMMYFUNCTION("""COMPUTED_VALUE"""),45798)</f>
        <v>45798</v>
      </c>
      <c r="B142" s="8">
        <f ca="1">IFERROR(__xludf.DUMMYFUNCTION("""COMPUTED_VALUE"""),91348)</f>
        <v>91348</v>
      </c>
      <c r="C142" s="8">
        <f ca="1">IFERROR(__xludf.DUMMYFUNCTION("""COMPUTED_VALUE"""),1383)</f>
        <v>1383</v>
      </c>
      <c r="D142" s="9">
        <f ca="1">IFERROR(__xludf.DUMMYFUNCTION("""COMPUTED_VALUE"""),1440)</f>
        <v>1440</v>
      </c>
      <c r="E142" s="8">
        <f ca="1">IFERROR(__xludf.DUMMYFUNCTION("""COMPUTED_VALUE"""),31)</f>
        <v>31</v>
      </c>
      <c r="F142" s="9">
        <f ca="1">IFERROR(__xludf.DUMMYFUNCTION("""COMPUTED_VALUE"""),5712)</f>
        <v>5712</v>
      </c>
    </row>
    <row r="143" spans="1:6" ht="13" x14ac:dyDescent="0.15">
      <c r="A143" s="7">
        <f ca="1">IFERROR(__xludf.DUMMYFUNCTION("""COMPUTED_VALUE"""),45799)</f>
        <v>45799</v>
      </c>
      <c r="B143" s="8">
        <f ca="1">IFERROR(__xludf.DUMMYFUNCTION("""COMPUTED_VALUE"""),70267)</f>
        <v>70267</v>
      </c>
      <c r="C143" s="8">
        <f ca="1">IFERROR(__xludf.DUMMYFUNCTION("""COMPUTED_VALUE"""),819)</f>
        <v>819</v>
      </c>
      <c r="D143" s="9">
        <f ca="1">IFERROR(__xludf.DUMMYFUNCTION("""COMPUTED_VALUE"""),1027)</f>
        <v>1027</v>
      </c>
      <c r="E143" s="8">
        <f ca="1">IFERROR(__xludf.DUMMYFUNCTION("""COMPUTED_VALUE"""),16)</f>
        <v>16</v>
      </c>
      <c r="F143" s="9">
        <f ca="1">IFERROR(__xludf.DUMMYFUNCTION("""COMPUTED_VALUE"""),2692)</f>
        <v>2692</v>
      </c>
    </row>
    <row r="144" spans="1:6" ht="13" x14ac:dyDescent="0.15">
      <c r="A144" s="7">
        <f ca="1">IFERROR(__xludf.DUMMYFUNCTION("""COMPUTED_VALUE"""),45800)</f>
        <v>45800</v>
      </c>
      <c r="B144" s="8">
        <f ca="1">IFERROR(__xludf.DUMMYFUNCTION("""COMPUTED_VALUE"""),80874)</f>
        <v>80874</v>
      </c>
      <c r="C144" s="8">
        <f ca="1">IFERROR(__xludf.DUMMYFUNCTION("""COMPUTED_VALUE"""),1432)</f>
        <v>1432</v>
      </c>
      <c r="D144" s="9">
        <f ca="1">IFERROR(__xludf.DUMMYFUNCTION("""COMPUTED_VALUE"""),1341)</f>
        <v>1341</v>
      </c>
      <c r="E144" s="8">
        <f ca="1">IFERROR(__xludf.DUMMYFUNCTION("""COMPUTED_VALUE"""),24)</f>
        <v>24</v>
      </c>
      <c r="F144" s="9">
        <f ca="1">IFERROR(__xludf.DUMMYFUNCTION("""COMPUTED_VALUE"""),4057)</f>
        <v>4057</v>
      </c>
    </row>
    <row r="145" spans="1:6" ht="13" x14ac:dyDescent="0.15">
      <c r="A145" s="7">
        <f ca="1">IFERROR(__xludf.DUMMYFUNCTION("""COMPUTED_VALUE"""),45801)</f>
        <v>45801</v>
      </c>
      <c r="B145" s="8">
        <f ca="1">IFERROR(__xludf.DUMMYFUNCTION("""COMPUTED_VALUE"""),103764)</f>
        <v>103764</v>
      </c>
      <c r="C145" s="8">
        <f ca="1">IFERROR(__xludf.DUMMYFUNCTION("""COMPUTED_VALUE"""),1198)</f>
        <v>1198</v>
      </c>
      <c r="D145" s="9">
        <f ca="1">IFERROR(__xludf.DUMMYFUNCTION("""COMPUTED_VALUE"""),1091)</f>
        <v>1091</v>
      </c>
      <c r="E145" s="8">
        <f ca="1">IFERROR(__xludf.DUMMYFUNCTION("""COMPUTED_VALUE"""),19)</f>
        <v>19</v>
      </c>
      <c r="F145" s="9">
        <f ca="1">IFERROR(__xludf.DUMMYFUNCTION("""COMPUTED_VALUE"""),3422)</f>
        <v>3422</v>
      </c>
    </row>
    <row r="146" spans="1:6" ht="13" x14ac:dyDescent="0.15">
      <c r="A146" s="7">
        <f ca="1">IFERROR(__xludf.DUMMYFUNCTION("""COMPUTED_VALUE"""),45802)</f>
        <v>45802</v>
      </c>
      <c r="B146" s="8">
        <f ca="1">IFERROR(__xludf.DUMMYFUNCTION("""COMPUTED_VALUE"""),72519)</f>
        <v>72519</v>
      </c>
      <c r="C146" s="8">
        <f ca="1">IFERROR(__xludf.DUMMYFUNCTION("""COMPUTED_VALUE"""),2402)</f>
        <v>2402</v>
      </c>
      <c r="D146" s="9">
        <f ca="1">IFERROR(__xludf.DUMMYFUNCTION("""COMPUTED_VALUE"""),2871)</f>
        <v>2871</v>
      </c>
      <c r="E146" s="8">
        <f ca="1">IFERROR(__xludf.DUMMYFUNCTION("""COMPUTED_VALUE"""),29)</f>
        <v>29</v>
      </c>
      <c r="F146" s="9">
        <f ca="1">IFERROR(__xludf.DUMMYFUNCTION("""COMPUTED_VALUE"""),4566)</f>
        <v>4566</v>
      </c>
    </row>
    <row r="147" spans="1:6" ht="13" x14ac:dyDescent="0.15">
      <c r="A147" s="7">
        <f ca="1">IFERROR(__xludf.DUMMYFUNCTION("""COMPUTED_VALUE"""),45803)</f>
        <v>45803</v>
      </c>
      <c r="B147" s="8">
        <f ca="1">IFERROR(__xludf.DUMMYFUNCTION("""COMPUTED_VALUE"""),81742)</f>
        <v>81742</v>
      </c>
      <c r="C147" s="8">
        <f ca="1">IFERROR(__xludf.DUMMYFUNCTION("""COMPUTED_VALUE"""),2310)</f>
        <v>2310</v>
      </c>
      <c r="D147" s="9">
        <f ca="1">IFERROR(__xludf.DUMMYFUNCTION("""COMPUTED_VALUE"""),2913)</f>
        <v>2913</v>
      </c>
      <c r="E147" s="8">
        <f ca="1">IFERROR(__xludf.DUMMYFUNCTION("""COMPUTED_VALUE"""),50)</f>
        <v>50</v>
      </c>
      <c r="F147" s="9">
        <f ca="1">IFERROR(__xludf.DUMMYFUNCTION("""COMPUTED_VALUE"""),8332)</f>
        <v>8332</v>
      </c>
    </row>
    <row r="148" spans="1:6" ht="13" x14ac:dyDescent="0.15">
      <c r="A148" s="7">
        <f ca="1">IFERROR(__xludf.DUMMYFUNCTION("""COMPUTED_VALUE"""),45804)</f>
        <v>45804</v>
      </c>
      <c r="B148" s="8">
        <f ca="1">IFERROR(__xludf.DUMMYFUNCTION("""COMPUTED_VALUE"""),46255)</f>
        <v>46255</v>
      </c>
      <c r="C148" s="8">
        <f ca="1">IFERROR(__xludf.DUMMYFUNCTION("""COMPUTED_VALUE"""),811)</f>
        <v>811</v>
      </c>
      <c r="D148" s="9">
        <f ca="1">IFERROR(__xludf.DUMMYFUNCTION("""COMPUTED_VALUE"""),660)</f>
        <v>660</v>
      </c>
      <c r="E148" s="8">
        <f ca="1">IFERROR(__xludf.DUMMYFUNCTION("""COMPUTED_VALUE"""),11)</f>
        <v>11</v>
      </c>
      <c r="F148" s="9">
        <f ca="1">IFERROR(__xludf.DUMMYFUNCTION("""COMPUTED_VALUE"""),2062)</f>
        <v>2062</v>
      </c>
    </row>
    <row r="149" spans="1:6" ht="13" x14ac:dyDescent="0.15">
      <c r="A149" s="7">
        <f ca="1">IFERROR(__xludf.DUMMYFUNCTION("""COMPUTED_VALUE"""),45805)</f>
        <v>45805</v>
      </c>
      <c r="B149" s="8">
        <f ca="1">IFERROR(__xludf.DUMMYFUNCTION("""COMPUTED_VALUE"""),94627)</f>
        <v>94627</v>
      </c>
      <c r="C149" s="8">
        <f ca="1">IFERROR(__xludf.DUMMYFUNCTION("""COMPUTED_VALUE"""),2714)</f>
        <v>2714</v>
      </c>
      <c r="D149" s="9">
        <f ca="1">IFERROR(__xludf.DUMMYFUNCTION("""COMPUTED_VALUE"""),3004)</f>
        <v>3004</v>
      </c>
      <c r="E149" s="8">
        <f ca="1">IFERROR(__xludf.DUMMYFUNCTION("""COMPUTED_VALUE"""),57)</f>
        <v>57</v>
      </c>
      <c r="F149" s="9">
        <f ca="1">IFERROR(__xludf.DUMMYFUNCTION("""COMPUTED_VALUE"""),10414)</f>
        <v>10414</v>
      </c>
    </row>
    <row r="150" spans="1:6" ht="13" x14ac:dyDescent="0.15">
      <c r="A150" s="7">
        <f ca="1">IFERROR(__xludf.DUMMYFUNCTION("""COMPUTED_VALUE"""),45806)</f>
        <v>45806</v>
      </c>
      <c r="B150" s="8">
        <f ca="1">IFERROR(__xludf.DUMMYFUNCTION("""COMPUTED_VALUE"""),64109)</f>
        <v>64109</v>
      </c>
      <c r="C150" s="8">
        <f ca="1">IFERROR(__xludf.DUMMYFUNCTION("""COMPUTED_VALUE"""),1488)</f>
        <v>1488</v>
      </c>
      <c r="D150" s="9">
        <f ca="1">IFERROR(__xludf.DUMMYFUNCTION("""COMPUTED_VALUE"""),971)</f>
        <v>971</v>
      </c>
      <c r="E150" s="8">
        <f ca="1">IFERROR(__xludf.DUMMYFUNCTION("""COMPUTED_VALUE"""),34)</f>
        <v>34</v>
      </c>
      <c r="F150" s="9">
        <f ca="1">IFERROR(__xludf.DUMMYFUNCTION("""COMPUTED_VALUE"""),4550)</f>
        <v>4550</v>
      </c>
    </row>
    <row r="151" spans="1:6" ht="13" x14ac:dyDescent="0.15">
      <c r="A151" s="7">
        <f ca="1">IFERROR(__xludf.DUMMYFUNCTION("""COMPUTED_VALUE"""),45807)</f>
        <v>45807</v>
      </c>
      <c r="B151" s="8">
        <f ca="1">IFERROR(__xludf.DUMMYFUNCTION("""COMPUTED_VALUE"""),56435)</f>
        <v>56435</v>
      </c>
      <c r="C151" s="8">
        <f ca="1">IFERROR(__xludf.DUMMYFUNCTION("""COMPUTED_VALUE"""),1325)</f>
        <v>1325</v>
      </c>
      <c r="D151" s="9">
        <f ca="1">IFERROR(__xludf.DUMMYFUNCTION("""COMPUTED_VALUE"""),1551)</f>
        <v>1551</v>
      </c>
      <c r="E151" s="8">
        <f ca="1">IFERROR(__xludf.DUMMYFUNCTION("""COMPUTED_VALUE"""),26)</f>
        <v>26</v>
      </c>
      <c r="F151" s="9">
        <f ca="1">IFERROR(__xludf.DUMMYFUNCTION("""COMPUTED_VALUE"""),4441)</f>
        <v>4441</v>
      </c>
    </row>
    <row r="152" spans="1:6" ht="13" x14ac:dyDescent="0.15">
      <c r="A152" s="7">
        <f ca="1">IFERROR(__xludf.DUMMYFUNCTION("""COMPUTED_VALUE"""),45808)</f>
        <v>45808</v>
      </c>
      <c r="B152" s="8">
        <f ca="1">IFERROR(__xludf.DUMMYFUNCTION("""COMPUTED_VALUE"""),33813)</f>
        <v>33813</v>
      </c>
      <c r="C152" s="8">
        <f ca="1">IFERROR(__xludf.DUMMYFUNCTION("""COMPUTED_VALUE"""),407)</f>
        <v>407</v>
      </c>
      <c r="D152" s="9">
        <f ca="1">IFERROR(__xludf.DUMMYFUNCTION("""COMPUTED_VALUE"""),307)</f>
        <v>307</v>
      </c>
      <c r="E152" s="8">
        <f ca="1">IFERROR(__xludf.DUMMYFUNCTION("""COMPUTED_VALUE"""),5)</f>
        <v>5</v>
      </c>
      <c r="F152" s="9">
        <f ca="1">IFERROR(__xludf.DUMMYFUNCTION("""COMPUTED_VALUE"""),902)</f>
        <v>902</v>
      </c>
    </row>
    <row r="153" spans="1:6" ht="13" x14ac:dyDescent="0.15">
      <c r="A153" s="7">
        <f ca="1">IFERROR(__xludf.DUMMYFUNCTION("""COMPUTED_VALUE"""),45809)</f>
        <v>45809</v>
      </c>
      <c r="B153" s="8">
        <f ca="1">IFERROR(__xludf.DUMMYFUNCTION("""COMPUTED_VALUE"""),66532)</f>
        <v>66532</v>
      </c>
      <c r="C153" s="8">
        <f ca="1">IFERROR(__xludf.DUMMYFUNCTION("""COMPUTED_VALUE"""),1613)</f>
        <v>1613</v>
      </c>
      <c r="D153" s="9">
        <f ca="1">IFERROR(__xludf.DUMMYFUNCTION("""COMPUTED_VALUE"""),1095)</f>
        <v>1095</v>
      </c>
      <c r="E153" s="8">
        <f ca="1">IFERROR(__xludf.DUMMYFUNCTION("""COMPUTED_VALUE"""),24)</f>
        <v>24</v>
      </c>
      <c r="F153" s="9">
        <f ca="1">IFERROR(__xludf.DUMMYFUNCTION("""COMPUTED_VALUE"""),3337)</f>
        <v>3337</v>
      </c>
    </row>
    <row r="154" spans="1:6" ht="13" x14ac:dyDescent="0.15">
      <c r="A154" s="7">
        <f ca="1">IFERROR(__xludf.DUMMYFUNCTION("""COMPUTED_VALUE"""),45810)</f>
        <v>45810</v>
      </c>
      <c r="B154" s="8">
        <f ca="1">IFERROR(__xludf.DUMMYFUNCTION("""COMPUTED_VALUE"""),103974)</f>
        <v>103974</v>
      </c>
      <c r="C154" s="8">
        <f ca="1">IFERROR(__xludf.DUMMYFUNCTION("""COMPUTED_VALUE"""),2068)</f>
        <v>2068</v>
      </c>
      <c r="D154" s="9">
        <f ca="1">IFERROR(__xludf.DUMMYFUNCTION("""COMPUTED_VALUE"""),2821)</f>
        <v>2821</v>
      </c>
      <c r="E154" s="8">
        <f ca="1">IFERROR(__xludf.DUMMYFUNCTION("""COMPUTED_VALUE"""),52)</f>
        <v>52</v>
      </c>
      <c r="F154" s="9">
        <f ca="1">IFERROR(__xludf.DUMMYFUNCTION("""COMPUTED_VALUE"""),5089)</f>
        <v>5089</v>
      </c>
    </row>
    <row r="155" spans="1:6" ht="13" x14ac:dyDescent="0.15">
      <c r="A155" s="7">
        <f ca="1">IFERROR(__xludf.DUMMYFUNCTION("""COMPUTED_VALUE"""),45811)</f>
        <v>45811</v>
      </c>
      <c r="B155" s="8">
        <f ca="1">IFERROR(__xludf.DUMMYFUNCTION("""COMPUTED_VALUE"""),35392)</f>
        <v>35392</v>
      </c>
      <c r="C155" s="8">
        <f ca="1">IFERROR(__xludf.DUMMYFUNCTION("""COMPUTED_VALUE"""),676)</f>
        <v>676</v>
      </c>
      <c r="D155" s="9">
        <f ca="1">IFERROR(__xludf.DUMMYFUNCTION("""COMPUTED_VALUE"""),828)</f>
        <v>828</v>
      </c>
      <c r="E155" s="8">
        <f ca="1">IFERROR(__xludf.DUMMYFUNCTION("""COMPUTED_VALUE"""),16)</f>
        <v>16</v>
      </c>
      <c r="F155" s="9">
        <f ca="1">IFERROR(__xludf.DUMMYFUNCTION("""COMPUTED_VALUE"""),2889)</f>
        <v>2889</v>
      </c>
    </row>
    <row r="156" spans="1:6" ht="13" x14ac:dyDescent="0.15">
      <c r="A156" s="7">
        <f ca="1">IFERROR(__xludf.DUMMYFUNCTION("""COMPUTED_VALUE"""),45812)</f>
        <v>45812</v>
      </c>
      <c r="B156" s="8">
        <f ca="1">IFERROR(__xludf.DUMMYFUNCTION("""COMPUTED_VALUE"""),69161)</f>
        <v>69161</v>
      </c>
      <c r="C156" s="8">
        <f ca="1">IFERROR(__xludf.DUMMYFUNCTION("""COMPUTED_VALUE"""),1584)</f>
        <v>1584</v>
      </c>
      <c r="D156" s="9">
        <f ca="1">IFERROR(__xludf.DUMMYFUNCTION("""COMPUTED_VALUE"""),1531)</f>
        <v>1531</v>
      </c>
      <c r="E156" s="8">
        <f ca="1">IFERROR(__xludf.DUMMYFUNCTION("""COMPUTED_VALUE"""),37)</f>
        <v>37</v>
      </c>
      <c r="F156" s="9">
        <f ca="1">IFERROR(__xludf.DUMMYFUNCTION("""COMPUTED_VALUE"""),4150)</f>
        <v>4150</v>
      </c>
    </row>
    <row r="157" spans="1:6" ht="13" x14ac:dyDescent="0.15">
      <c r="A157" s="7">
        <f ca="1">IFERROR(__xludf.DUMMYFUNCTION("""COMPUTED_VALUE"""),45813)</f>
        <v>45813</v>
      </c>
      <c r="B157" s="8">
        <f ca="1">IFERROR(__xludf.DUMMYFUNCTION("""COMPUTED_VALUE"""),80677)</f>
        <v>80677</v>
      </c>
      <c r="C157" s="8">
        <f ca="1">IFERROR(__xludf.DUMMYFUNCTION("""COMPUTED_VALUE"""),2353)</f>
        <v>2353</v>
      </c>
      <c r="D157" s="9">
        <f ca="1">IFERROR(__xludf.DUMMYFUNCTION("""COMPUTED_VALUE"""),1604)</f>
        <v>1604</v>
      </c>
      <c r="E157" s="8">
        <f ca="1">IFERROR(__xludf.DUMMYFUNCTION("""COMPUTED_VALUE"""),52)</f>
        <v>52</v>
      </c>
      <c r="F157" s="9">
        <f ca="1">IFERROR(__xludf.DUMMYFUNCTION("""COMPUTED_VALUE"""),6829)</f>
        <v>6829</v>
      </c>
    </row>
    <row r="158" spans="1:6" ht="13" x14ac:dyDescent="0.15">
      <c r="A158" s="7">
        <f ca="1">IFERROR(__xludf.DUMMYFUNCTION("""COMPUTED_VALUE"""),45814)</f>
        <v>45814</v>
      </c>
      <c r="B158" s="8">
        <f ca="1">IFERROR(__xludf.DUMMYFUNCTION("""COMPUTED_VALUE"""),93359)</f>
        <v>93359</v>
      </c>
      <c r="C158" s="8">
        <f ca="1">IFERROR(__xludf.DUMMYFUNCTION("""COMPUTED_VALUE"""),1868)</f>
        <v>1868</v>
      </c>
      <c r="D158" s="9">
        <f ca="1">IFERROR(__xludf.DUMMYFUNCTION("""COMPUTED_VALUE"""),1915)</f>
        <v>1915</v>
      </c>
      <c r="E158" s="8">
        <f ca="1">IFERROR(__xludf.DUMMYFUNCTION("""COMPUTED_VALUE"""),32)</f>
        <v>32</v>
      </c>
      <c r="F158" s="9">
        <f ca="1">IFERROR(__xludf.DUMMYFUNCTION("""COMPUTED_VALUE"""),4092)</f>
        <v>4092</v>
      </c>
    </row>
    <row r="159" spans="1:6" ht="13" x14ac:dyDescent="0.15">
      <c r="A159" s="7">
        <f ca="1">IFERROR(__xludf.DUMMYFUNCTION("""COMPUTED_VALUE"""),45815)</f>
        <v>45815</v>
      </c>
      <c r="B159" s="8">
        <f ca="1">IFERROR(__xludf.DUMMYFUNCTION("""COMPUTED_VALUE"""),78392)</f>
        <v>78392</v>
      </c>
      <c r="C159" s="8">
        <f ca="1">IFERROR(__xludf.DUMMYFUNCTION("""COMPUTED_VALUE"""),1829)</f>
        <v>1829</v>
      </c>
      <c r="D159" s="9">
        <f ca="1">IFERROR(__xludf.DUMMYFUNCTION("""COMPUTED_VALUE"""),1556)</f>
        <v>1556</v>
      </c>
      <c r="E159" s="8">
        <f ca="1">IFERROR(__xludf.DUMMYFUNCTION("""COMPUTED_VALUE"""),45)</f>
        <v>45</v>
      </c>
      <c r="F159" s="9">
        <f ca="1">IFERROR(__xludf.DUMMYFUNCTION("""COMPUTED_VALUE"""),8453)</f>
        <v>8453</v>
      </c>
    </row>
    <row r="160" spans="1:6" ht="13" x14ac:dyDescent="0.15">
      <c r="A160" s="7">
        <f ca="1">IFERROR(__xludf.DUMMYFUNCTION("""COMPUTED_VALUE"""),45816)</f>
        <v>45816</v>
      </c>
      <c r="B160" s="8">
        <f ca="1">IFERROR(__xludf.DUMMYFUNCTION("""COMPUTED_VALUE"""),107060)</f>
        <v>107060</v>
      </c>
      <c r="C160" s="8">
        <f ca="1">IFERROR(__xludf.DUMMYFUNCTION("""COMPUTED_VALUE"""),2532)</f>
        <v>2532</v>
      </c>
      <c r="D160" s="9">
        <f ca="1">IFERROR(__xludf.DUMMYFUNCTION("""COMPUTED_VALUE"""),2042)</f>
        <v>2042</v>
      </c>
      <c r="E160" s="8">
        <f ca="1">IFERROR(__xludf.DUMMYFUNCTION("""COMPUTED_VALUE"""),42)</f>
        <v>42</v>
      </c>
      <c r="F160" s="9">
        <f ca="1">IFERROR(__xludf.DUMMYFUNCTION("""COMPUTED_VALUE"""),7701)</f>
        <v>7701</v>
      </c>
    </row>
    <row r="161" spans="1:6" ht="13" x14ac:dyDescent="0.15">
      <c r="A161" s="7">
        <f ca="1">IFERROR(__xludf.DUMMYFUNCTION("""COMPUTED_VALUE"""),45817)</f>
        <v>45817</v>
      </c>
      <c r="B161" s="8">
        <f ca="1">IFERROR(__xludf.DUMMYFUNCTION("""COMPUTED_VALUE"""),49858)</f>
        <v>49858</v>
      </c>
      <c r="C161" s="8">
        <f ca="1">IFERROR(__xludf.DUMMYFUNCTION("""COMPUTED_VALUE"""),789)</f>
        <v>789</v>
      </c>
      <c r="D161" s="9">
        <f ca="1">IFERROR(__xludf.DUMMYFUNCTION("""COMPUTED_VALUE"""),770)</f>
        <v>770</v>
      </c>
      <c r="E161" s="8">
        <f ca="1">IFERROR(__xludf.DUMMYFUNCTION("""COMPUTED_VALUE"""),10)</f>
        <v>10</v>
      </c>
      <c r="F161" s="9">
        <f ca="1">IFERROR(__xludf.DUMMYFUNCTION("""COMPUTED_VALUE"""),1509)</f>
        <v>1509</v>
      </c>
    </row>
    <row r="162" spans="1:6" ht="13" x14ac:dyDescent="0.15">
      <c r="A162" s="7">
        <f ca="1">IFERROR(__xludf.DUMMYFUNCTION("""COMPUTED_VALUE"""),45818)</f>
        <v>45818</v>
      </c>
      <c r="B162" s="8">
        <f ca="1">IFERROR(__xludf.DUMMYFUNCTION("""COMPUTED_VALUE"""),92974)</f>
        <v>92974</v>
      </c>
      <c r="C162" s="8">
        <f ca="1">IFERROR(__xludf.DUMMYFUNCTION("""COMPUTED_VALUE"""),2773)</f>
        <v>2773</v>
      </c>
      <c r="D162" s="9">
        <f ca="1">IFERROR(__xludf.DUMMYFUNCTION("""COMPUTED_VALUE"""),2050)</f>
        <v>2050</v>
      </c>
      <c r="E162" s="8">
        <f ca="1">IFERROR(__xludf.DUMMYFUNCTION("""COMPUTED_VALUE"""),35)</f>
        <v>35</v>
      </c>
      <c r="F162" s="9">
        <f ca="1">IFERROR(__xludf.DUMMYFUNCTION("""COMPUTED_VALUE"""),5401)</f>
        <v>5401</v>
      </c>
    </row>
    <row r="163" spans="1:6" ht="13" x14ac:dyDescent="0.15">
      <c r="A163" s="7">
        <f ca="1">IFERROR(__xludf.DUMMYFUNCTION("""COMPUTED_VALUE"""),45819)</f>
        <v>45819</v>
      </c>
      <c r="B163" s="8">
        <f ca="1">IFERROR(__xludf.DUMMYFUNCTION("""COMPUTED_VALUE"""),93927)</f>
        <v>93927</v>
      </c>
      <c r="C163" s="8">
        <f ca="1">IFERROR(__xludf.DUMMYFUNCTION("""COMPUTED_VALUE"""),1478)</f>
        <v>1478</v>
      </c>
      <c r="D163" s="9">
        <f ca="1">IFERROR(__xludf.DUMMYFUNCTION("""COMPUTED_VALUE"""),1062)</f>
        <v>1062</v>
      </c>
      <c r="E163" s="8">
        <f ca="1">IFERROR(__xludf.DUMMYFUNCTION("""COMPUTED_VALUE"""),17)</f>
        <v>17</v>
      </c>
      <c r="F163" s="9">
        <f ca="1">IFERROR(__xludf.DUMMYFUNCTION("""COMPUTED_VALUE"""),3226)</f>
        <v>3226</v>
      </c>
    </row>
    <row r="164" spans="1:6" ht="13" x14ac:dyDescent="0.15">
      <c r="A164" s="7">
        <f ca="1">IFERROR(__xludf.DUMMYFUNCTION("""COMPUTED_VALUE"""),45820)</f>
        <v>45820</v>
      </c>
      <c r="B164" s="8">
        <f ca="1">IFERROR(__xludf.DUMMYFUNCTION("""COMPUTED_VALUE"""),31823)</f>
        <v>31823</v>
      </c>
      <c r="C164" s="8">
        <f ca="1">IFERROR(__xludf.DUMMYFUNCTION("""COMPUTED_VALUE"""),508)</f>
        <v>508</v>
      </c>
      <c r="D164" s="9">
        <f ca="1">IFERROR(__xludf.DUMMYFUNCTION("""COMPUTED_VALUE"""),351)</f>
        <v>351</v>
      </c>
      <c r="E164" s="8">
        <f ca="1">IFERROR(__xludf.DUMMYFUNCTION("""COMPUTED_VALUE"""),11)</f>
        <v>11</v>
      </c>
      <c r="F164" s="9">
        <f ca="1">IFERROR(__xludf.DUMMYFUNCTION("""COMPUTED_VALUE"""),1858)</f>
        <v>1858</v>
      </c>
    </row>
    <row r="165" spans="1:6" ht="13" x14ac:dyDescent="0.15">
      <c r="A165" s="7">
        <f ca="1">IFERROR(__xludf.DUMMYFUNCTION("""COMPUTED_VALUE"""),45821)</f>
        <v>45821</v>
      </c>
      <c r="B165" s="8">
        <f ca="1">IFERROR(__xludf.DUMMYFUNCTION("""COMPUTED_VALUE"""),59219)</f>
        <v>59219</v>
      </c>
      <c r="C165" s="8">
        <f ca="1">IFERROR(__xludf.DUMMYFUNCTION("""COMPUTED_VALUE"""),1695)</f>
        <v>1695</v>
      </c>
      <c r="D165" s="9">
        <f ca="1">IFERROR(__xludf.DUMMYFUNCTION("""COMPUTED_VALUE"""),2012)</f>
        <v>2012</v>
      </c>
      <c r="E165" s="8">
        <f ca="1">IFERROR(__xludf.DUMMYFUNCTION("""COMPUTED_VALUE"""),34)</f>
        <v>34</v>
      </c>
      <c r="F165" s="9">
        <f ca="1">IFERROR(__xludf.DUMMYFUNCTION("""COMPUTED_VALUE"""),6351)</f>
        <v>6351</v>
      </c>
    </row>
    <row r="166" spans="1:6" ht="13" x14ac:dyDescent="0.15">
      <c r="A166" s="7">
        <f ca="1">IFERROR(__xludf.DUMMYFUNCTION("""COMPUTED_VALUE"""),45822)</f>
        <v>45822</v>
      </c>
      <c r="B166" s="8">
        <f ca="1">IFERROR(__xludf.DUMMYFUNCTION("""COMPUTED_VALUE"""),73802)</f>
        <v>73802</v>
      </c>
      <c r="C166" s="8">
        <f ca="1">IFERROR(__xludf.DUMMYFUNCTION("""COMPUTED_VALUE"""),1658)</f>
        <v>1658</v>
      </c>
      <c r="D166" s="9">
        <f ca="1">IFERROR(__xludf.DUMMYFUNCTION("""COMPUTED_VALUE"""),1269)</f>
        <v>1269</v>
      </c>
      <c r="E166" s="8">
        <f ca="1">IFERROR(__xludf.DUMMYFUNCTION("""COMPUTED_VALUE"""),25)</f>
        <v>25</v>
      </c>
      <c r="F166" s="9">
        <f ca="1">IFERROR(__xludf.DUMMYFUNCTION("""COMPUTED_VALUE"""),4429)</f>
        <v>4429</v>
      </c>
    </row>
    <row r="167" spans="1:6" ht="13" x14ac:dyDescent="0.15">
      <c r="A167" s="7">
        <f ca="1">IFERROR(__xludf.DUMMYFUNCTION("""COMPUTED_VALUE"""),45823)</f>
        <v>45823</v>
      </c>
      <c r="B167" s="8">
        <f ca="1">IFERROR(__xludf.DUMMYFUNCTION("""COMPUTED_VALUE"""),88524)</f>
        <v>88524</v>
      </c>
      <c r="C167" s="8">
        <f ca="1">IFERROR(__xludf.DUMMYFUNCTION("""COMPUTED_VALUE"""),2800)</f>
        <v>2800</v>
      </c>
      <c r="D167" s="9">
        <f ca="1">IFERROR(__xludf.DUMMYFUNCTION("""COMPUTED_VALUE"""),2039)</f>
        <v>2039</v>
      </c>
      <c r="E167" s="8">
        <f ca="1">IFERROR(__xludf.DUMMYFUNCTION("""COMPUTED_VALUE"""),63)</f>
        <v>63</v>
      </c>
      <c r="F167" s="9">
        <f ca="1">IFERROR(__xludf.DUMMYFUNCTION("""COMPUTED_VALUE"""),11252)</f>
        <v>11252</v>
      </c>
    </row>
    <row r="168" spans="1:6" ht="13" x14ac:dyDescent="0.15">
      <c r="A168" s="7">
        <f ca="1">IFERROR(__xludf.DUMMYFUNCTION("""COMPUTED_VALUE"""),45824)</f>
        <v>45824</v>
      </c>
      <c r="B168" s="8">
        <f ca="1">IFERROR(__xludf.DUMMYFUNCTION("""COMPUTED_VALUE"""),96726)</f>
        <v>96726</v>
      </c>
      <c r="C168" s="8">
        <f ca="1">IFERROR(__xludf.DUMMYFUNCTION("""COMPUTED_VALUE"""),3424)</f>
        <v>3424</v>
      </c>
      <c r="D168" s="9">
        <f ca="1">IFERROR(__xludf.DUMMYFUNCTION("""COMPUTED_VALUE"""),3824)</f>
        <v>3824</v>
      </c>
      <c r="E168" s="8">
        <f ca="1">IFERROR(__xludf.DUMMYFUNCTION("""COMPUTED_VALUE"""),52)</f>
        <v>52</v>
      </c>
      <c r="F168" s="9">
        <f ca="1">IFERROR(__xludf.DUMMYFUNCTION("""COMPUTED_VALUE"""),7945)</f>
        <v>7945</v>
      </c>
    </row>
    <row r="169" spans="1:6" ht="13" x14ac:dyDescent="0.15">
      <c r="A169" s="7">
        <f ca="1">IFERROR(__xludf.DUMMYFUNCTION("""COMPUTED_VALUE"""),45825)</f>
        <v>45825</v>
      </c>
      <c r="B169" s="8">
        <f ca="1">IFERROR(__xludf.DUMMYFUNCTION("""COMPUTED_VALUE"""),36420)</f>
        <v>36420</v>
      </c>
      <c r="C169" s="8">
        <f ca="1">IFERROR(__xludf.DUMMYFUNCTION("""COMPUTED_VALUE"""),662)</f>
        <v>662</v>
      </c>
      <c r="D169" s="9">
        <f ca="1">IFERROR(__xludf.DUMMYFUNCTION("""COMPUTED_VALUE"""),479)</f>
        <v>479</v>
      </c>
      <c r="E169" s="8">
        <f ca="1">IFERROR(__xludf.DUMMYFUNCTION("""COMPUTED_VALUE"""),7)</f>
        <v>7</v>
      </c>
      <c r="F169" s="9">
        <f ca="1">IFERROR(__xludf.DUMMYFUNCTION("""COMPUTED_VALUE"""),1534)</f>
        <v>1534</v>
      </c>
    </row>
    <row r="170" spans="1:6" ht="13" x14ac:dyDescent="0.15">
      <c r="A170" s="7">
        <f ca="1">IFERROR(__xludf.DUMMYFUNCTION("""COMPUTED_VALUE"""),45826)</f>
        <v>45826</v>
      </c>
      <c r="B170" s="8">
        <f ca="1">IFERROR(__xludf.DUMMYFUNCTION("""COMPUTED_VALUE"""),46221)</f>
        <v>46221</v>
      </c>
      <c r="C170" s="8">
        <f ca="1">IFERROR(__xludf.DUMMYFUNCTION("""COMPUTED_VALUE"""),390)</f>
        <v>390</v>
      </c>
      <c r="D170" s="9">
        <f ca="1">IFERROR(__xludf.DUMMYFUNCTION("""COMPUTED_VALUE"""),554)</f>
        <v>554</v>
      </c>
      <c r="E170" s="8">
        <f ca="1">IFERROR(__xludf.DUMMYFUNCTION("""COMPUTED_VALUE"""),6)</f>
        <v>6</v>
      </c>
      <c r="F170" s="9">
        <f ca="1">IFERROR(__xludf.DUMMYFUNCTION("""COMPUTED_VALUE"""),1072)</f>
        <v>1072</v>
      </c>
    </row>
    <row r="171" spans="1:6" ht="13" x14ac:dyDescent="0.15">
      <c r="A171" s="7">
        <f ca="1">IFERROR(__xludf.DUMMYFUNCTION("""COMPUTED_VALUE"""),45827)</f>
        <v>45827</v>
      </c>
      <c r="B171" s="8">
        <f ca="1">IFERROR(__xludf.DUMMYFUNCTION("""COMPUTED_VALUE"""),54089)</f>
        <v>54089</v>
      </c>
      <c r="C171" s="8">
        <f ca="1">IFERROR(__xludf.DUMMYFUNCTION("""COMPUTED_VALUE"""),1501)</f>
        <v>1501</v>
      </c>
      <c r="D171" s="9">
        <f ca="1">IFERROR(__xludf.DUMMYFUNCTION("""COMPUTED_VALUE"""),1190)</f>
        <v>1190</v>
      </c>
      <c r="E171" s="8">
        <f ca="1">IFERROR(__xludf.DUMMYFUNCTION("""COMPUTED_VALUE"""),20)</f>
        <v>20</v>
      </c>
      <c r="F171" s="9">
        <f ca="1">IFERROR(__xludf.DUMMYFUNCTION("""COMPUTED_VALUE"""),3572)</f>
        <v>3572</v>
      </c>
    </row>
    <row r="172" spans="1:6" ht="13" x14ac:dyDescent="0.15">
      <c r="A172" s="7">
        <f ca="1">IFERROR(__xludf.DUMMYFUNCTION("""COMPUTED_VALUE"""),45828)</f>
        <v>45828</v>
      </c>
      <c r="B172" s="8">
        <f ca="1">IFERROR(__xludf.DUMMYFUNCTION("""COMPUTED_VALUE"""),66874)</f>
        <v>66874</v>
      </c>
      <c r="C172" s="8">
        <f ca="1">IFERROR(__xludf.DUMMYFUNCTION("""COMPUTED_VALUE"""),1626)</f>
        <v>1626</v>
      </c>
      <c r="D172" s="9">
        <f ca="1">IFERROR(__xludf.DUMMYFUNCTION("""COMPUTED_VALUE"""),1879)</f>
        <v>1879</v>
      </c>
      <c r="E172" s="8">
        <f ca="1">IFERROR(__xludf.DUMMYFUNCTION("""COMPUTED_VALUE"""),39)</f>
        <v>39</v>
      </c>
      <c r="F172" s="9">
        <f ca="1">IFERROR(__xludf.DUMMYFUNCTION("""COMPUTED_VALUE"""),6844)</f>
        <v>6844</v>
      </c>
    </row>
    <row r="173" spans="1:6" ht="13" x14ac:dyDescent="0.15">
      <c r="A173" s="7">
        <f ca="1">IFERROR(__xludf.DUMMYFUNCTION("""COMPUTED_VALUE"""),45829)</f>
        <v>45829</v>
      </c>
      <c r="B173" s="8">
        <f ca="1">IFERROR(__xludf.DUMMYFUNCTION("""COMPUTED_VALUE"""),91720)</f>
        <v>91720</v>
      </c>
      <c r="C173" s="8">
        <f ca="1">IFERROR(__xludf.DUMMYFUNCTION("""COMPUTED_VALUE"""),2344)</f>
        <v>2344</v>
      </c>
      <c r="D173" s="9">
        <f ca="1">IFERROR(__xludf.DUMMYFUNCTION("""COMPUTED_VALUE"""),2869)</f>
        <v>2869</v>
      </c>
      <c r="E173" s="8">
        <f ca="1">IFERROR(__xludf.DUMMYFUNCTION("""COMPUTED_VALUE"""),48)</f>
        <v>48</v>
      </c>
      <c r="F173" s="9">
        <f ca="1">IFERROR(__xludf.DUMMYFUNCTION("""COMPUTED_VALUE"""),7760)</f>
        <v>7760</v>
      </c>
    </row>
    <row r="174" spans="1:6" ht="13" x14ac:dyDescent="0.15">
      <c r="A174" s="7">
        <f ca="1">IFERROR(__xludf.DUMMYFUNCTION("""COMPUTED_VALUE"""),45830)</f>
        <v>45830</v>
      </c>
      <c r="B174" s="8">
        <f ca="1">IFERROR(__xludf.DUMMYFUNCTION("""COMPUTED_VALUE"""),91964)</f>
        <v>91964</v>
      </c>
      <c r="C174" s="8">
        <f ca="1">IFERROR(__xludf.DUMMYFUNCTION("""COMPUTED_VALUE"""),2823)</f>
        <v>2823</v>
      </c>
      <c r="D174" s="9">
        <f ca="1">IFERROR(__xludf.DUMMYFUNCTION("""COMPUTED_VALUE"""),3160)</f>
        <v>3160</v>
      </c>
      <c r="E174" s="8">
        <f ca="1">IFERROR(__xludf.DUMMYFUNCTION("""COMPUTED_VALUE"""),47)</f>
        <v>47</v>
      </c>
      <c r="F174" s="9">
        <f ca="1">IFERROR(__xludf.DUMMYFUNCTION("""COMPUTED_VALUE"""),6828)</f>
        <v>6828</v>
      </c>
    </row>
    <row r="175" spans="1:6" ht="13" x14ac:dyDescent="0.15">
      <c r="A175" s="7">
        <f ca="1">IFERROR(__xludf.DUMMYFUNCTION("""COMPUTED_VALUE"""),45831)</f>
        <v>45831</v>
      </c>
      <c r="B175" s="8">
        <f ca="1">IFERROR(__xludf.DUMMYFUNCTION("""COMPUTED_VALUE"""),70888)</f>
        <v>70888</v>
      </c>
      <c r="C175" s="8">
        <f ca="1">IFERROR(__xludf.DUMMYFUNCTION("""COMPUTED_VALUE"""),1202)</f>
        <v>1202</v>
      </c>
      <c r="D175" s="9">
        <f ca="1">IFERROR(__xludf.DUMMYFUNCTION("""COMPUTED_VALUE"""),1493)</f>
        <v>1493</v>
      </c>
      <c r="E175" s="8">
        <f ca="1">IFERROR(__xludf.DUMMYFUNCTION("""COMPUTED_VALUE"""),27)</f>
        <v>27</v>
      </c>
      <c r="F175" s="9">
        <f ca="1">IFERROR(__xludf.DUMMYFUNCTION("""COMPUTED_VALUE"""),4778)</f>
        <v>4778</v>
      </c>
    </row>
    <row r="176" spans="1:6" ht="13" x14ac:dyDescent="0.15">
      <c r="A176" s="7">
        <f ca="1">IFERROR(__xludf.DUMMYFUNCTION("""COMPUTED_VALUE"""),45832)</f>
        <v>45832</v>
      </c>
      <c r="B176" s="8">
        <f ca="1">IFERROR(__xludf.DUMMYFUNCTION("""COMPUTED_VALUE"""),85428)</f>
        <v>85428</v>
      </c>
      <c r="C176" s="8">
        <f ca="1">IFERROR(__xludf.DUMMYFUNCTION("""COMPUTED_VALUE"""),930)</f>
        <v>930</v>
      </c>
      <c r="D176" s="9">
        <f ca="1">IFERROR(__xludf.DUMMYFUNCTION("""COMPUTED_VALUE"""),1150)</f>
        <v>1150</v>
      </c>
      <c r="E176" s="8">
        <f ca="1">IFERROR(__xludf.DUMMYFUNCTION("""COMPUTED_VALUE"""),21)</f>
        <v>21</v>
      </c>
      <c r="F176" s="9">
        <f ca="1">IFERROR(__xludf.DUMMYFUNCTION("""COMPUTED_VALUE"""),2736)</f>
        <v>2736</v>
      </c>
    </row>
    <row r="177" spans="1:6" ht="13" x14ac:dyDescent="0.15">
      <c r="A177" s="7">
        <f ca="1">IFERROR(__xludf.DUMMYFUNCTION("""COMPUTED_VALUE"""),45833)</f>
        <v>45833</v>
      </c>
      <c r="B177" s="8">
        <f ca="1">IFERROR(__xludf.DUMMYFUNCTION("""COMPUTED_VALUE"""),36396)</f>
        <v>36396</v>
      </c>
      <c r="C177" s="8">
        <f ca="1">IFERROR(__xludf.DUMMYFUNCTION("""COMPUTED_VALUE"""),611)</f>
        <v>611</v>
      </c>
      <c r="D177" s="9">
        <f ca="1">IFERROR(__xludf.DUMMYFUNCTION("""COMPUTED_VALUE"""),477)</f>
        <v>477</v>
      </c>
      <c r="E177" s="8">
        <f ca="1">IFERROR(__xludf.DUMMYFUNCTION("""COMPUTED_VALUE"""),10)</f>
        <v>10</v>
      </c>
      <c r="F177" s="9">
        <f ca="1">IFERROR(__xludf.DUMMYFUNCTION("""COMPUTED_VALUE"""),1991)</f>
        <v>1991</v>
      </c>
    </row>
    <row r="178" spans="1:6" ht="13" x14ac:dyDescent="0.15">
      <c r="A178" s="7">
        <f ca="1">IFERROR(__xludf.DUMMYFUNCTION("""COMPUTED_VALUE"""),45834)</f>
        <v>45834</v>
      </c>
      <c r="B178" s="8">
        <f ca="1">IFERROR(__xludf.DUMMYFUNCTION("""COMPUTED_VALUE"""),78357)</f>
        <v>78357</v>
      </c>
      <c r="C178" s="8">
        <f ca="1">IFERROR(__xludf.DUMMYFUNCTION("""COMPUTED_VALUE"""),1540)</f>
        <v>1540</v>
      </c>
      <c r="D178" s="9">
        <f ca="1">IFERROR(__xludf.DUMMYFUNCTION("""COMPUTED_VALUE"""),1818)</f>
        <v>1818</v>
      </c>
      <c r="E178" s="8">
        <f ca="1">IFERROR(__xludf.DUMMYFUNCTION("""COMPUTED_VALUE"""),33)</f>
        <v>33</v>
      </c>
      <c r="F178" s="9">
        <f ca="1">IFERROR(__xludf.DUMMYFUNCTION("""COMPUTED_VALUE"""),5566)</f>
        <v>5566</v>
      </c>
    </row>
    <row r="179" spans="1:6" ht="13" x14ac:dyDescent="0.15">
      <c r="A179" s="7">
        <f ca="1">IFERROR(__xludf.DUMMYFUNCTION("""COMPUTED_VALUE"""),45835)</f>
        <v>45835</v>
      </c>
      <c r="B179" s="8">
        <f ca="1">IFERROR(__xludf.DUMMYFUNCTION("""COMPUTED_VALUE"""),39906)</f>
        <v>39906</v>
      </c>
      <c r="C179" s="8">
        <f ca="1">IFERROR(__xludf.DUMMYFUNCTION("""COMPUTED_VALUE"""),885)</f>
        <v>885</v>
      </c>
      <c r="D179" s="9">
        <f ca="1">IFERROR(__xludf.DUMMYFUNCTION("""COMPUTED_VALUE"""),1028)</f>
        <v>1028</v>
      </c>
      <c r="E179" s="8">
        <f ca="1">IFERROR(__xludf.DUMMYFUNCTION("""COMPUTED_VALUE"""),17)</f>
        <v>17</v>
      </c>
      <c r="F179" s="9">
        <f ca="1">IFERROR(__xludf.DUMMYFUNCTION("""COMPUTED_VALUE"""),2660)</f>
        <v>2660</v>
      </c>
    </row>
    <row r="180" spans="1:6" ht="13" x14ac:dyDescent="0.15">
      <c r="A180" s="7">
        <f ca="1">IFERROR(__xludf.DUMMYFUNCTION("""COMPUTED_VALUE"""),45836)</f>
        <v>45836</v>
      </c>
      <c r="B180" s="8">
        <f ca="1">IFERROR(__xludf.DUMMYFUNCTION("""COMPUTED_VALUE"""),36228)</f>
        <v>36228</v>
      </c>
      <c r="C180" s="8">
        <f ca="1">IFERROR(__xludf.DUMMYFUNCTION("""COMPUTED_VALUE"""),656)</f>
        <v>656</v>
      </c>
      <c r="D180" s="9">
        <f ca="1">IFERROR(__xludf.DUMMYFUNCTION("""COMPUTED_VALUE"""),722)</f>
        <v>722</v>
      </c>
      <c r="E180" s="8">
        <f ca="1">IFERROR(__xludf.DUMMYFUNCTION("""COMPUTED_VALUE"""),11)</f>
        <v>11</v>
      </c>
      <c r="F180" s="9">
        <f ca="1">IFERROR(__xludf.DUMMYFUNCTION("""COMPUTED_VALUE"""),1760)</f>
        <v>1760</v>
      </c>
    </row>
    <row r="181" spans="1:6" ht="13" x14ac:dyDescent="0.15">
      <c r="A181" s="7">
        <f ca="1">IFERROR(__xludf.DUMMYFUNCTION("""COMPUTED_VALUE"""),45837)</f>
        <v>45837</v>
      </c>
      <c r="B181" s="8">
        <f ca="1">IFERROR(__xludf.DUMMYFUNCTION("""COMPUTED_VALUE"""),39763)</f>
        <v>39763</v>
      </c>
      <c r="C181" s="8">
        <f ca="1">IFERROR(__xludf.DUMMYFUNCTION("""COMPUTED_VALUE"""),491)</f>
        <v>491</v>
      </c>
      <c r="D181" s="9">
        <f ca="1">IFERROR(__xludf.DUMMYFUNCTION("""COMPUTED_VALUE"""),423)</f>
        <v>423</v>
      </c>
      <c r="E181" s="8">
        <f ca="1">IFERROR(__xludf.DUMMYFUNCTION("""COMPUTED_VALUE"""),12)</f>
        <v>12</v>
      </c>
      <c r="F181" s="9">
        <f ca="1">IFERROR(__xludf.DUMMYFUNCTION("""COMPUTED_VALUE"""),1614)</f>
        <v>1614</v>
      </c>
    </row>
    <row r="182" spans="1:6" ht="13" x14ac:dyDescent="0.15">
      <c r="A182" s="7">
        <f ca="1">IFERROR(__xludf.DUMMYFUNCTION("""COMPUTED_VALUE"""),45838)</f>
        <v>45838</v>
      </c>
      <c r="B182" s="8">
        <f ca="1">IFERROR(__xludf.DUMMYFUNCTION("""COMPUTED_VALUE"""),56341)</f>
        <v>56341</v>
      </c>
      <c r="C182" s="8">
        <f ca="1">IFERROR(__xludf.DUMMYFUNCTION("""COMPUTED_VALUE"""),1160)</f>
        <v>1160</v>
      </c>
      <c r="D182" s="9">
        <f ca="1">IFERROR(__xludf.DUMMYFUNCTION("""COMPUTED_VALUE"""),1524)</f>
        <v>1524</v>
      </c>
      <c r="E182" s="8">
        <f ca="1">IFERROR(__xludf.DUMMYFUNCTION("""COMPUTED_VALUE"""),22)</f>
        <v>22</v>
      </c>
      <c r="F182" s="9">
        <f ca="1">IFERROR(__xludf.DUMMYFUNCTION("""COMPUTED_VALUE"""),2871)</f>
        <v>2871</v>
      </c>
    </row>
    <row r="183" spans="1:6" ht="13" x14ac:dyDescent="0.15">
      <c r="A183" s="7">
        <f ca="1">IFERROR(__xludf.DUMMYFUNCTION("""COMPUTED_VALUE"""),45839)</f>
        <v>45839</v>
      </c>
      <c r="B183" s="8">
        <f ca="1">IFERROR(__xludf.DUMMYFUNCTION("""COMPUTED_VALUE"""),102174)</f>
        <v>102174</v>
      </c>
      <c r="C183" s="8">
        <f ca="1">IFERROR(__xludf.DUMMYFUNCTION("""COMPUTED_VALUE"""),2796)</f>
        <v>2796</v>
      </c>
      <c r="D183" s="9">
        <f ca="1">IFERROR(__xludf.DUMMYFUNCTION("""COMPUTED_VALUE"""),2695)</f>
        <v>2695</v>
      </c>
      <c r="E183" s="8">
        <f ca="1">IFERROR(__xludf.DUMMYFUNCTION("""COMPUTED_VALUE"""),61)</f>
        <v>61</v>
      </c>
      <c r="F183" s="9">
        <f ca="1">IFERROR(__xludf.DUMMYFUNCTION("""COMPUTED_VALUE"""),11073)</f>
        <v>11073</v>
      </c>
    </row>
    <row r="184" spans="1:6" ht="13" x14ac:dyDescent="0.15">
      <c r="A184" s="7">
        <f ca="1">IFERROR(__xludf.DUMMYFUNCTION("""COMPUTED_VALUE"""),45840)</f>
        <v>45840</v>
      </c>
      <c r="B184" s="8">
        <f ca="1">IFERROR(__xludf.DUMMYFUNCTION("""COMPUTED_VALUE"""),37030)</f>
        <v>37030</v>
      </c>
      <c r="C184" s="8">
        <f ca="1">IFERROR(__xludf.DUMMYFUNCTION("""COMPUTED_VALUE"""),905)</f>
        <v>905</v>
      </c>
      <c r="D184" s="9">
        <f ca="1">IFERROR(__xludf.DUMMYFUNCTION("""COMPUTED_VALUE"""),540)</f>
        <v>540</v>
      </c>
      <c r="E184" s="8">
        <f ca="1">IFERROR(__xludf.DUMMYFUNCTION("""COMPUTED_VALUE"""),18)</f>
        <v>18</v>
      </c>
      <c r="F184" s="9">
        <f ca="1">IFERROR(__xludf.DUMMYFUNCTION("""COMPUTED_VALUE"""),3241)</f>
        <v>3241</v>
      </c>
    </row>
    <row r="185" spans="1:6" ht="13" x14ac:dyDescent="0.15">
      <c r="A185" s="7">
        <f ca="1">IFERROR(__xludf.DUMMYFUNCTION("""COMPUTED_VALUE"""),45841)</f>
        <v>45841</v>
      </c>
      <c r="B185" s="8">
        <f ca="1">IFERROR(__xludf.DUMMYFUNCTION("""COMPUTED_VALUE"""),73230)</f>
        <v>73230</v>
      </c>
      <c r="C185" s="8">
        <f ca="1">IFERROR(__xludf.DUMMYFUNCTION("""COMPUTED_VALUE"""),1588)</f>
        <v>1588</v>
      </c>
      <c r="D185" s="9">
        <f ca="1">IFERROR(__xludf.DUMMYFUNCTION("""COMPUTED_VALUE"""),1728)</f>
        <v>1728</v>
      </c>
      <c r="E185" s="8">
        <f ca="1">IFERROR(__xludf.DUMMYFUNCTION("""COMPUTED_VALUE"""),20)</f>
        <v>20</v>
      </c>
      <c r="F185" s="9">
        <f ca="1">IFERROR(__xludf.DUMMYFUNCTION("""COMPUTED_VALUE"""),3058)</f>
        <v>3058</v>
      </c>
    </row>
    <row r="186" spans="1:6" ht="13" x14ac:dyDescent="0.15">
      <c r="A186" s="7">
        <f ca="1">IFERROR(__xludf.DUMMYFUNCTION("""COMPUTED_VALUE"""),45842)</f>
        <v>45842</v>
      </c>
      <c r="B186" s="8">
        <f ca="1">IFERROR(__xludf.DUMMYFUNCTION("""COMPUTED_VALUE"""),84455)</f>
        <v>84455</v>
      </c>
      <c r="C186" s="8">
        <f ca="1">IFERROR(__xludf.DUMMYFUNCTION("""COMPUTED_VALUE"""),1691)</f>
        <v>1691</v>
      </c>
      <c r="D186" s="9">
        <f ca="1">IFERROR(__xludf.DUMMYFUNCTION("""COMPUTED_VALUE"""),1068)</f>
        <v>1068</v>
      </c>
      <c r="E186" s="8">
        <f ca="1">IFERROR(__xludf.DUMMYFUNCTION("""COMPUTED_VALUE"""),21)</f>
        <v>21</v>
      </c>
      <c r="F186" s="9">
        <f ca="1">IFERROR(__xludf.DUMMYFUNCTION("""COMPUTED_VALUE"""),4326)</f>
        <v>4326</v>
      </c>
    </row>
    <row r="187" spans="1:6" ht="13" x14ac:dyDescent="0.15">
      <c r="A187" s="7">
        <f ca="1">IFERROR(__xludf.DUMMYFUNCTION("""COMPUTED_VALUE"""),45843)</f>
        <v>45843</v>
      </c>
      <c r="B187" s="8">
        <f ca="1">IFERROR(__xludf.DUMMYFUNCTION("""COMPUTED_VALUE"""),92695)</f>
        <v>92695</v>
      </c>
      <c r="C187" s="8">
        <f ca="1">IFERROR(__xludf.DUMMYFUNCTION("""COMPUTED_VALUE"""),3065)</f>
        <v>3065</v>
      </c>
      <c r="D187" s="9">
        <f ca="1">IFERROR(__xludf.DUMMYFUNCTION("""COMPUTED_VALUE"""),2735)</f>
        <v>2735</v>
      </c>
      <c r="E187" s="8">
        <f ca="1">IFERROR(__xludf.DUMMYFUNCTION("""COMPUTED_VALUE"""),42)</f>
        <v>42</v>
      </c>
      <c r="F187" s="9">
        <f ca="1">IFERROR(__xludf.DUMMYFUNCTION("""COMPUTED_VALUE"""),4995)</f>
        <v>4995</v>
      </c>
    </row>
    <row r="188" spans="1:6" ht="13" x14ac:dyDescent="0.15">
      <c r="A188" s="7">
        <f ca="1">IFERROR(__xludf.DUMMYFUNCTION("""COMPUTED_VALUE"""),45844)</f>
        <v>45844</v>
      </c>
      <c r="B188" s="8">
        <f ca="1">IFERROR(__xludf.DUMMYFUNCTION("""COMPUTED_VALUE"""),32267)</f>
        <v>32267</v>
      </c>
      <c r="C188" s="8">
        <f ca="1">IFERROR(__xludf.DUMMYFUNCTION("""COMPUTED_VALUE"""),687)</f>
        <v>687</v>
      </c>
      <c r="D188" s="9">
        <f ca="1">IFERROR(__xludf.DUMMYFUNCTION("""COMPUTED_VALUE"""),577)</f>
        <v>577</v>
      </c>
      <c r="E188" s="8">
        <f ca="1">IFERROR(__xludf.DUMMYFUNCTION("""COMPUTED_VALUE"""),13)</f>
        <v>13</v>
      </c>
      <c r="F188" s="9">
        <f ca="1">IFERROR(__xludf.DUMMYFUNCTION("""COMPUTED_VALUE"""),1117)</f>
        <v>1117</v>
      </c>
    </row>
    <row r="189" spans="1:6" ht="13" x14ac:dyDescent="0.15">
      <c r="A189" s="7">
        <f ca="1">IFERROR(__xludf.DUMMYFUNCTION("""COMPUTED_VALUE"""),45845)</f>
        <v>45845</v>
      </c>
      <c r="B189" s="8">
        <f ca="1">IFERROR(__xludf.DUMMYFUNCTION("""COMPUTED_VALUE"""),49360)</f>
        <v>49360</v>
      </c>
      <c r="C189" s="8">
        <f ca="1">IFERROR(__xludf.DUMMYFUNCTION("""COMPUTED_VALUE"""),1379)</f>
        <v>1379</v>
      </c>
      <c r="D189" s="9">
        <f ca="1">IFERROR(__xludf.DUMMYFUNCTION("""COMPUTED_VALUE"""),1306)</f>
        <v>1306</v>
      </c>
      <c r="E189" s="8">
        <f ca="1">IFERROR(__xludf.DUMMYFUNCTION("""COMPUTED_VALUE"""),33)</f>
        <v>33</v>
      </c>
      <c r="F189" s="9">
        <f ca="1">IFERROR(__xludf.DUMMYFUNCTION("""COMPUTED_VALUE"""),5006)</f>
        <v>5006</v>
      </c>
    </row>
    <row r="190" spans="1:6" ht="13" x14ac:dyDescent="0.15">
      <c r="A190" s="7">
        <f ca="1">IFERROR(__xludf.DUMMYFUNCTION("""COMPUTED_VALUE"""),45846)</f>
        <v>45846</v>
      </c>
      <c r="B190" s="8">
        <f ca="1">IFERROR(__xludf.DUMMYFUNCTION("""COMPUTED_VALUE"""),89246)</f>
        <v>89246</v>
      </c>
      <c r="C190" s="8">
        <f ca="1">IFERROR(__xludf.DUMMYFUNCTION("""COMPUTED_VALUE"""),1769)</f>
        <v>1769</v>
      </c>
      <c r="D190" s="9">
        <f ca="1">IFERROR(__xludf.DUMMYFUNCTION("""COMPUTED_VALUE"""),2301)</f>
        <v>2301</v>
      </c>
      <c r="E190" s="8">
        <f ca="1">IFERROR(__xludf.DUMMYFUNCTION("""COMPUTED_VALUE"""),38)</f>
        <v>38</v>
      </c>
      <c r="F190" s="9">
        <f ca="1">IFERROR(__xludf.DUMMYFUNCTION("""COMPUTED_VALUE"""),4229)</f>
        <v>4229</v>
      </c>
    </row>
    <row r="191" spans="1:6" ht="13" x14ac:dyDescent="0.15">
      <c r="A191" s="7">
        <f ca="1">IFERROR(__xludf.DUMMYFUNCTION("""COMPUTED_VALUE"""),45847)</f>
        <v>45847</v>
      </c>
      <c r="B191" s="8">
        <f ca="1">IFERROR(__xludf.DUMMYFUNCTION("""COMPUTED_VALUE"""),65614)</f>
        <v>65614</v>
      </c>
      <c r="C191" s="8">
        <f ca="1">IFERROR(__xludf.DUMMYFUNCTION("""COMPUTED_VALUE"""),1094)</f>
        <v>1094</v>
      </c>
      <c r="D191" s="9">
        <f ca="1">IFERROR(__xludf.DUMMYFUNCTION("""COMPUTED_VALUE"""),1319)</f>
        <v>1319</v>
      </c>
      <c r="E191" s="8">
        <f ca="1">IFERROR(__xludf.DUMMYFUNCTION("""COMPUTED_VALUE"""),22)</f>
        <v>22</v>
      </c>
      <c r="F191" s="9">
        <f ca="1">IFERROR(__xludf.DUMMYFUNCTION("""COMPUTED_VALUE"""),2537)</f>
        <v>2537</v>
      </c>
    </row>
    <row r="192" spans="1:6" ht="13" x14ac:dyDescent="0.15">
      <c r="A192" s="7">
        <f ca="1">IFERROR(__xludf.DUMMYFUNCTION("""COMPUTED_VALUE"""),45848)</f>
        <v>45848</v>
      </c>
      <c r="B192" s="8">
        <f ca="1">IFERROR(__xludf.DUMMYFUNCTION("""COMPUTED_VALUE"""),66173)</f>
        <v>66173</v>
      </c>
      <c r="C192" s="8">
        <f ca="1">IFERROR(__xludf.DUMMYFUNCTION("""COMPUTED_VALUE"""),2013)</f>
        <v>2013</v>
      </c>
      <c r="D192" s="9">
        <f ca="1">IFERROR(__xludf.DUMMYFUNCTION("""COMPUTED_VALUE"""),1615)</f>
        <v>1615</v>
      </c>
      <c r="E192" s="8">
        <f ca="1">IFERROR(__xludf.DUMMYFUNCTION("""COMPUTED_VALUE"""),27)</f>
        <v>27</v>
      </c>
      <c r="F192" s="9">
        <f ca="1">IFERROR(__xludf.DUMMYFUNCTION("""COMPUTED_VALUE"""),3401)</f>
        <v>3401</v>
      </c>
    </row>
    <row r="193" spans="1:6" ht="13" x14ac:dyDescent="0.15">
      <c r="A193" s="7">
        <f ca="1">IFERROR(__xludf.DUMMYFUNCTION("""COMPUTED_VALUE"""),45849)</f>
        <v>45849</v>
      </c>
      <c r="B193" s="8">
        <f ca="1">IFERROR(__xludf.DUMMYFUNCTION("""COMPUTED_VALUE"""),118239)</f>
        <v>118239</v>
      </c>
      <c r="C193" s="8">
        <f ca="1">IFERROR(__xludf.DUMMYFUNCTION("""COMPUTED_VALUE"""),1749)</f>
        <v>1749</v>
      </c>
      <c r="D193" s="9">
        <f ca="1">IFERROR(__xludf.DUMMYFUNCTION("""COMPUTED_VALUE"""),1258)</f>
        <v>1258</v>
      </c>
      <c r="E193" s="8">
        <f ca="1">IFERROR(__xludf.DUMMYFUNCTION("""COMPUTED_VALUE"""),26)</f>
        <v>26</v>
      </c>
      <c r="F193" s="9">
        <f ca="1">IFERROR(__xludf.DUMMYFUNCTION("""COMPUTED_VALUE"""),4492)</f>
        <v>4492</v>
      </c>
    </row>
    <row r="194" spans="1:6" ht="13" x14ac:dyDescent="0.15">
      <c r="A194" s="7">
        <f ca="1">IFERROR(__xludf.DUMMYFUNCTION("""COMPUTED_VALUE"""),45850)</f>
        <v>45850</v>
      </c>
      <c r="B194" s="8">
        <f ca="1">IFERROR(__xludf.DUMMYFUNCTION("""COMPUTED_VALUE"""),139914)</f>
        <v>139914</v>
      </c>
      <c r="C194" s="8">
        <f ca="1">IFERROR(__xludf.DUMMYFUNCTION("""COMPUTED_VALUE"""),4706)</f>
        <v>4706</v>
      </c>
      <c r="D194" s="9">
        <f ca="1">IFERROR(__xludf.DUMMYFUNCTION("""COMPUTED_VALUE"""),3189)</f>
        <v>3189</v>
      </c>
      <c r="E194" s="8">
        <f ca="1">IFERROR(__xludf.DUMMYFUNCTION("""COMPUTED_VALUE"""),94)</f>
        <v>94</v>
      </c>
      <c r="F194" s="9">
        <f ca="1">IFERROR(__xludf.DUMMYFUNCTION("""COMPUTED_VALUE"""),15597)</f>
        <v>15597</v>
      </c>
    </row>
    <row r="195" spans="1:6" ht="13" x14ac:dyDescent="0.15">
      <c r="A195" s="7">
        <f ca="1">IFERROR(__xludf.DUMMYFUNCTION("""COMPUTED_VALUE"""),45851)</f>
        <v>45851</v>
      </c>
      <c r="B195" s="8">
        <f ca="1">IFERROR(__xludf.DUMMYFUNCTION("""COMPUTED_VALUE"""),62911)</f>
        <v>62911</v>
      </c>
      <c r="C195" s="8">
        <f ca="1">IFERROR(__xludf.DUMMYFUNCTION("""COMPUTED_VALUE"""),1666)</f>
        <v>1666</v>
      </c>
      <c r="D195" s="9">
        <f ca="1">IFERROR(__xludf.DUMMYFUNCTION("""COMPUTED_VALUE"""),1635)</f>
        <v>1635</v>
      </c>
      <c r="E195" s="8">
        <f ca="1">IFERROR(__xludf.DUMMYFUNCTION("""COMPUTED_VALUE"""),31)</f>
        <v>31</v>
      </c>
      <c r="F195" s="9">
        <f ca="1">IFERROR(__xludf.DUMMYFUNCTION("""COMPUTED_VALUE"""),7171)</f>
        <v>7171</v>
      </c>
    </row>
    <row r="196" spans="1:6" ht="13" x14ac:dyDescent="0.15">
      <c r="A196" s="7">
        <f ca="1">IFERROR(__xludf.DUMMYFUNCTION("""COMPUTED_VALUE"""),45852)</f>
        <v>45852</v>
      </c>
      <c r="B196" s="8">
        <f ca="1">IFERROR(__xludf.DUMMYFUNCTION("""COMPUTED_VALUE"""),84932)</f>
        <v>84932</v>
      </c>
      <c r="C196" s="8">
        <f ca="1">IFERROR(__xludf.DUMMYFUNCTION("""COMPUTED_VALUE"""),1185)</f>
        <v>1185</v>
      </c>
      <c r="D196" s="9">
        <f ca="1">IFERROR(__xludf.DUMMYFUNCTION("""COMPUTED_VALUE"""),975)</f>
        <v>975</v>
      </c>
      <c r="E196" s="8">
        <f ca="1">IFERROR(__xludf.DUMMYFUNCTION("""COMPUTED_VALUE"""),22)</f>
        <v>22</v>
      </c>
      <c r="F196" s="9">
        <f ca="1">IFERROR(__xludf.DUMMYFUNCTION("""COMPUTED_VALUE"""),3680)</f>
        <v>3680</v>
      </c>
    </row>
    <row r="197" spans="1:6" ht="13" x14ac:dyDescent="0.15">
      <c r="A197" s="7">
        <f ca="1">IFERROR(__xludf.DUMMYFUNCTION("""COMPUTED_VALUE"""),45853)</f>
        <v>45853</v>
      </c>
      <c r="B197" s="8">
        <f ca="1">IFERROR(__xludf.DUMMYFUNCTION("""COMPUTED_VALUE"""),93609)</f>
        <v>93609</v>
      </c>
      <c r="C197" s="8">
        <f ca="1">IFERROR(__xludf.DUMMYFUNCTION("""COMPUTED_VALUE"""),1602)</f>
        <v>1602</v>
      </c>
      <c r="D197" s="9">
        <f ca="1">IFERROR(__xludf.DUMMYFUNCTION("""COMPUTED_VALUE"""),1872)</f>
        <v>1872</v>
      </c>
      <c r="E197" s="8">
        <f ca="1">IFERROR(__xludf.DUMMYFUNCTION("""COMPUTED_VALUE"""),35)</f>
        <v>35</v>
      </c>
      <c r="F197" s="9">
        <f ca="1">IFERROR(__xludf.DUMMYFUNCTION("""COMPUTED_VALUE"""),5424)</f>
        <v>5424</v>
      </c>
    </row>
    <row r="198" spans="1:6" ht="13" x14ac:dyDescent="0.15">
      <c r="A198" s="7">
        <f ca="1">IFERROR(__xludf.DUMMYFUNCTION("""COMPUTED_VALUE"""),45854)</f>
        <v>45854</v>
      </c>
      <c r="B198" s="8">
        <f ca="1">IFERROR(__xludf.DUMMYFUNCTION("""COMPUTED_VALUE"""),124150)</f>
        <v>124150</v>
      </c>
      <c r="C198" s="8">
        <f ca="1">IFERROR(__xludf.DUMMYFUNCTION("""COMPUTED_VALUE"""),3419)</f>
        <v>3419</v>
      </c>
      <c r="D198" s="9">
        <f ca="1">IFERROR(__xludf.DUMMYFUNCTION("""COMPUTED_VALUE"""),2803)</f>
        <v>2803</v>
      </c>
      <c r="E198" s="8">
        <f ca="1">IFERROR(__xludf.DUMMYFUNCTION("""COMPUTED_VALUE"""),76)</f>
        <v>76</v>
      </c>
      <c r="F198" s="9">
        <f ca="1">IFERROR(__xludf.DUMMYFUNCTION("""COMPUTED_VALUE"""),11638)</f>
        <v>11638</v>
      </c>
    </row>
    <row r="199" spans="1:6" ht="13" x14ac:dyDescent="0.15">
      <c r="A199" s="7">
        <f ca="1">IFERROR(__xludf.DUMMYFUNCTION("""COMPUTED_VALUE"""),45855)</f>
        <v>45855</v>
      </c>
      <c r="B199" s="8">
        <f ca="1">IFERROR(__xludf.DUMMYFUNCTION("""COMPUTED_VALUE"""),74860)</f>
        <v>74860</v>
      </c>
      <c r="C199" s="8">
        <f ca="1">IFERROR(__xludf.DUMMYFUNCTION("""COMPUTED_VALUE"""),1800)</f>
        <v>1800</v>
      </c>
      <c r="D199" s="9">
        <f ca="1">IFERROR(__xludf.DUMMYFUNCTION("""COMPUTED_VALUE"""),1707)</f>
        <v>1707</v>
      </c>
      <c r="E199" s="8">
        <f ca="1">IFERROR(__xludf.DUMMYFUNCTION("""COMPUTED_VALUE"""),30)</f>
        <v>30</v>
      </c>
      <c r="F199" s="9">
        <f ca="1">IFERROR(__xludf.DUMMYFUNCTION("""COMPUTED_VALUE"""),5678)</f>
        <v>5678</v>
      </c>
    </row>
    <row r="200" spans="1:6" ht="13" x14ac:dyDescent="0.15">
      <c r="A200" s="7">
        <f ca="1">IFERROR(__xludf.DUMMYFUNCTION("""COMPUTED_VALUE"""),45856)</f>
        <v>45856</v>
      </c>
      <c r="B200" s="8">
        <f ca="1">IFERROR(__xludf.DUMMYFUNCTION("""COMPUTED_VALUE"""),96309)</f>
        <v>96309</v>
      </c>
      <c r="C200" s="8">
        <f ca="1">IFERROR(__xludf.DUMMYFUNCTION("""COMPUTED_VALUE"""),2515)</f>
        <v>2515</v>
      </c>
      <c r="D200" s="9">
        <f ca="1">IFERROR(__xludf.DUMMYFUNCTION("""COMPUTED_VALUE"""),2606)</f>
        <v>2606</v>
      </c>
      <c r="E200" s="8">
        <f ca="1">IFERROR(__xludf.DUMMYFUNCTION("""COMPUTED_VALUE"""),30)</f>
        <v>30</v>
      </c>
      <c r="F200" s="9">
        <f ca="1">IFERROR(__xludf.DUMMYFUNCTION("""COMPUTED_VALUE"""),3485)</f>
        <v>3485</v>
      </c>
    </row>
    <row r="201" spans="1:6" ht="13" x14ac:dyDescent="0.15">
      <c r="A201" s="7">
        <f ca="1">IFERROR(__xludf.DUMMYFUNCTION("""COMPUTED_VALUE"""),45857)</f>
        <v>45857</v>
      </c>
      <c r="B201" s="8">
        <f ca="1">IFERROR(__xludf.DUMMYFUNCTION("""COMPUTED_VALUE"""),48436)</f>
        <v>48436</v>
      </c>
      <c r="C201" s="8">
        <f ca="1">IFERROR(__xludf.DUMMYFUNCTION("""COMPUTED_VALUE"""),780)</f>
        <v>780</v>
      </c>
      <c r="D201" s="9">
        <f ca="1">IFERROR(__xludf.DUMMYFUNCTION("""COMPUTED_VALUE"""),460)</f>
        <v>460</v>
      </c>
      <c r="E201" s="8">
        <f ca="1">IFERROR(__xludf.DUMMYFUNCTION("""COMPUTED_VALUE"""),15)</f>
        <v>15</v>
      </c>
      <c r="F201" s="9">
        <f ca="1">IFERROR(__xludf.DUMMYFUNCTION("""COMPUTED_VALUE"""),2100)</f>
        <v>2100</v>
      </c>
    </row>
    <row r="202" spans="1:6" ht="13" x14ac:dyDescent="0.15">
      <c r="A202" s="7">
        <f ca="1">IFERROR(__xludf.DUMMYFUNCTION("""COMPUTED_VALUE"""),45858)</f>
        <v>45858</v>
      </c>
      <c r="B202" s="8">
        <f ca="1">IFERROR(__xludf.DUMMYFUNCTION("""COMPUTED_VALUE"""),53788)</f>
        <v>53788</v>
      </c>
      <c r="C202" s="8">
        <f ca="1">IFERROR(__xludf.DUMMYFUNCTION("""COMPUTED_VALUE"""),1405)</f>
        <v>1405</v>
      </c>
      <c r="D202" s="9">
        <f ca="1">IFERROR(__xludf.DUMMYFUNCTION("""COMPUTED_VALUE"""),1194)</f>
        <v>1194</v>
      </c>
      <c r="E202" s="8">
        <f ca="1">IFERROR(__xludf.DUMMYFUNCTION("""COMPUTED_VALUE"""),21)</f>
        <v>21</v>
      </c>
      <c r="F202" s="9">
        <f ca="1">IFERROR(__xludf.DUMMYFUNCTION("""COMPUTED_VALUE"""),3537)</f>
        <v>3537</v>
      </c>
    </row>
    <row r="203" spans="1:6" ht="13" x14ac:dyDescent="0.15">
      <c r="A203" s="7">
        <f ca="1">IFERROR(__xludf.DUMMYFUNCTION("""COMPUTED_VALUE"""),45859)</f>
        <v>45859</v>
      </c>
      <c r="B203" s="8">
        <f ca="1">IFERROR(__xludf.DUMMYFUNCTION("""COMPUTED_VALUE"""),44345)</f>
        <v>44345</v>
      </c>
      <c r="C203" s="8">
        <f ca="1">IFERROR(__xludf.DUMMYFUNCTION("""COMPUTED_VALUE"""),439)</f>
        <v>439</v>
      </c>
      <c r="D203" s="9">
        <f ca="1">IFERROR(__xludf.DUMMYFUNCTION("""COMPUTED_VALUE"""),314)</f>
        <v>314</v>
      </c>
      <c r="E203" s="8">
        <f ca="1">IFERROR(__xludf.DUMMYFUNCTION("""COMPUTED_VALUE"""),9)</f>
        <v>9</v>
      </c>
      <c r="F203" s="9">
        <f ca="1">IFERROR(__xludf.DUMMYFUNCTION("""COMPUTED_VALUE"""),1294)</f>
        <v>1294</v>
      </c>
    </row>
    <row r="204" spans="1:6" ht="13" x14ac:dyDescent="0.15">
      <c r="A204" s="7">
        <f ca="1">IFERROR(__xludf.DUMMYFUNCTION("""COMPUTED_VALUE"""),45860)</f>
        <v>45860</v>
      </c>
      <c r="B204" s="8">
        <f ca="1">IFERROR(__xludf.DUMMYFUNCTION("""COMPUTED_VALUE"""),42269)</f>
        <v>42269</v>
      </c>
      <c r="C204" s="8">
        <f ca="1">IFERROR(__xludf.DUMMYFUNCTION("""COMPUTED_VALUE"""),592)</f>
        <v>592</v>
      </c>
      <c r="D204" s="9">
        <f ca="1">IFERROR(__xludf.DUMMYFUNCTION("""COMPUTED_VALUE"""),628)</f>
        <v>628</v>
      </c>
      <c r="E204" s="8">
        <f ca="1">IFERROR(__xludf.DUMMYFUNCTION("""COMPUTED_VALUE"""),7)</f>
        <v>7</v>
      </c>
      <c r="F204" s="9">
        <f ca="1">IFERROR(__xludf.DUMMYFUNCTION("""COMPUTED_VALUE"""),908)</f>
        <v>908</v>
      </c>
    </row>
    <row r="205" spans="1:6" ht="13" x14ac:dyDescent="0.15">
      <c r="A205" s="7">
        <f ca="1">IFERROR(__xludf.DUMMYFUNCTION("""COMPUTED_VALUE"""),45861)</f>
        <v>45861</v>
      </c>
      <c r="B205" s="8">
        <f ca="1">IFERROR(__xludf.DUMMYFUNCTION("""COMPUTED_VALUE"""),36574)</f>
        <v>36574</v>
      </c>
      <c r="C205" s="8">
        <f ca="1">IFERROR(__xludf.DUMMYFUNCTION("""COMPUTED_VALUE"""),612)</f>
        <v>612</v>
      </c>
      <c r="D205" s="9">
        <f ca="1">IFERROR(__xludf.DUMMYFUNCTION("""COMPUTED_VALUE"""),607)</f>
        <v>607</v>
      </c>
      <c r="E205" s="8">
        <f ca="1">IFERROR(__xludf.DUMMYFUNCTION("""COMPUTED_VALUE"""),10)</f>
        <v>10</v>
      </c>
      <c r="F205" s="9">
        <f ca="1">IFERROR(__xludf.DUMMYFUNCTION("""COMPUTED_VALUE"""),2569)</f>
        <v>2569</v>
      </c>
    </row>
    <row r="206" spans="1:6" ht="13" x14ac:dyDescent="0.15">
      <c r="A206" s="7">
        <f ca="1">IFERROR(__xludf.DUMMYFUNCTION("""COMPUTED_VALUE"""),45862)</f>
        <v>45862</v>
      </c>
      <c r="B206" s="8">
        <f ca="1">IFERROR(__xludf.DUMMYFUNCTION("""COMPUTED_VALUE"""),126874)</f>
        <v>126874</v>
      </c>
      <c r="C206" s="8">
        <f ca="1">IFERROR(__xludf.DUMMYFUNCTION("""COMPUTED_VALUE"""),2860)</f>
        <v>2860</v>
      </c>
      <c r="D206" s="9">
        <f ca="1">IFERROR(__xludf.DUMMYFUNCTION("""COMPUTED_VALUE"""),1895)</f>
        <v>1895</v>
      </c>
      <c r="E206" s="8">
        <f ca="1">IFERROR(__xludf.DUMMYFUNCTION("""COMPUTED_VALUE"""),49)</f>
        <v>49</v>
      </c>
      <c r="F206" s="9">
        <f ca="1">IFERROR(__xludf.DUMMYFUNCTION("""COMPUTED_VALUE"""),6114)</f>
        <v>6114</v>
      </c>
    </row>
    <row r="207" spans="1:6" ht="13" x14ac:dyDescent="0.15">
      <c r="A207" s="7">
        <f ca="1">IFERROR(__xludf.DUMMYFUNCTION("""COMPUTED_VALUE"""),45863)</f>
        <v>45863</v>
      </c>
      <c r="B207" s="8">
        <f ca="1">IFERROR(__xludf.DUMMYFUNCTION("""COMPUTED_VALUE"""),56370)</f>
        <v>56370</v>
      </c>
      <c r="C207" s="8">
        <f ca="1">IFERROR(__xludf.DUMMYFUNCTION("""COMPUTED_VALUE"""),625)</f>
        <v>625</v>
      </c>
      <c r="D207" s="9">
        <f ca="1">IFERROR(__xludf.DUMMYFUNCTION("""COMPUTED_VALUE"""),436)</f>
        <v>436</v>
      </c>
      <c r="E207" s="8">
        <f ca="1">IFERROR(__xludf.DUMMYFUNCTION("""COMPUTED_VALUE"""),11)</f>
        <v>11</v>
      </c>
      <c r="F207" s="9">
        <f ca="1">IFERROR(__xludf.DUMMYFUNCTION("""COMPUTED_VALUE"""),2595)</f>
        <v>2595</v>
      </c>
    </row>
    <row r="208" spans="1:6" ht="13" x14ac:dyDescent="0.15">
      <c r="A208" s="7">
        <f ca="1">IFERROR(__xludf.DUMMYFUNCTION("""COMPUTED_VALUE"""),45864)</f>
        <v>45864</v>
      </c>
      <c r="B208" s="8">
        <f ca="1">IFERROR(__xludf.DUMMYFUNCTION("""COMPUTED_VALUE"""),35524)</f>
        <v>35524</v>
      </c>
      <c r="C208" s="8">
        <f ca="1">IFERROR(__xludf.DUMMYFUNCTION("""COMPUTED_VALUE"""),543)</f>
        <v>543</v>
      </c>
      <c r="D208" s="9">
        <f ca="1">IFERROR(__xludf.DUMMYFUNCTION("""COMPUTED_VALUE"""),466)</f>
        <v>466</v>
      </c>
      <c r="E208" s="8">
        <f ca="1">IFERROR(__xludf.DUMMYFUNCTION("""COMPUTED_VALUE"""),13)</f>
        <v>13</v>
      </c>
      <c r="F208" s="9">
        <f ca="1">IFERROR(__xludf.DUMMYFUNCTION("""COMPUTED_VALUE"""),1746)</f>
        <v>1746</v>
      </c>
    </row>
    <row r="209" spans="1:6" ht="13" x14ac:dyDescent="0.15">
      <c r="A209" s="7">
        <f ca="1">IFERROR(__xludf.DUMMYFUNCTION("""COMPUTED_VALUE"""),45865)</f>
        <v>45865</v>
      </c>
      <c r="B209" s="8">
        <f ca="1">IFERROR(__xludf.DUMMYFUNCTION("""COMPUTED_VALUE"""),85624)</f>
        <v>85624</v>
      </c>
      <c r="C209" s="8">
        <f ca="1">IFERROR(__xludf.DUMMYFUNCTION("""COMPUTED_VALUE"""),2615)</f>
        <v>2615</v>
      </c>
      <c r="D209" s="9">
        <f ca="1">IFERROR(__xludf.DUMMYFUNCTION("""COMPUTED_VALUE"""),2503)</f>
        <v>2503</v>
      </c>
      <c r="E209" s="8">
        <f ca="1">IFERROR(__xludf.DUMMYFUNCTION("""COMPUTED_VALUE"""),28)</f>
        <v>28</v>
      </c>
      <c r="F209" s="9">
        <f ca="1">IFERROR(__xludf.DUMMYFUNCTION("""COMPUTED_VALUE"""),4628)</f>
        <v>4628</v>
      </c>
    </row>
    <row r="210" spans="1:6" ht="13" x14ac:dyDescent="0.15">
      <c r="A210" s="7">
        <f ca="1">IFERROR(__xludf.DUMMYFUNCTION("""COMPUTED_VALUE"""),45866)</f>
        <v>45866</v>
      </c>
      <c r="B210" s="8">
        <f ca="1">IFERROR(__xludf.DUMMYFUNCTION("""COMPUTED_VALUE"""),114146)</f>
        <v>114146</v>
      </c>
      <c r="C210" s="8">
        <f ca="1">IFERROR(__xludf.DUMMYFUNCTION("""COMPUTED_VALUE"""),1953)</f>
        <v>1953</v>
      </c>
      <c r="D210" s="9">
        <f ca="1">IFERROR(__xludf.DUMMYFUNCTION("""COMPUTED_VALUE"""),1745)</f>
        <v>1745</v>
      </c>
      <c r="E210" s="8">
        <f ca="1">IFERROR(__xludf.DUMMYFUNCTION("""COMPUTED_VALUE"""),35)</f>
        <v>35</v>
      </c>
      <c r="F210" s="9">
        <f ca="1">IFERROR(__xludf.DUMMYFUNCTION("""COMPUTED_VALUE"""),3609)</f>
        <v>3609</v>
      </c>
    </row>
    <row r="211" spans="1:6" ht="13" x14ac:dyDescent="0.15">
      <c r="A211" s="7">
        <f ca="1">IFERROR(__xludf.DUMMYFUNCTION("""COMPUTED_VALUE"""),45867)</f>
        <v>45867</v>
      </c>
      <c r="B211" s="8">
        <f ca="1">IFERROR(__xludf.DUMMYFUNCTION("""COMPUTED_VALUE"""),60645)</f>
        <v>60645</v>
      </c>
      <c r="C211" s="8">
        <f ca="1">IFERROR(__xludf.DUMMYFUNCTION("""COMPUTED_VALUE"""),1643)</f>
        <v>1643</v>
      </c>
      <c r="D211" s="9">
        <f ca="1">IFERROR(__xludf.DUMMYFUNCTION("""COMPUTED_VALUE"""),1032)</f>
        <v>1032</v>
      </c>
      <c r="E211" s="8">
        <f ca="1">IFERROR(__xludf.DUMMYFUNCTION("""COMPUTED_VALUE"""),25)</f>
        <v>25</v>
      </c>
      <c r="F211" s="9">
        <f ca="1">IFERROR(__xludf.DUMMYFUNCTION("""COMPUTED_VALUE"""),4414)</f>
        <v>4414</v>
      </c>
    </row>
    <row r="212" spans="1:6" ht="13" x14ac:dyDescent="0.15">
      <c r="A212" s="7">
        <f ca="1">IFERROR(__xludf.DUMMYFUNCTION("""COMPUTED_VALUE"""),45868)</f>
        <v>45868</v>
      </c>
      <c r="B212" s="8">
        <f ca="1">IFERROR(__xludf.DUMMYFUNCTION("""COMPUTED_VALUE"""),72672)</f>
        <v>72672</v>
      </c>
      <c r="C212" s="8">
        <f ca="1">IFERROR(__xludf.DUMMYFUNCTION("""COMPUTED_VALUE"""),1264)</f>
        <v>1264</v>
      </c>
      <c r="D212" s="9">
        <f ca="1">IFERROR(__xludf.DUMMYFUNCTION("""COMPUTED_VALUE"""),843)</f>
        <v>843</v>
      </c>
      <c r="E212" s="8">
        <f ca="1">IFERROR(__xludf.DUMMYFUNCTION("""COMPUTED_VALUE"""),20)</f>
        <v>20</v>
      </c>
      <c r="F212" s="9">
        <f ca="1">IFERROR(__xludf.DUMMYFUNCTION("""COMPUTED_VALUE"""),3847)</f>
        <v>3847</v>
      </c>
    </row>
    <row r="213" spans="1:6" ht="13" x14ac:dyDescent="0.15">
      <c r="A213" s="7">
        <f ca="1">IFERROR(__xludf.DUMMYFUNCTION("""COMPUTED_VALUE"""),45869)</f>
        <v>45869</v>
      </c>
      <c r="B213" s="8">
        <f ca="1">IFERROR(__xludf.DUMMYFUNCTION("""COMPUTED_VALUE"""),56801)</f>
        <v>56801</v>
      </c>
      <c r="C213" s="8">
        <f ca="1">IFERROR(__xludf.DUMMYFUNCTION("""COMPUTED_VALUE"""),1344)</f>
        <v>1344</v>
      </c>
      <c r="D213" s="9">
        <f ca="1">IFERROR(__xludf.DUMMYFUNCTION("""COMPUTED_VALUE"""),1488)</f>
        <v>1488</v>
      </c>
      <c r="E213" s="8">
        <f ca="1">IFERROR(__xludf.DUMMYFUNCTION("""COMPUTED_VALUE"""),27)</f>
        <v>27</v>
      </c>
      <c r="F213" s="9">
        <f ca="1">IFERROR(__xludf.DUMMYFUNCTION("""COMPUTED_VALUE"""),4700)</f>
        <v>4700</v>
      </c>
    </row>
    <row r="214" spans="1:6" ht="13" x14ac:dyDescent="0.15">
      <c r="A214" s="7">
        <f ca="1">IFERROR(__xludf.DUMMYFUNCTION("""COMPUTED_VALUE"""),45870)</f>
        <v>45870</v>
      </c>
      <c r="B214" s="8">
        <f ca="1">IFERROR(__xludf.DUMMYFUNCTION("""COMPUTED_VALUE"""),72010)</f>
        <v>72010</v>
      </c>
      <c r="C214" s="8">
        <f ca="1">IFERROR(__xludf.DUMMYFUNCTION("""COMPUTED_VALUE"""),1347)</f>
        <v>1347</v>
      </c>
      <c r="D214" s="9">
        <f ca="1">IFERROR(__xludf.DUMMYFUNCTION("""COMPUTED_VALUE"""),990)</f>
        <v>990</v>
      </c>
      <c r="E214" s="8">
        <f ca="1">IFERROR(__xludf.DUMMYFUNCTION("""COMPUTED_VALUE"""),19)</f>
        <v>19</v>
      </c>
      <c r="F214" s="9">
        <f ca="1">IFERROR(__xludf.DUMMYFUNCTION("""COMPUTED_VALUE"""),3600)</f>
        <v>3600</v>
      </c>
    </row>
    <row r="215" spans="1:6" ht="13" x14ac:dyDescent="0.15">
      <c r="A215" s="7">
        <f ca="1">IFERROR(__xludf.DUMMYFUNCTION("""COMPUTED_VALUE"""),45871)</f>
        <v>45871</v>
      </c>
      <c r="B215" s="8">
        <f ca="1">IFERROR(__xludf.DUMMYFUNCTION("""COMPUTED_VALUE"""),86525)</f>
        <v>86525</v>
      </c>
      <c r="C215" s="8">
        <f ca="1">IFERROR(__xludf.DUMMYFUNCTION("""COMPUTED_VALUE"""),1406)</f>
        <v>1406</v>
      </c>
      <c r="D215" s="9">
        <f ca="1">IFERROR(__xludf.DUMMYFUNCTION("""COMPUTED_VALUE"""),843)</f>
        <v>843</v>
      </c>
      <c r="E215" s="8">
        <f ca="1">IFERROR(__xludf.DUMMYFUNCTION("""COMPUTED_VALUE"""),29)</f>
        <v>29</v>
      </c>
      <c r="F215" s="9">
        <f ca="1">IFERROR(__xludf.DUMMYFUNCTION("""COMPUTED_VALUE"""),3621)</f>
        <v>3621</v>
      </c>
    </row>
    <row r="216" spans="1:6" ht="13" x14ac:dyDescent="0.15">
      <c r="A216" s="7">
        <f ca="1">IFERROR(__xludf.DUMMYFUNCTION("""COMPUTED_VALUE"""),45872)</f>
        <v>45872</v>
      </c>
      <c r="B216" s="8">
        <f ca="1">IFERROR(__xludf.DUMMYFUNCTION("""COMPUTED_VALUE"""),107947)</f>
        <v>107947</v>
      </c>
      <c r="C216" s="8">
        <f ca="1">IFERROR(__xludf.DUMMYFUNCTION("""COMPUTED_VALUE"""),3227)</f>
        <v>3227</v>
      </c>
      <c r="D216" s="9">
        <f ca="1">IFERROR(__xludf.DUMMYFUNCTION("""COMPUTED_VALUE"""),2650)</f>
        <v>2650</v>
      </c>
      <c r="E216" s="8">
        <f ca="1">IFERROR(__xludf.DUMMYFUNCTION("""COMPUTED_VALUE"""),71)</f>
        <v>71</v>
      </c>
      <c r="F216" s="9">
        <f ca="1">IFERROR(__xludf.DUMMYFUNCTION("""COMPUTED_VALUE"""),9944)</f>
        <v>9944</v>
      </c>
    </row>
    <row r="217" spans="1:6" ht="13" x14ac:dyDescent="0.15">
      <c r="A217" s="7">
        <f ca="1">IFERROR(__xludf.DUMMYFUNCTION("""COMPUTED_VALUE"""),45873)</f>
        <v>45873</v>
      </c>
      <c r="B217" s="8">
        <f ca="1">IFERROR(__xludf.DUMMYFUNCTION("""COMPUTED_VALUE"""),59452)</f>
        <v>59452</v>
      </c>
      <c r="C217" s="8">
        <f ca="1">IFERROR(__xludf.DUMMYFUNCTION("""COMPUTED_VALUE"""),1316)</f>
        <v>1316</v>
      </c>
      <c r="D217" s="9">
        <f ca="1">IFERROR(__xludf.DUMMYFUNCTION("""COMPUTED_VALUE"""),1191)</f>
        <v>1191</v>
      </c>
      <c r="E217" s="8">
        <f ca="1">IFERROR(__xludf.DUMMYFUNCTION("""COMPUTED_VALUE"""),20)</f>
        <v>20</v>
      </c>
      <c r="F217" s="9">
        <f ca="1">IFERROR(__xludf.DUMMYFUNCTION("""COMPUTED_VALUE"""),3230)</f>
        <v>3230</v>
      </c>
    </row>
    <row r="218" spans="1:6" ht="13" x14ac:dyDescent="0.15">
      <c r="A218" s="7">
        <f ca="1">IFERROR(__xludf.DUMMYFUNCTION("""COMPUTED_VALUE"""),45874)</f>
        <v>45874</v>
      </c>
      <c r="B218" s="8">
        <f ca="1">IFERROR(__xludf.DUMMYFUNCTION("""COMPUTED_VALUE"""),68815)</f>
        <v>68815</v>
      </c>
      <c r="C218" s="8">
        <f ca="1">IFERROR(__xludf.DUMMYFUNCTION("""COMPUTED_VALUE"""),1319)</f>
        <v>1319</v>
      </c>
      <c r="D218" s="9">
        <f ca="1">IFERROR(__xludf.DUMMYFUNCTION("""COMPUTED_VALUE"""),1205)</f>
        <v>1205</v>
      </c>
      <c r="E218" s="8">
        <f ca="1">IFERROR(__xludf.DUMMYFUNCTION("""COMPUTED_VALUE"""),24)</f>
        <v>24</v>
      </c>
      <c r="F218" s="9">
        <f ca="1">IFERROR(__xludf.DUMMYFUNCTION("""COMPUTED_VALUE"""),3088)</f>
        <v>3088</v>
      </c>
    </row>
    <row r="219" spans="1:6" ht="13" x14ac:dyDescent="0.15">
      <c r="A219" s="7">
        <f ca="1">IFERROR(__xludf.DUMMYFUNCTION("""COMPUTED_VALUE"""),45875)</f>
        <v>45875</v>
      </c>
      <c r="B219" s="8">
        <f ca="1">IFERROR(__xludf.DUMMYFUNCTION("""COMPUTED_VALUE"""),68158)</f>
        <v>68158</v>
      </c>
      <c r="C219" s="8">
        <f ca="1">IFERROR(__xludf.DUMMYFUNCTION("""COMPUTED_VALUE"""),930)</f>
        <v>930</v>
      </c>
      <c r="D219" s="9">
        <f ca="1">IFERROR(__xludf.DUMMYFUNCTION("""COMPUTED_VALUE"""),576)</f>
        <v>576</v>
      </c>
      <c r="E219" s="8">
        <f ca="1">IFERROR(__xludf.DUMMYFUNCTION("""COMPUTED_VALUE"""),22)</f>
        <v>22</v>
      </c>
      <c r="F219" s="9">
        <f ca="1">IFERROR(__xludf.DUMMYFUNCTION("""COMPUTED_VALUE"""),2774)</f>
        <v>2774</v>
      </c>
    </row>
    <row r="220" spans="1:6" ht="13" x14ac:dyDescent="0.15">
      <c r="A220" s="7">
        <f ca="1">IFERROR(__xludf.DUMMYFUNCTION("""COMPUTED_VALUE"""),45876)</f>
        <v>45876</v>
      </c>
      <c r="B220" s="8">
        <f ca="1">IFERROR(__xludf.DUMMYFUNCTION("""COMPUTED_VALUE"""),91525)</f>
        <v>91525</v>
      </c>
      <c r="C220" s="8">
        <f ca="1">IFERROR(__xludf.DUMMYFUNCTION("""COMPUTED_VALUE"""),2754)</f>
        <v>2754</v>
      </c>
      <c r="D220" s="9">
        <f ca="1">IFERROR(__xludf.DUMMYFUNCTION("""COMPUTED_VALUE"""),3285)</f>
        <v>3285</v>
      </c>
      <c r="E220" s="8">
        <f ca="1">IFERROR(__xludf.DUMMYFUNCTION("""COMPUTED_VALUE"""),73)</f>
        <v>73</v>
      </c>
      <c r="F220" s="9">
        <f ca="1">IFERROR(__xludf.DUMMYFUNCTION("""COMPUTED_VALUE"""),11727)</f>
        <v>11727</v>
      </c>
    </row>
    <row r="221" spans="1:6" ht="13" x14ac:dyDescent="0.15">
      <c r="A221" s="7">
        <f ca="1">IFERROR(__xludf.DUMMYFUNCTION("""COMPUTED_VALUE"""),45877)</f>
        <v>45877</v>
      </c>
      <c r="B221" s="8">
        <f ca="1">IFERROR(__xludf.DUMMYFUNCTION("""COMPUTED_VALUE"""),146038)</f>
        <v>146038</v>
      </c>
      <c r="C221" s="8">
        <f ca="1">IFERROR(__xludf.DUMMYFUNCTION("""COMPUTED_VALUE"""),2784)</f>
        <v>2784</v>
      </c>
      <c r="D221" s="9">
        <f ca="1">IFERROR(__xludf.DUMMYFUNCTION("""COMPUTED_VALUE"""),1756)</f>
        <v>1756</v>
      </c>
      <c r="E221" s="8">
        <f ca="1">IFERROR(__xludf.DUMMYFUNCTION("""COMPUTED_VALUE"""),54)</f>
        <v>54</v>
      </c>
      <c r="F221" s="9">
        <f ca="1">IFERROR(__xludf.DUMMYFUNCTION("""COMPUTED_VALUE"""),6610)</f>
        <v>6610</v>
      </c>
    </row>
    <row r="222" spans="1:6" ht="13" x14ac:dyDescent="0.15">
      <c r="A222" s="7">
        <f ca="1">IFERROR(__xludf.DUMMYFUNCTION("""COMPUTED_VALUE"""),45878)</f>
        <v>45878</v>
      </c>
      <c r="B222" s="8">
        <f ca="1">IFERROR(__xludf.DUMMYFUNCTION("""COMPUTED_VALUE"""),55344)</f>
        <v>55344</v>
      </c>
      <c r="C222" s="8">
        <f ca="1">IFERROR(__xludf.DUMMYFUNCTION("""COMPUTED_VALUE"""),549)</f>
        <v>549</v>
      </c>
      <c r="D222" s="9">
        <f ca="1">IFERROR(__xludf.DUMMYFUNCTION("""COMPUTED_VALUE"""),378)</f>
        <v>378</v>
      </c>
      <c r="E222" s="8">
        <f ca="1">IFERROR(__xludf.DUMMYFUNCTION("""COMPUTED_VALUE"""),13)</f>
        <v>13</v>
      </c>
      <c r="F222" s="9">
        <f ca="1">IFERROR(__xludf.DUMMYFUNCTION("""COMPUTED_VALUE"""),1627)</f>
        <v>1627</v>
      </c>
    </row>
    <row r="223" spans="1:6" ht="13" x14ac:dyDescent="0.15">
      <c r="A223" s="7">
        <f ca="1">IFERROR(__xludf.DUMMYFUNCTION("""COMPUTED_VALUE"""),45879)</f>
        <v>45879</v>
      </c>
      <c r="B223" s="8">
        <f ca="1">IFERROR(__xludf.DUMMYFUNCTION("""COMPUTED_VALUE"""),81320)</f>
        <v>81320</v>
      </c>
      <c r="C223" s="8">
        <f ca="1">IFERROR(__xludf.DUMMYFUNCTION("""COMPUTED_VALUE"""),1666)</f>
        <v>1666</v>
      </c>
      <c r="D223" s="9">
        <f ca="1">IFERROR(__xludf.DUMMYFUNCTION("""COMPUTED_VALUE"""),2066)</f>
        <v>2066</v>
      </c>
      <c r="E223" s="8">
        <f ca="1">IFERROR(__xludf.DUMMYFUNCTION("""COMPUTED_VALUE"""),22)</f>
        <v>22</v>
      </c>
      <c r="F223" s="9">
        <f ca="1">IFERROR(__xludf.DUMMYFUNCTION("""COMPUTED_VALUE"""),3387)</f>
        <v>3387</v>
      </c>
    </row>
    <row r="224" spans="1:6" ht="13" x14ac:dyDescent="0.15">
      <c r="A224" s="7">
        <f ca="1">IFERROR(__xludf.DUMMYFUNCTION("""COMPUTED_VALUE"""),45880)</f>
        <v>45880</v>
      </c>
      <c r="B224" s="8">
        <f ca="1">IFERROR(__xludf.DUMMYFUNCTION("""COMPUTED_VALUE"""),111175)</f>
        <v>111175</v>
      </c>
      <c r="C224" s="8">
        <f ca="1">IFERROR(__xludf.DUMMYFUNCTION("""COMPUTED_VALUE"""),1872)</f>
        <v>1872</v>
      </c>
      <c r="D224" s="9">
        <f ca="1">IFERROR(__xludf.DUMMYFUNCTION("""COMPUTED_VALUE"""),1598)</f>
        <v>1598</v>
      </c>
      <c r="E224" s="8">
        <f ca="1">IFERROR(__xludf.DUMMYFUNCTION("""COMPUTED_VALUE"""),40)</f>
        <v>40</v>
      </c>
      <c r="F224" s="9">
        <f ca="1">IFERROR(__xludf.DUMMYFUNCTION("""COMPUTED_VALUE"""),4464)</f>
        <v>4464</v>
      </c>
    </row>
    <row r="225" spans="1:6" ht="13" x14ac:dyDescent="0.15">
      <c r="A225" s="7">
        <f ca="1">IFERROR(__xludf.DUMMYFUNCTION("""COMPUTED_VALUE"""),45881)</f>
        <v>45881</v>
      </c>
      <c r="B225" s="8">
        <f ca="1">IFERROR(__xludf.DUMMYFUNCTION("""COMPUTED_VALUE"""),35994)</f>
        <v>35994</v>
      </c>
      <c r="C225" s="8">
        <f ca="1">IFERROR(__xludf.DUMMYFUNCTION("""COMPUTED_VALUE"""),437)</f>
        <v>437</v>
      </c>
      <c r="D225" s="9">
        <f ca="1">IFERROR(__xludf.DUMMYFUNCTION("""COMPUTED_VALUE"""),518)</f>
        <v>518</v>
      </c>
      <c r="E225" s="8">
        <f ca="1">IFERROR(__xludf.DUMMYFUNCTION("""COMPUTED_VALUE"""),8)</f>
        <v>8</v>
      </c>
      <c r="F225" s="9">
        <f ca="1">IFERROR(__xludf.DUMMYFUNCTION("""COMPUTED_VALUE"""),1701)</f>
        <v>1701</v>
      </c>
    </row>
    <row r="226" spans="1:6" ht="13" x14ac:dyDescent="0.15">
      <c r="A226" s="7">
        <f ca="1">IFERROR(__xludf.DUMMYFUNCTION("""COMPUTED_VALUE"""),45882)</f>
        <v>45882</v>
      </c>
      <c r="B226" s="8">
        <f ca="1">IFERROR(__xludf.DUMMYFUNCTION("""COMPUTED_VALUE"""),79584)</f>
        <v>79584</v>
      </c>
      <c r="C226" s="8">
        <f ca="1">IFERROR(__xludf.DUMMYFUNCTION("""COMPUTED_VALUE"""),1166)</f>
        <v>1166</v>
      </c>
      <c r="D226" s="9">
        <f ca="1">IFERROR(__xludf.DUMMYFUNCTION("""COMPUTED_VALUE"""),939)</f>
        <v>939</v>
      </c>
      <c r="E226" s="8">
        <f ca="1">IFERROR(__xludf.DUMMYFUNCTION("""COMPUTED_VALUE"""),13)</f>
        <v>13</v>
      </c>
      <c r="F226" s="9">
        <f ca="1">IFERROR(__xludf.DUMMYFUNCTION("""COMPUTED_VALUE"""),1572)</f>
        <v>1572</v>
      </c>
    </row>
    <row r="227" spans="1:6" ht="13" x14ac:dyDescent="0.15">
      <c r="A227" s="7">
        <f ca="1">IFERROR(__xludf.DUMMYFUNCTION("""COMPUTED_VALUE"""),45883)</f>
        <v>45883</v>
      </c>
      <c r="B227" s="8">
        <f ca="1">IFERROR(__xludf.DUMMYFUNCTION("""COMPUTED_VALUE"""),134124)</f>
        <v>134124</v>
      </c>
      <c r="C227" s="8">
        <f ca="1">IFERROR(__xludf.DUMMYFUNCTION("""COMPUTED_VALUE"""),3565)</f>
        <v>3565</v>
      </c>
      <c r="D227" s="9">
        <f ca="1">IFERROR(__xludf.DUMMYFUNCTION("""COMPUTED_VALUE"""),2409)</f>
        <v>2409</v>
      </c>
      <c r="E227" s="8">
        <f ca="1">IFERROR(__xludf.DUMMYFUNCTION("""COMPUTED_VALUE"""),62)</f>
        <v>62</v>
      </c>
      <c r="F227" s="9">
        <f ca="1">IFERROR(__xludf.DUMMYFUNCTION("""COMPUTED_VALUE"""),11986)</f>
        <v>11986</v>
      </c>
    </row>
    <row r="228" spans="1:6" ht="13" x14ac:dyDescent="0.15">
      <c r="A228" s="7">
        <f ca="1">IFERROR(__xludf.DUMMYFUNCTION("""COMPUTED_VALUE"""),45884)</f>
        <v>45884</v>
      </c>
      <c r="B228" s="8">
        <f ca="1">IFERROR(__xludf.DUMMYFUNCTION("""COMPUTED_VALUE"""),106541)</f>
        <v>106541</v>
      </c>
      <c r="C228" s="8">
        <f ca="1">IFERROR(__xludf.DUMMYFUNCTION("""COMPUTED_VALUE"""),3467)</f>
        <v>3467</v>
      </c>
      <c r="D228" s="9">
        <f ca="1">IFERROR(__xludf.DUMMYFUNCTION("""COMPUTED_VALUE"""),3364)</f>
        <v>3364</v>
      </c>
      <c r="E228" s="8">
        <f ca="1">IFERROR(__xludf.DUMMYFUNCTION("""COMPUTED_VALUE"""),43)</f>
        <v>43</v>
      </c>
      <c r="F228" s="9">
        <f ca="1">IFERROR(__xludf.DUMMYFUNCTION("""COMPUTED_VALUE"""),6003)</f>
        <v>6003</v>
      </c>
    </row>
    <row r="229" spans="1:6" ht="13" x14ac:dyDescent="0.15">
      <c r="A229" s="7">
        <f ca="1">IFERROR(__xludf.DUMMYFUNCTION("""COMPUTED_VALUE"""),45885)</f>
        <v>45885</v>
      </c>
      <c r="B229" s="8">
        <f ca="1">IFERROR(__xludf.DUMMYFUNCTION("""COMPUTED_VALUE"""),55197)</f>
        <v>55197</v>
      </c>
      <c r="C229" s="8">
        <f ca="1">IFERROR(__xludf.DUMMYFUNCTION("""COMPUTED_VALUE"""),1303)</f>
        <v>1303</v>
      </c>
      <c r="D229" s="9">
        <f ca="1">IFERROR(__xludf.DUMMYFUNCTION("""COMPUTED_VALUE"""),720)</f>
        <v>720</v>
      </c>
      <c r="E229" s="8">
        <f ca="1">IFERROR(__xludf.DUMMYFUNCTION("""COMPUTED_VALUE"""),12)</f>
        <v>12</v>
      </c>
      <c r="F229" s="9">
        <f ca="1">IFERROR(__xludf.DUMMYFUNCTION("""COMPUTED_VALUE"""),2471)</f>
        <v>2471</v>
      </c>
    </row>
    <row r="230" spans="1:6" ht="13" x14ac:dyDescent="0.15">
      <c r="A230" s="7">
        <f ca="1">IFERROR(__xludf.DUMMYFUNCTION("""COMPUTED_VALUE"""),45886)</f>
        <v>45886</v>
      </c>
      <c r="B230" s="8">
        <f ca="1">IFERROR(__xludf.DUMMYFUNCTION("""COMPUTED_VALUE"""),127402)</f>
        <v>127402</v>
      </c>
      <c r="C230" s="8">
        <f ca="1">IFERROR(__xludf.DUMMYFUNCTION("""COMPUTED_VALUE"""),1857)</f>
        <v>1857</v>
      </c>
      <c r="D230" s="9">
        <f ca="1">IFERROR(__xludf.DUMMYFUNCTION("""COMPUTED_VALUE"""),1873)</f>
        <v>1873</v>
      </c>
      <c r="E230" s="8">
        <f ca="1">IFERROR(__xludf.DUMMYFUNCTION("""COMPUTED_VALUE"""),37)</f>
        <v>37</v>
      </c>
      <c r="F230" s="9">
        <f ca="1">IFERROR(__xludf.DUMMYFUNCTION("""COMPUTED_VALUE"""),5628)</f>
        <v>5628</v>
      </c>
    </row>
    <row r="231" spans="1:6" ht="13" x14ac:dyDescent="0.15">
      <c r="A231" s="7">
        <f ca="1">IFERROR(__xludf.DUMMYFUNCTION("""COMPUTED_VALUE"""),45887)</f>
        <v>45887</v>
      </c>
      <c r="B231" s="8">
        <f ca="1">IFERROR(__xludf.DUMMYFUNCTION("""COMPUTED_VALUE"""),97472)</f>
        <v>97472</v>
      </c>
      <c r="C231" s="8">
        <f ca="1">IFERROR(__xludf.DUMMYFUNCTION("""COMPUTED_VALUE"""),2158)</f>
        <v>2158</v>
      </c>
      <c r="D231" s="9">
        <f ca="1">IFERROR(__xludf.DUMMYFUNCTION("""COMPUTED_VALUE"""),2018)</f>
        <v>2018</v>
      </c>
      <c r="E231" s="8">
        <f ca="1">IFERROR(__xludf.DUMMYFUNCTION("""COMPUTED_VALUE"""),54)</f>
        <v>54</v>
      </c>
      <c r="F231" s="9">
        <f ca="1">IFERROR(__xludf.DUMMYFUNCTION("""COMPUTED_VALUE"""),8260)</f>
        <v>8260</v>
      </c>
    </row>
    <row r="232" spans="1:6" ht="13" x14ac:dyDescent="0.15">
      <c r="A232" s="7">
        <f ca="1">IFERROR(__xludf.DUMMYFUNCTION("""COMPUTED_VALUE"""),45888)</f>
        <v>45888</v>
      </c>
      <c r="B232" s="8">
        <f ca="1">IFERROR(__xludf.DUMMYFUNCTION("""COMPUTED_VALUE"""),32607)</f>
        <v>32607</v>
      </c>
      <c r="C232" s="8">
        <f ca="1">IFERROR(__xludf.DUMMYFUNCTION("""COMPUTED_VALUE"""),432)</f>
        <v>432</v>
      </c>
      <c r="D232" s="9">
        <f ca="1">IFERROR(__xludf.DUMMYFUNCTION("""COMPUTED_VALUE"""),359)</f>
        <v>359</v>
      </c>
      <c r="E232" s="8">
        <f ca="1">IFERROR(__xludf.DUMMYFUNCTION("""COMPUTED_VALUE"""),8)</f>
        <v>8</v>
      </c>
      <c r="F232" s="9">
        <f ca="1">IFERROR(__xludf.DUMMYFUNCTION("""COMPUTED_VALUE"""),1067)</f>
        <v>1067</v>
      </c>
    </row>
    <row r="233" spans="1:6" ht="13" x14ac:dyDescent="0.15">
      <c r="A233" s="7">
        <f ca="1">IFERROR(__xludf.DUMMYFUNCTION("""COMPUTED_VALUE"""),45889)</f>
        <v>45889</v>
      </c>
      <c r="B233" s="8">
        <f ca="1">IFERROR(__xludf.DUMMYFUNCTION("""COMPUTED_VALUE"""),29963)</f>
        <v>29963</v>
      </c>
      <c r="C233" s="8">
        <f ca="1">IFERROR(__xludf.DUMMYFUNCTION("""COMPUTED_VALUE"""),453)</f>
        <v>453</v>
      </c>
      <c r="D233" s="9">
        <f ca="1">IFERROR(__xludf.DUMMYFUNCTION("""COMPUTED_VALUE"""),441)</f>
        <v>441</v>
      </c>
      <c r="E233" s="8">
        <f ca="1">IFERROR(__xludf.DUMMYFUNCTION("""COMPUTED_VALUE"""),6)</f>
        <v>6</v>
      </c>
      <c r="F233" s="9">
        <f ca="1">IFERROR(__xludf.DUMMYFUNCTION("""COMPUTED_VALUE"""),911)</f>
        <v>911</v>
      </c>
    </row>
    <row r="234" spans="1:6" ht="13" x14ac:dyDescent="0.15">
      <c r="A234" s="7">
        <f ca="1">IFERROR(__xludf.DUMMYFUNCTION("""COMPUTED_VALUE"""),45890)</f>
        <v>45890</v>
      </c>
      <c r="B234" s="8">
        <f ca="1">IFERROR(__xludf.DUMMYFUNCTION("""COMPUTED_VALUE"""),27710)</f>
        <v>27710</v>
      </c>
      <c r="C234" s="8">
        <f ca="1">IFERROR(__xludf.DUMMYFUNCTION("""COMPUTED_VALUE"""),284)</f>
        <v>284</v>
      </c>
      <c r="D234" s="9">
        <f ca="1">IFERROR(__xludf.DUMMYFUNCTION("""COMPUTED_VALUE"""),195)</f>
        <v>195</v>
      </c>
      <c r="E234" s="8">
        <f ca="1">IFERROR(__xludf.DUMMYFUNCTION("""COMPUTED_VALUE"""),3)</f>
        <v>3</v>
      </c>
      <c r="F234" s="9">
        <f ca="1">IFERROR(__xludf.DUMMYFUNCTION("""COMPUTED_VALUE"""),1143)</f>
        <v>1143</v>
      </c>
    </row>
    <row r="235" spans="1:6" ht="13" x14ac:dyDescent="0.15">
      <c r="A235" s="7">
        <f ca="1">IFERROR(__xludf.DUMMYFUNCTION("""COMPUTED_VALUE"""),45891)</f>
        <v>45891</v>
      </c>
      <c r="B235" s="8">
        <f ca="1">IFERROR(__xludf.DUMMYFUNCTION("""COMPUTED_VALUE"""),76252)</f>
        <v>76252</v>
      </c>
      <c r="C235" s="8">
        <f ca="1">IFERROR(__xludf.DUMMYFUNCTION("""COMPUTED_VALUE"""),2156)</f>
        <v>2156</v>
      </c>
      <c r="D235" s="9">
        <f ca="1">IFERROR(__xludf.DUMMYFUNCTION("""COMPUTED_VALUE"""),2121)</f>
        <v>2121</v>
      </c>
      <c r="E235" s="8">
        <f ca="1">IFERROR(__xludf.DUMMYFUNCTION("""COMPUTED_VALUE"""),25)</f>
        <v>25</v>
      </c>
      <c r="F235" s="9">
        <f ca="1">IFERROR(__xludf.DUMMYFUNCTION("""COMPUTED_VALUE"""),5304)</f>
        <v>5304</v>
      </c>
    </row>
    <row r="236" spans="1:6" ht="13" x14ac:dyDescent="0.15">
      <c r="A236" s="7">
        <f ca="1">IFERROR(__xludf.DUMMYFUNCTION("""COMPUTED_VALUE"""),45892)</f>
        <v>45892</v>
      </c>
      <c r="B236" s="8">
        <f ca="1">IFERROR(__xludf.DUMMYFUNCTION("""COMPUTED_VALUE"""),125503)</f>
        <v>125503</v>
      </c>
      <c r="C236" s="8">
        <f ca="1">IFERROR(__xludf.DUMMYFUNCTION("""COMPUTED_VALUE"""),3915)</f>
        <v>3915</v>
      </c>
      <c r="D236" s="9">
        <f ca="1">IFERROR(__xludf.DUMMYFUNCTION("""COMPUTED_VALUE"""),2247)</f>
        <v>2247</v>
      </c>
      <c r="E236" s="8">
        <f ca="1">IFERROR(__xludf.DUMMYFUNCTION("""COMPUTED_VALUE"""),53)</f>
        <v>53</v>
      </c>
      <c r="F236" s="9">
        <f ca="1">IFERROR(__xludf.DUMMYFUNCTION("""COMPUTED_VALUE"""),8839)</f>
        <v>8839</v>
      </c>
    </row>
    <row r="237" spans="1:6" ht="13" x14ac:dyDescent="0.15">
      <c r="A237" s="7">
        <f ca="1">IFERROR(__xludf.DUMMYFUNCTION("""COMPUTED_VALUE"""),45893)</f>
        <v>45893</v>
      </c>
      <c r="B237" s="8">
        <f ca="1">IFERROR(__xludf.DUMMYFUNCTION("""COMPUTED_VALUE"""),47190)</f>
        <v>47190</v>
      </c>
      <c r="C237" s="8">
        <f ca="1">IFERROR(__xludf.DUMMYFUNCTION("""COMPUTED_VALUE"""),1025)</f>
        <v>1025</v>
      </c>
      <c r="D237" s="9">
        <f ca="1">IFERROR(__xludf.DUMMYFUNCTION("""COMPUTED_VALUE"""),751)</f>
        <v>751</v>
      </c>
      <c r="E237" s="8">
        <f ca="1">IFERROR(__xludf.DUMMYFUNCTION("""COMPUTED_VALUE"""),24)</f>
        <v>24</v>
      </c>
      <c r="F237" s="9">
        <f ca="1">IFERROR(__xludf.DUMMYFUNCTION("""COMPUTED_VALUE"""),3415)</f>
        <v>3415</v>
      </c>
    </row>
    <row r="238" spans="1:6" ht="13" x14ac:dyDescent="0.15">
      <c r="A238" s="7">
        <f ca="1">IFERROR(__xludf.DUMMYFUNCTION("""COMPUTED_VALUE"""),45894)</f>
        <v>45894</v>
      </c>
      <c r="B238" s="8">
        <f ca="1">IFERROR(__xludf.DUMMYFUNCTION("""COMPUTED_VALUE"""),125100)</f>
        <v>125100</v>
      </c>
      <c r="C238" s="8">
        <f ca="1">IFERROR(__xludf.DUMMYFUNCTION("""COMPUTED_VALUE"""),1989)</f>
        <v>1989</v>
      </c>
      <c r="D238" s="9">
        <f ca="1">IFERROR(__xludf.DUMMYFUNCTION("""COMPUTED_VALUE"""),2401)</f>
        <v>2401</v>
      </c>
      <c r="E238" s="8">
        <f ca="1">IFERROR(__xludf.DUMMYFUNCTION("""COMPUTED_VALUE"""),39)</f>
        <v>39</v>
      </c>
      <c r="F238" s="9">
        <f ca="1">IFERROR(__xludf.DUMMYFUNCTION("""COMPUTED_VALUE"""),7186)</f>
        <v>7186</v>
      </c>
    </row>
    <row r="239" spans="1:6" ht="13" x14ac:dyDescent="0.15">
      <c r="A239" s="7">
        <f ca="1">IFERROR(__xludf.DUMMYFUNCTION("""COMPUTED_VALUE"""),45895)</f>
        <v>45895</v>
      </c>
      <c r="B239" s="8">
        <f ca="1">IFERROR(__xludf.DUMMYFUNCTION("""COMPUTED_VALUE"""),119812)</f>
        <v>119812</v>
      </c>
      <c r="C239" s="8">
        <f ca="1">IFERROR(__xludf.DUMMYFUNCTION("""COMPUTED_VALUE"""),1838)</f>
        <v>1838</v>
      </c>
      <c r="D239" s="9">
        <f ca="1">IFERROR(__xludf.DUMMYFUNCTION("""COMPUTED_VALUE"""),1998)</f>
        <v>1998</v>
      </c>
      <c r="E239" s="8">
        <f ca="1">IFERROR(__xludf.DUMMYFUNCTION("""COMPUTED_VALUE"""),38)</f>
        <v>38</v>
      </c>
      <c r="F239" s="9">
        <f ca="1">IFERROR(__xludf.DUMMYFUNCTION("""COMPUTED_VALUE"""),6247)</f>
        <v>6247</v>
      </c>
    </row>
    <row r="240" spans="1:6" ht="13" x14ac:dyDescent="0.15">
      <c r="A240" s="7">
        <f ca="1">IFERROR(__xludf.DUMMYFUNCTION("""COMPUTED_VALUE"""),45896)</f>
        <v>45896</v>
      </c>
      <c r="B240" s="8">
        <f ca="1">IFERROR(__xludf.DUMMYFUNCTION("""COMPUTED_VALUE"""),88306)</f>
        <v>88306</v>
      </c>
      <c r="C240" s="8">
        <f ca="1">IFERROR(__xludf.DUMMYFUNCTION("""COMPUTED_VALUE"""),2385)</f>
        <v>2385</v>
      </c>
      <c r="D240" s="9">
        <f ca="1">IFERROR(__xludf.DUMMYFUNCTION("""COMPUTED_VALUE"""),2099)</f>
        <v>2099</v>
      </c>
      <c r="E240" s="8">
        <f ca="1">IFERROR(__xludf.DUMMYFUNCTION("""COMPUTED_VALUE"""),40)</f>
        <v>40</v>
      </c>
      <c r="F240" s="9">
        <f ca="1">IFERROR(__xludf.DUMMYFUNCTION("""COMPUTED_VALUE"""),4749)</f>
        <v>4749</v>
      </c>
    </row>
    <row r="241" spans="1:6" ht="13" x14ac:dyDescent="0.15">
      <c r="A241" s="7">
        <f ca="1">IFERROR(__xludf.DUMMYFUNCTION("""COMPUTED_VALUE"""),45897)</f>
        <v>45897</v>
      </c>
      <c r="B241" s="8">
        <f ca="1">IFERROR(__xludf.DUMMYFUNCTION("""COMPUTED_VALUE"""),44544)</f>
        <v>44544</v>
      </c>
      <c r="C241" s="8">
        <f ca="1">IFERROR(__xludf.DUMMYFUNCTION("""COMPUTED_VALUE"""),617)</f>
        <v>617</v>
      </c>
      <c r="D241" s="9">
        <f ca="1">IFERROR(__xludf.DUMMYFUNCTION("""COMPUTED_VALUE"""),610)</f>
        <v>610</v>
      </c>
      <c r="E241" s="8">
        <f ca="1">IFERROR(__xludf.DUMMYFUNCTION("""COMPUTED_VALUE"""),6)</f>
        <v>6</v>
      </c>
      <c r="F241" s="9">
        <f ca="1">IFERROR(__xludf.DUMMYFUNCTION("""COMPUTED_VALUE"""),1000)</f>
        <v>1000</v>
      </c>
    </row>
    <row r="242" spans="1:6" ht="13" x14ac:dyDescent="0.15">
      <c r="A242" s="7">
        <f ca="1">IFERROR(__xludf.DUMMYFUNCTION("""COMPUTED_VALUE"""),45898)</f>
        <v>45898</v>
      </c>
      <c r="B242" s="8">
        <f ca="1">IFERROR(__xludf.DUMMYFUNCTION("""COMPUTED_VALUE"""),74391)</f>
        <v>74391</v>
      </c>
      <c r="C242" s="8">
        <f ca="1">IFERROR(__xludf.DUMMYFUNCTION("""COMPUTED_VALUE"""),1039)</f>
        <v>1039</v>
      </c>
      <c r="D242" s="9">
        <f ca="1">IFERROR(__xludf.DUMMYFUNCTION("""COMPUTED_VALUE"""),757)</f>
        <v>757</v>
      </c>
      <c r="E242" s="8">
        <f ca="1">IFERROR(__xludf.DUMMYFUNCTION("""COMPUTED_VALUE"""),21)</f>
        <v>21</v>
      </c>
      <c r="F242" s="9">
        <f ca="1">IFERROR(__xludf.DUMMYFUNCTION("""COMPUTED_VALUE"""),3654)</f>
        <v>3654</v>
      </c>
    </row>
    <row r="243" spans="1:6" ht="13" x14ac:dyDescent="0.15">
      <c r="A243" s="7">
        <f ca="1">IFERROR(__xludf.DUMMYFUNCTION("""COMPUTED_VALUE"""),45899)</f>
        <v>45899</v>
      </c>
      <c r="B243" s="8">
        <f ca="1">IFERROR(__xludf.DUMMYFUNCTION("""COMPUTED_VALUE"""),32545)</f>
        <v>32545</v>
      </c>
      <c r="C243" s="8">
        <f ca="1">IFERROR(__xludf.DUMMYFUNCTION("""COMPUTED_VALUE"""),472)</f>
        <v>472</v>
      </c>
      <c r="D243" s="9">
        <f ca="1">IFERROR(__xludf.DUMMYFUNCTION("""COMPUTED_VALUE"""),518)</f>
        <v>518</v>
      </c>
      <c r="E243" s="8">
        <f ca="1">IFERROR(__xludf.DUMMYFUNCTION("""COMPUTED_VALUE"""),7)</f>
        <v>7</v>
      </c>
      <c r="F243" s="9">
        <f ca="1">IFERROR(__xludf.DUMMYFUNCTION("""COMPUTED_VALUE"""),984)</f>
        <v>984</v>
      </c>
    </row>
    <row r="244" spans="1:6" ht="13" x14ac:dyDescent="0.15">
      <c r="A244" s="7">
        <f ca="1">IFERROR(__xludf.DUMMYFUNCTION("""COMPUTED_VALUE"""),45900)</f>
        <v>45900</v>
      </c>
      <c r="B244" s="8">
        <f ca="1">IFERROR(__xludf.DUMMYFUNCTION("""COMPUTED_VALUE"""),106510)</f>
        <v>106510</v>
      </c>
      <c r="C244" s="8">
        <f ca="1">IFERROR(__xludf.DUMMYFUNCTION("""COMPUTED_VALUE"""),2180)</f>
        <v>2180</v>
      </c>
      <c r="D244" s="9">
        <f ca="1">IFERROR(__xludf.DUMMYFUNCTION("""COMPUTED_VALUE"""),1230)</f>
        <v>1230</v>
      </c>
      <c r="E244" s="8">
        <f ca="1">IFERROR(__xludf.DUMMYFUNCTION("""COMPUTED_VALUE"""),30)</f>
        <v>30</v>
      </c>
      <c r="F244" s="9">
        <f ca="1">IFERROR(__xludf.DUMMYFUNCTION("""COMPUTED_VALUE"""),4652)</f>
        <v>4652</v>
      </c>
    </row>
    <row r="245" spans="1:6" ht="13" x14ac:dyDescent="0.15">
      <c r="A245" s="7">
        <f ca="1">IFERROR(__xludf.DUMMYFUNCTION("""COMPUTED_VALUE"""),45901)</f>
        <v>45901</v>
      </c>
      <c r="B245" s="8">
        <f ca="1">IFERROR(__xludf.DUMMYFUNCTION("""COMPUTED_VALUE"""),94494)</f>
        <v>94494</v>
      </c>
      <c r="C245" s="8">
        <f ca="1">IFERROR(__xludf.DUMMYFUNCTION("""COMPUTED_VALUE"""),1522)</f>
        <v>1522</v>
      </c>
      <c r="D245" s="9">
        <f ca="1">IFERROR(__xludf.DUMMYFUNCTION("""COMPUTED_VALUE"""),2116)</f>
        <v>2116</v>
      </c>
      <c r="E245" s="8">
        <f ca="1">IFERROR(__xludf.DUMMYFUNCTION("""COMPUTED_VALUE"""),35)</f>
        <v>35</v>
      </c>
      <c r="F245" s="9">
        <f ca="1">IFERROR(__xludf.DUMMYFUNCTION("""COMPUTED_VALUE"""),3754)</f>
        <v>3754</v>
      </c>
    </row>
    <row r="246" spans="1:6" ht="13" x14ac:dyDescent="0.15">
      <c r="A246" s="7">
        <f ca="1">IFERROR(__xludf.DUMMYFUNCTION("""COMPUTED_VALUE"""),45902)</f>
        <v>45902</v>
      </c>
      <c r="B246" s="8">
        <f ca="1">IFERROR(__xludf.DUMMYFUNCTION("""COMPUTED_VALUE"""),70589)</f>
        <v>70589</v>
      </c>
      <c r="C246" s="8">
        <f ca="1">IFERROR(__xludf.DUMMYFUNCTION("""COMPUTED_VALUE"""),1611)</f>
        <v>1611</v>
      </c>
      <c r="D246" s="9">
        <f ca="1">IFERROR(__xludf.DUMMYFUNCTION("""COMPUTED_VALUE"""),1136)</f>
        <v>1136</v>
      </c>
      <c r="E246" s="8">
        <f ca="1">IFERROR(__xludf.DUMMYFUNCTION("""COMPUTED_VALUE"""),33)</f>
        <v>33</v>
      </c>
      <c r="F246" s="9">
        <f ca="1">IFERROR(__xludf.DUMMYFUNCTION("""COMPUTED_VALUE"""),3128)</f>
        <v>3128</v>
      </c>
    </row>
    <row r="247" spans="1:6" ht="13" x14ac:dyDescent="0.15">
      <c r="A247" s="7">
        <f ca="1">IFERROR(__xludf.DUMMYFUNCTION("""COMPUTED_VALUE"""),45903)</f>
        <v>45903</v>
      </c>
      <c r="B247" s="8">
        <f ca="1">IFERROR(__xludf.DUMMYFUNCTION("""COMPUTED_VALUE"""),29665)</f>
        <v>29665</v>
      </c>
      <c r="C247" s="8">
        <f ca="1">IFERROR(__xludf.DUMMYFUNCTION("""COMPUTED_VALUE"""),700)</f>
        <v>700</v>
      </c>
      <c r="D247" s="9">
        <f ca="1">IFERROR(__xludf.DUMMYFUNCTION("""COMPUTED_VALUE"""),604)</f>
        <v>604</v>
      </c>
      <c r="E247" s="8">
        <f ca="1">IFERROR(__xludf.DUMMYFUNCTION("""COMPUTED_VALUE"""),8)</f>
        <v>8</v>
      </c>
      <c r="F247" s="9">
        <f ca="1">IFERROR(__xludf.DUMMYFUNCTION("""COMPUTED_VALUE"""),1551)</f>
        <v>1551</v>
      </c>
    </row>
    <row r="248" spans="1:6" ht="13" x14ac:dyDescent="0.15">
      <c r="A248" s="7">
        <f ca="1">IFERROR(__xludf.DUMMYFUNCTION("""COMPUTED_VALUE"""),45904)</f>
        <v>45904</v>
      </c>
      <c r="B248" s="8">
        <f ca="1">IFERROR(__xludf.DUMMYFUNCTION("""COMPUTED_VALUE"""),99274)</f>
        <v>99274</v>
      </c>
      <c r="C248" s="8">
        <f ca="1">IFERROR(__xludf.DUMMYFUNCTION("""COMPUTED_VALUE"""),3436)</f>
        <v>3436</v>
      </c>
      <c r="D248" s="9">
        <f ca="1">IFERROR(__xludf.DUMMYFUNCTION("""COMPUTED_VALUE"""),2446)</f>
        <v>2446</v>
      </c>
      <c r="E248" s="8">
        <f ca="1">IFERROR(__xludf.DUMMYFUNCTION("""COMPUTED_VALUE"""),60)</f>
        <v>60</v>
      </c>
      <c r="F248" s="9">
        <f ca="1">IFERROR(__xludf.DUMMYFUNCTION("""COMPUTED_VALUE"""),10108)</f>
        <v>10108</v>
      </c>
    </row>
    <row r="249" spans="1:6" ht="13" x14ac:dyDescent="0.15">
      <c r="A249" s="7">
        <f ca="1">IFERROR(__xludf.DUMMYFUNCTION("""COMPUTED_VALUE"""),45905)</f>
        <v>45905</v>
      </c>
      <c r="B249" s="8">
        <f ca="1">IFERROR(__xludf.DUMMYFUNCTION("""COMPUTED_VALUE"""),101197)</f>
        <v>101197</v>
      </c>
      <c r="C249" s="8">
        <f ca="1">IFERROR(__xludf.DUMMYFUNCTION("""COMPUTED_VALUE"""),2414)</f>
        <v>2414</v>
      </c>
      <c r="D249" s="9">
        <f ca="1">IFERROR(__xludf.DUMMYFUNCTION("""COMPUTED_VALUE"""),2677)</f>
        <v>2677</v>
      </c>
      <c r="E249" s="8">
        <f ca="1">IFERROR(__xludf.DUMMYFUNCTION("""COMPUTED_VALUE"""),41)</f>
        <v>41</v>
      </c>
      <c r="F249" s="9">
        <f ca="1">IFERROR(__xludf.DUMMYFUNCTION("""COMPUTED_VALUE"""),8241)</f>
        <v>8241</v>
      </c>
    </row>
    <row r="250" spans="1:6" ht="13" x14ac:dyDescent="0.15">
      <c r="A250" s="7">
        <f ca="1">IFERROR(__xludf.DUMMYFUNCTION("""COMPUTED_VALUE"""),45906)</f>
        <v>45906</v>
      </c>
      <c r="B250" s="8">
        <f ca="1">IFERROR(__xludf.DUMMYFUNCTION("""COMPUTED_VALUE"""),47386)</f>
        <v>47386</v>
      </c>
      <c r="C250" s="8">
        <f ca="1">IFERROR(__xludf.DUMMYFUNCTION("""COMPUTED_VALUE"""),1122)</f>
        <v>1122</v>
      </c>
      <c r="D250" s="9">
        <f ca="1">IFERROR(__xludf.DUMMYFUNCTION("""COMPUTED_VALUE"""),1286)</f>
        <v>1286</v>
      </c>
      <c r="E250" s="8">
        <f ca="1">IFERROR(__xludf.DUMMYFUNCTION("""COMPUTED_VALUE"""),13)</f>
        <v>13</v>
      </c>
      <c r="F250" s="9">
        <f ca="1">IFERROR(__xludf.DUMMYFUNCTION("""COMPUTED_VALUE"""),2790)</f>
        <v>2790</v>
      </c>
    </row>
    <row r="251" spans="1:6" ht="13" x14ac:dyDescent="0.15">
      <c r="A251" s="7">
        <f ca="1">IFERROR(__xludf.DUMMYFUNCTION("""COMPUTED_VALUE"""),45907)</f>
        <v>45907</v>
      </c>
      <c r="B251" s="8">
        <f ca="1">IFERROR(__xludf.DUMMYFUNCTION("""COMPUTED_VALUE"""),28728)</f>
        <v>28728</v>
      </c>
      <c r="C251" s="8">
        <f ca="1">IFERROR(__xludf.DUMMYFUNCTION("""COMPUTED_VALUE"""),257)</f>
        <v>257</v>
      </c>
      <c r="D251" s="9">
        <f ca="1">IFERROR(__xludf.DUMMYFUNCTION("""COMPUTED_VALUE"""),303)</f>
        <v>303</v>
      </c>
      <c r="E251" s="8">
        <f ca="1">IFERROR(__xludf.DUMMYFUNCTION("""COMPUTED_VALUE"""),2)</f>
        <v>2</v>
      </c>
      <c r="F251" s="9">
        <f ca="1">IFERROR(__xludf.DUMMYFUNCTION("""COMPUTED_VALUE"""),455)</f>
        <v>455</v>
      </c>
    </row>
    <row r="252" spans="1:6" ht="13" x14ac:dyDescent="0.15">
      <c r="A252" s="7">
        <f ca="1">IFERROR(__xludf.DUMMYFUNCTION("""COMPUTED_VALUE"""),45908)</f>
        <v>45908</v>
      </c>
      <c r="B252" s="8">
        <f ca="1">IFERROR(__xludf.DUMMYFUNCTION("""COMPUTED_VALUE"""),54726)</f>
        <v>54726</v>
      </c>
      <c r="C252" s="8">
        <f ca="1">IFERROR(__xludf.DUMMYFUNCTION("""COMPUTED_VALUE"""),777)</f>
        <v>777</v>
      </c>
      <c r="D252" s="9">
        <f ca="1">IFERROR(__xludf.DUMMYFUNCTION("""COMPUTED_VALUE"""),820)</f>
        <v>820</v>
      </c>
      <c r="E252" s="8">
        <f ca="1">IFERROR(__xludf.DUMMYFUNCTION("""COMPUTED_VALUE"""),20)</f>
        <v>20</v>
      </c>
      <c r="F252" s="9">
        <f ca="1">IFERROR(__xludf.DUMMYFUNCTION("""COMPUTED_VALUE"""),3113)</f>
        <v>3113</v>
      </c>
    </row>
    <row r="253" spans="1:6" ht="13" x14ac:dyDescent="0.15">
      <c r="A253" s="7">
        <f ca="1">IFERROR(__xludf.DUMMYFUNCTION("""COMPUTED_VALUE"""),45909)</f>
        <v>45909</v>
      </c>
      <c r="B253" s="8">
        <f ca="1">IFERROR(__xludf.DUMMYFUNCTION("""COMPUTED_VALUE"""),25895)</f>
        <v>25895</v>
      </c>
      <c r="C253" s="8">
        <f ca="1">IFERROR(__xludf.DUMMYFUNCTION("""COMPUTED_VALUE"""),517)</f>
        <v>517</v>
      </c>
      <c r="D253" s="9">
        <f ca="1">IFERROR(__xludf.DUMMYFUNCTION("""COMPUTED_VALUE"""),353)</f>
        <v>353</v>
      </c>
      <c r="E253" s="8">
        <f ca="1">IFERROR(__xludf.DUMMYFUNCTION("""COMPUTED_VALUE"""),6)</f>
        <v>6</v>
      </c>
      <c r="F253" s="9">
        <f ca="1">IFERROR(__xludf.DUMMYFUNCTION("""COMPUTED_VALUE"""),1067)</f>
        <v>1067</v>
      </c>
    </row>
    <row r="254" spans="1:6" ht="13" x14ac:dyDescent="0.15">
      <c r="A254" s="7">
        <f ca="1">IFERROR(__xludf.DUMMYFUNCTION("""COMPUTED_VALUE"""),45910)</f>
        <v>45910</v>
      </c>
      <c r="B254" s="8">
        <f ca="1">IFERROR(__xludf.DUMMYFUNCTION("""COMPUTED_VALUE"""),75927)</f>
        <v>75927</v>
      </c>
      <c r="C254" s="8">
        <f ca="1">IFERROR(__xludf.DUMMYFUNCTION("""COMPUTED_VALUE"""),1465)</f>
        <v>1465</v>
      </c>
      <c r="D254" s="9">
        <f ca="1">IFERROR(__xludf.DUMMYFUNCTION("""COMPUTED_VALUE"""),1883)</f>
        <v>1883</v>
      </c>
      <c r="E254" s="8">
        <f ca="1">IFERROR(__xludf.DUMMYFUNCTION("""COMPUTED_VALUE"""),25)</f>
        <v>25</v>
      </c>
      <c r="F254" s="9">
        <f ca="1">IFERROR(__xludf.DUMMYFUNCTION("""COMPUTED_VALUE"""),3475)</f>
        <v>3475</v>
      </c>
    </row>
    <row r="255" spans="1:6" ht="13" x14ac:dyDescent="0.15">
      <c r="A255" s="7">
        <f ca="1">IFERROR(__xludf.DUMMYFUNCTION("""COMPUTED_VALUE"""),45911)</f>
        <v>45911</v>
      </c>
      <c r="B255" s="8">
        <f ca="1">IFERROR(__xludf.DUMMYFUNCTION("""COMPUTED_VALUE"""),78245)</f>
        <v>78245</v>
      </c>
      <c r="C255" s="8">
        <f ca="1">IFERROR(__xludf.DUMMYFUNCTION("""COMPUTED_VALUE"""),764)</f>
        <v>764</v>
      </c>
      <c r="D255" s="9">
        <f ca="1">IFERROR(__xludf.DUMMYFUNCTION("""COMPUTED_VALUE"""),800)</f>
        <v>800</v>
      </c>
      <c r="E255" s="8">
        <f ca="1">IFERROR(__xludf.DUMMYFUNCTION("""COMPUTED_VALUE"""),19)</f>
        <v>19</v>
      </c>
      <c r="F255" s="9">
        <f ca="1">IFERROR(__xludf.DUMMYFUNCTION("""COMPUTED_VALUE"""),3453)</f>
        <v>3453</v>
      </c>
    </row>
    <row r="256" spans="1:6" ht="13" x14ac:dyDescent="0.15">
      <c r="A256" s="7">
        <f ca="1">IFERROR(__xludf.DUMMYFUNCTION("""COMPUTED_VALUE"""),45912)</f>
        <v>45912</v>
      </c>
      <c r="B256" s="8">
        <f ca="1">IFERROR(__xludf.DUMMYFUNCTION("""COMPUTED_VALUE"""),59778)</f>
        <v>59778</v>
      </c>
      <c r="C256" s="8">
        <f ca="1">IFERROR(__xludf.DUMMYFUNCTION("""COMPUTED_VALUE"""),923)</f>
        <v>923</v>
      </c>
      <c r="D256" s="9">
        <f ca="1">IFERROR(__xludf.DUMMYFUNCTION("""COMPUTED_VALUE"""),833)</f>
        <v>833</v>
      </c>
      <c r="E256" s="8">
        <f ca="1">IFERROR(__xludf.DUMMYFUNCTION("""COMPUTED_VALUE"""),16)</f>
        <v>16</v>
      </c>
      <c r="F256" s="9">
        <f ca="1">IFERROR(__xludf.DUMMYFUNCTION("""COMPUTED_VALUE"""),2848)</f>
        <v>2848</v>
      </c>
    </row>
    <row r="257" spans="1:6" ht="13" x14ac:dyDescent="0.15">
      <c r="A257" s="7">
        <f ca="1">IFERROR(__xludf.DUMMYFUNCTION("""COMPUTED_VALUE"""),45913)</f>
        <v>45913</v>
      </c>
      <c r="B257" s="8">
        <f ca="1">IFERROR(__xludf.DUMMYFUNCTION("""COMPUTED_VALUE"""),105615)</f>
        <v>105615</v>
      </c>
      <c r="C257" s="8">
        <f ca="1">IFERROR(__xludf.DUMMYFUNCTION("""COMPUTED_VALUE"""),1765)</f>
        <v>1765</v>
      </c>
      <c r="D257" s="9">
        <f ca="1">IFERROR(__xludf.DUMMYFUNCTION("""COMPUTED_VALUE"""),1363)</f>
        <v>1363</v>
      </c>
      <c r="E257" s="8">
        <f ca="1">IFERROR(__xludf.DUMMYFUNCTION("""COMPUTED_VALUE"""),47)</f>
        <v>47</v>
      </c>
      <c r="F257" s="9">
        <f ca="1">IFERROR(__xludf.DUMMYFUNCTION("""COMPUTED_VALUE"""),6743)</f>
        <v>6743</v>
      </c>
    </row>
    <row r="258" spans="1:6" ht="13" x14ac:dyDescent="0.15">
      <c r="A258" s="7">
        <f ca="1">IFERROR(__xludf.DUMMYFUNCTION("""COMPUTED_VALUE"""),45914)</f>
        <v>45914</v>
      </c>
      <c r="B258" s="8">
        <f ca="1">IFERROR(__xludf.DUMMYFUNCTION("""COMPUTED_VALUE"""),98643)</f>
        <v>98643</v>
      </c>
      <c r="C258" s="8">
        <f ca="1">IFERROR(__xludf.DUMMYFUNCTION("""COMPUTED_VALUE"""),2265)</f>
        <v>2265</v>
      </c>
      <c r="D258" s="9">
        <f ca="1">IFERROR(__xludf.DUMMYFUNCTION("""COMPUTED_VALUE"""),1679)</f>
        <v>1679</v>
      </c>
      <c r="E258" s="8">
        <f ca="1">IFERROR(__xludf.DUMMYFUNCTION("""COMPUTED_VALUE"""),50)</f>
        <v>50</v>
      </c>
      <c r="F258" s="9">
        <f ca="1">IFERROR(__xludf.DUMMYFUNCTION("""COMPUTED_VALUE"""),8539)</f>
        <v>8539</v>
      </c>
    </row>
    <row r="259" spans="1:6" ht="13" x14ac:dyDescent="0.15">
      <c r="A259" s="7">
        <f ca="1">IFERROR(__xludf.DUMMYFUNCTION("""COMPUTED_VALUE"""),45915)</f>
        <v>45915</v>
      </c>
      <c r="B259" s="8">
        <f ca="1">IFERROR(__xludf.DUMMYFUNCTION("""COMPUTED_VALUE"""),63590)</f>
        <v>63590</v>
      </c>
      <c r="C259" s="8">
        <f ca="1">IFERROR(__xludf.DUMMYFUNCTION("""COMPUTED_VALUE"""),732)</f>
        <v>732</v>
      </c>
      <c r="D259" s="9">
        <f ca="1">IFERROR(__xludf.DUMMYFUNCTION("""COMPUTED_VALUE"""),730)</f>
        <v>730</v>
      </c>
      <c r="E259" s="8">
        <f ca="1">IFERROR(__xludf.DUMMYFUNCTION("""COMPUTED_VALUE"""),9)</f>
        <v>9</v>
      </c>
      <c r="F259" s="9">
        <f ca="1">IFERROR(__xludf.DUMMYFUNCTION("""COMPUTED_VALUE"""),1334)</f>
        <v>1334</v>
      </c>
    </row>
    <row r="260" spans="1:6" ht="13" x14ac:dyDescent="0.15">
      <c r="A260" s="7">
        <f ca="1">IFERROR(__xludf.DUMMYFUNCTION("""COMPUTED_VALUE"""),45916)</f>
        <v>45916</v>
      </c>
      <c r="B260" s="8">
        <f ca="1">IFERROR(__xludf.DUMMYFUNCTION("""COMPUTED_VALUE"""),68572)</f>
        <v>68572</v>
      </c>
      <c r="C260" s="8">
        <f ca="1">IFERROR(__xludf.DUMMYFUNCTION("""COMPUTED_VALUE"""),1670)</f>
        <v>1670</v>
      </c>
      <c r="D260" s="9">
        <f ca="1">IFERROR(__xludf.DUMMYFUNCTION("""COMPUTED_VALUE"""),1896)</f>
        <v>1896</v>
      </c>
      <c r="E260" s="8">
        <f ca="1">IFERROR(__xludf.DUMMYFUNCTION("""COMPUTED_VALUE"""),23)</f>
        <v>23</v>
      </c>
      <c r="F260" s="9">
        <f ca="1">IFERROR(__xludf.DUMMYFUNCTION("""COMPUTED_VALUE"""),4124)</f>
        <v>4124</v>
      </c>
    </row>
    <row r="261" spans="1:6" ht="13" x14ac:dyDescent="0.15">
      <c r="A261" s="7">
        <f ca="1">IFERROR(__xludf.DUMMYFUNCTION("""COMPUTED_VALUE"""),45917)</f>
        <v>45917</v>
      </c>
      <c r="B261" s="8">
        <f ca="1">IFERROR(__xludf.DUMMYFUNCTION("""COMPUTED_VALUE"""),46975)</f>
        <v>46975</v>
      </c>
      <c r="C261" s="8">
        <f ca="1">IFERROR(__xludf.DUMMYFUNCTION("""COMPUTED_VALUE"""),711)</f>
        <v>711</v>
      </c>
      <c r="D261" s="9">
        <f ca="1">IFERROR(__xludf.DUMMYFUNCTION("""COMPUTED_VALUE"""),744)</f>
        <v>744</v>
      </c>
      <c r="E261" s="8">
        <f ca="1">IFERROR(__xludf.DUMMYFUNCTION("""COMPUTED_VALUE"""),13)</f>
        <v>13</v>
      </c>
      <c r="F261" s="9">
        <f ca="1">IFERROR(__xludf.DUMMYFUNCTION("""COMPUTED_VALUE"""),1710)</f>
        <v>1710</v>
      </c>
    </row>
    <row r="262" spans="1:6" ht="13" x14ac:dyDescent="0.15">
      <c r="A262" s="7">
        <f ca="1">IFERROR(__xludf.DUMMYFUNCTION("""COMPUTED_VALUE"""),45918)</f>
        <v>45918</v>
      </c>
      <c r="B262" s="8">
        <f ca="1">IFERROR(__xludf.DUMMYFUNCTION("""COMPUTED_VALUE"""),23787)</f>
        <v>23787</v>
      </c>
      <c r="C262" s="8">
        <f ca="1">IFERROR(__xludf.DUMMYFUNCTION("""COMPUTED_VALUE"""),225)</f>
        <v>225</v>
      </c>
      <c r="D262" s="9">
        <f ca="1">IFERROR(__xludf.DUMMYFUNCTION("""COMPUTED_VALUE"""),261)</f>
        <v>261</v>
      </c>
      <c r="E262" s="8">
        <f ca="1">IFERROR(__xludf.DUMMYFUNCTION("""COMPUTED_VALUE"""),3)</f>
        <v>3</v>
      </c>
      <c r="F262" s="9">
        <f ca="1">IFERROR(__xludf.DUMMYFUNCTION("""COMPUTED_VALUE"""),665)</f>
        <v>665</v>
      </c>
    </row>
    <row r="263" spans="1:6" ht="13" x14ac:dyDescent="0.15">
      <c r="A263" s="7">
        <f ca="1">IFERROR(__xludf.DUMMYFUNCTION("""COMPUTED_VALUE"""),45919)</f>
        <v>45919</v>
      </c>
      <c r="B263" s="8">
        <f ca="1">IFERROR(__xludf.DUMMYFUNCTION("""COMPUTED_VALUE"""),24284)</f>
        <v>24284</v>
      </c>
      <c r="C263" s="8">
        <f ca="1">IFERROR(__xludf.DUMMYFUNCTION("""COMPUTED_VALUE"""),168)</f>
        <v>168</v>
      </c>
      <c r="D263" s="9">
        <f ca="1">IFERROR(__xludf.DUMMYFUNCTION("""COMPUTED_VALUE"""),222)</f>
        <v>222</v>
      </c>
      <c r="E263" s="8">
        <f ca="1">IFERROR(__xludf.DUMMYFUNCTION("""COMPUTED_VALUE"""),2)</f>
        <v>2</v>
      </c>
      <c r="F263" s="9">
        <f ca="1">IFERROR(__xludf.DUMMYFUNCTION("""COMPUTED_VALUE"""),333)</f>
        <v>333</v>
      </c>
    </row>
    <row r="264" spans="1:6" ht="13" x14ac:dyDescent="0.15">
      <c r="A264" s="7">
        <f ca="1">IFERROR(__xludf.DUMMYFUNCTION("""COMPUTED_VALUE"""),45920)</f>
        <v>45920</v>
      </c>
      <c r="B264" s="8">
        <f ca="1">IFERROR(__xludf.DUMMYFUNCTION("""COMPUTED_VALUE"""),20373)</f>
        <v>20373</v>
      </c>
      <c r="C264" s="8">
        <f ca="1">IFERROR(__xludf.DUMMYFUNCTION("""COMPUTED_VALUE"""),171)</f>
        <v>171</v>
      </c>
      <c r="D264" s="9">
        <f ca="1">IFERROR(__xludf.DUMMYFUNCTION("""COMPUTED_VALUE"""),214)</f>
        <v>214</v>
      </c>
      <c r="E264" s="8">
        <f ca="1">IFERROR(__xludf.DUMMYFUNCTION("""COMPUTED_VALUE"""),3)</f>
        <v>3</v>
      </c>
      <c r="F264" s="9">
        <f ca="1">IFERROR(__xludf.DUMMYFUNCTION("""COMPUTED_VALUE"""),550)</f>
        <v>550</v>
      </c>
    </row>
    <row r="265" spans="1:6" ht="13" x14ac:dyDescent="0.15">
      <c r="A265" s="7">
        <f ca="1">IFERROR(__xludf.DUMMYFUNCTION("""COMPUTED_VALUE"""),45921)</f>
        <v>45921</v>
      </c>
      <c r="B265" s="8">
        <f ca="1">IFERROR(__xludf.DUMMYFUNCTION("""COMPUTED_VALUE"""),107000)</f>
        <v>107000</v>
      </c>
      <c r="C265" s="8">
        <f ca="1">IFERROR(__xludf.DUMMYFUNCTION("""COMPUTED_VALUE"""),1702)</f>
        <v>1702</v>
      </c>
      <c r="D265" s="9">
        <f ca="1">IFERROR(__xludf.DUMMYFUNCTION("""COMPUTED_VALUE"""),1597)</f>
        <v>1597</v>
      </c>
      <c r="E265" s="8">
        <f ca="1">IFERROR(__xludf.DUMMYFUNCTION("""COMPUTED_VALUE"""),30)</f>
        <v>30</v>
      </c>
      <c r="F265" s="9">
        <f ca="1">IFERROR(__xludf.DUMMYFUNCTION("""COMPUTED_VALUE"""),4962)</f>
        <v>4962</v>
      </c>
    </row>
    <row r="266" spans="1:6" ht="13" x14ac:dyDescent="0.15">
      <c r="A266" s="7">
        <f ca="1">IFERROR(__xludf.DUMMYFUNCTION("""COMPUTED_VALUE"""),45922)</f>
        <v>45922</v>
      </c>
      <c r="B266" s="8">
        <f ca="1">IFERROR(__xludf.DUMMYFUNCTION("""COMPUTED_VALUE"""),83233)</f>
        <v>83233</v>
      </c>
      <c r="C266" s="8">
        <f ca="1">IFERROR(__xludf.DUMMYFUNCTION("""COMPUTED_VALUE"""),1901)</f>
        <v>1901</v>
      </c>
      <c r="D266" s="9">
        <f ca="1">IFERROR(__xludf.DUMMYFUNCTION("""COMPUTED_VALUE"""),2625)</f>
        <v>2625</v>
      </c>
      <c r="E266" s="8">
        <f ca="1">IFERROR(__xludf.DUMMYFUNCTION("""COMPUTED_VALUE"""),40)</f>
        <v>40</v>
      </c>
      <c r="F266" s="9">
        <f ca="1">IFERROR(__xludf.DUMMYFUNCTION("""COMPUTED_VALUE"""),8035)</f>
        <v>8035</v>
      </c>
    </row>
    <row r="267" spans="1:6" ht="13" x14ac:dyDescent="0.15">
      <c r="A267" s="7">
        <f ca="1">IFERROR(__xludf.DUMMYFUNCTION("""COMPUTED_VALUE"""),45923)</f>
        <v>45923</v>
      </c>
      <c r="B267" s="8">
        <f ca="1">IFERROR(__xludf.DUMMYFUNCTION("""COMPUTED_VALUE"""),31103)</f>
        <v>31103</v>
      </c>
      <c r="C267" s="8">
        <f ca="1">IFERROR(__xludf.DUMMYFUNCTION("""COMPUTED_VALUE"""),912)</f>
        <v>912</v>
      </c>
      <c r="D267" s="9">
        <f ca="1">IFERROR(__xludf.DUMMYFUNCTION("""COMPUTED_VALUE"""),793)</f>
        <v>793</v>
      </c>
      <c r="E267" s="8">
        <f ca="1">IFERROR(__xludf.DUMMYFUNCTION("""COMPUTED_VALUE"""),12)</f>
        <v>12</v>
      </c>
      <c r="F267" s="9">
        <f ca="1">IFERROR(__xludf.DUMMYFUNCTION("""COMPUTED_VALUE"""),2327)</f>
        <v>2327</v>
      </c>
    </row>
    <row r="268" spans="1:6" ht="13" x14ac:dyDescent="0.15">
      <c r="A268" s="7">
        <f ca="1">IFERROR(__xludf.DUMMYFUNCTION("""COMPUTED_VALUE"""),45924)</f>
        <v>45924</v>
      </c>
      <c r="B268" s="8">
        <f ca="1">IFERROR(__xludf.DUMMYFUNCTION("""COMPUTED_VALUE"""),70541)</f>
        <v>70541</v>
      </c>
      <c r="C268" s="8">
        <f ca="1">IFERROR(__xludf.DUMMYFUNCTION("""COMPUTED_VALUE"""),2052)</f>
        <v>2052</v>
      </c>
      <c r="D268" s="9">
        <f ca="1">IFERROR(__xludf.DUMMYFUNCTION("""COMPUTED_VALUE"""),1695)</f>
        <v>1695</v>
      </c>
      <c r="E268" s="8">
        <f ca="1">IFERROR(__xludf.DUMMYFUNCTION("""COMPUTED_VALUE"""),46)</f>
        <v>46</v>
      </c>
      <c r="F268" s="9">
        <f ca="1">IFERROR(__xludf.DUMMYFUNCTION("""COMPUTED_VALUE"""),5255)</f>
        <v>5255</v>
      </c>
    </row>
    <row r="269" spans="1:6" ht="13" x14ac:dyDescent="0.15">
      <c r="A269" s="7">
        <f ca="1">IFERROR(__xludf.DUMMYFUNCTION("""COMPUTED_VALUE"""),45925)</f>
        <v>45925</v>
      </c>
      <c r="B269" s="8">
        <f ca="1">IFERROR(__xludf.DUMMYFUNCTION("""COMPUTED_VALUE"""),80992)</f>
        <v>80992</v>
      </c>
      <c r="C269" s="8">
        <f ca="1">IFERROR(__xludf.DUMMYFUNCTION("""COMPUTED_VALUE"""),1169)</f>
        <v>1169</v>
      </c>
      <c r="D269" s="9">
        <f ca="1">IFERROR(__xludf.DUMMYFUNCTION("""COMPUTED_VALUE"""),1411)</f>
        <v>1411</v>
      </c>
      <c r="E269" s="8">
        <f ca="1">IFERROR(__xludf.DUMMYFUNCTION("""COMPUTED_VALUE"""),16)</f>
        <v>16</v>
      </c>
      <c r="F269" s="9">
        <f ca="1">IFERROR(__xludf.DUMMYFUNCTION("""COMPUTED_VALUE"""),1739)</f>
        <v>1739</v>
      </c>
    </row>
    <row r="270" spans="1:6" ht="13" x14ac:dyDescent="0.15">
      <c r="A270" s="7">
        <f ca="1">IFERROR(__xludf.DUMMYFUNCTION("""COMPUTED_VALUE"""),45926)</f>
        <v>45926</v>
      </c>
      <c r="B270" s="8">
        <f ca="1">IFERROR(__xludf.DUMMYFUNCTION("""COMPUTED_VALUE"""),89844)</f>
        <v>89844</v>
      </c>
      <c r="C270" s="8">
        <f ca="1">IFERROR(__xludf.DUMMYFUNCTION("""COMPUTED_VALUE"""),2011)</f>
        <v>2011</v>
      </c>
      <c r="D270" s="9">
        <f ca="1">IFERROR(__xludf.DUMMYFUNCTION("""COMPUTED_VALUE"""),2096)</f>
        <v>2096</v>
      </c>
      <c r="E270" s="8">
        <f ca="1">IFERROR(__xludf.DUMMYFUNCTION("""COMPUTED_VALUE"""),51)</f>
        <v>51</v>
      </c>
      <c r="F270" s="9">
        <f ca="1">IFERROR(__xludf.DUMMYFUNCTION("""COMPUTED_VALUE"""),9222)</f>
        <v>9222</v>
      </c>
    </row>
    <row r="271" spans="1:6" ht="13" x14ac:dyDescent="0.15">
      <c r="A271" s="7">
        <f ca="1">IFERROR(__xludf.DUMMYFUNCTION("""COMPUTED_VALUE"""),45927)</f>
        <v>45927</v>
      </c>
      <c r="B271" s="8">
        <f ca="1">IFERROR(__xludf.DUMMYFUNCTION("""COMPUTED_VALUE"""),53168)</f>
        <v>53168</v>
      </c>
      <c r="C271" s="8">
        <f ca="1">IFERROR(__xludf.DUMMYFUNCTION("""COMPUTED_VALUE"""),884)</f>
        <v>884</v>
      </c>
      <c r="D271" s="9">
        <f ca="1">IFERROR(__xludf.DUMMYFUNCTION("""COMPUTED_VALUE"""),722)</f>
        <v>722</v>
      </c>
      <c r="E271" s="8">
        <f ca="1">IFERROR(__xludf.DUMMYFUNCTION("""COMPUTED_VALUE"""),18)</f>
        <v>18</v>
      </c>
      <c r="F271" s="9">
        <f ca="1">IFERROR(__xludf.DUMMYFUNCTION("""COMPUTED_VALUE"""),3181)</f>
        <v>3181</v>
      </c>
    </row>
    <row r="272" spans="1:6" ht="13" x14ac:dyDescent="0.15">
      <c r="A272" s="7">
        <f ca="1">IFERROR(__xludf.DUMMYFUNCTION("""COMPUTED_VALUE"""),45928)</f>
        <v>45928</v>
      </c>
      <c r="B272" s="8">
        <f ca="1">IFERROR(__xludf.DUMMYFUNCTION("""COMPUTED_VALUE"""),25790)</f>
        <v>25790</v>
      </c>
      <c r="C272" s="8">
        <f ca="1">IFERROR(__xludf.DUMMYFUNCTION("""COMPUTED_VALUE"""),290)</f>
        <v>290</v>
      </c>
      <c r="D272" s="9">
        <f ca="1">IFERROR(__xludf.DUMMYFUNCTION("""COMPUTED_VALUE"""),229)</f>
        <v>229</v>
      </c>
      <c r="E272" s="8">
        <f ca="1">IFERROR(__xludf.DUMMYFUNCTION("""COMPUTED_VALUE"""),5)</f>
        <v>5</v>
      </c>
      <c r="F272" s="9">
        <f ca="1">IFERROR(__xludf.DUMMYFUNCTION("""COMPUTED_VALUE"""),796)</f>
        <v>796</v>
      </c>
    </row>
    <row r="273" spans="1:6" ht="13" x14ac:dyDescent="0.15">
      <c r="A273" s="7">
        <f ca="1">IFERROR(__xludf.DUMMYFUNCTION("""COMPUTED_VALUE"""),45929)</f>
        <v>45929</v>
      </c>
      <c r="B273" s="8">
        <f ca="1">IFERROR(__xludf.DUMMYFUNCTION("""COMPUTED_VALUE"""),36441)</f>
        <v>36441</v>
      </c>
      <c r="C273" s="8">
        <f ca="1">IFERROR(__xludf.DUMMYFUNCTION("""COMPUTED_VALUE"""),980)</f>
        <v>980</v>
      </c>
      <c r="D273" s="9">
        <f ca="1">IFERROR(__xludf.DUMMYFUNCTION("""COMPUTED_VALUE"""),812)</f>
        <v>812</v>
      </c>
      <c r="E273" s="8">
        <f ca="1">IFERROR(__xludf.DUMMYFUNCTION("""COMPUTED_VALUE"""),13)</f>
        <v>13</v>
      </c>
      <c r="F273" s="9">
        <f ca="1">IFERROR(__xludf.DUMMYFUNCTION("""COMPUTED_VALUE"""),1560)</f>
        <v>1560</v>
      </c>
    </row>
    <row r="274" spans="1:6" ht="13" x14ac:dyDescent="0.15">
      <c r="A274" s="7">
        <f ca="1">IFERROR(__xludf.DUMMYFUNCTION("""COMPUTED_VALUE"""),45930)</f>
        <v>45930</v>
      </c>
      <c r="B274" s="8">
        <f ca="1">IFERROR(__xludf.DUMMYFUNCTION("""COMPUTED_VALUE"""),50459)</f>
        <v>50459</v>
      </c>
      <c r="C274" s="8">
        <f ca="1">IFERROR(__xludf.DUMMYFUNCTION("""COMPUTED_VALUE"""),1404)</f>
        <v>1404</v>
      </c>
      <c r="D274" s="9">
        <f ca="1">IFERROR(__xludf.DUMMYFUNCTION("""COMPUTED_VALUE"""),1414)</f>
        <v>1414</v>
      </c>
      <c r="E274" s="8">
        <f ca="1">IFERROR(__xludf.DUMMYFUNCTION("""COMPUTED_VALUE"""),23)</f>
        <v>23</v>
      </c>
      <c r="F274" s="9">
        <f ca="1">IFERROR(__xludf.DUMMYFUNCTION("""COMPUTED_VALUE"""),2532)</f>
        <v>2532</v>
      </c>
    </row>
    <row r="275" spans="1:6" ht="13" x14ac:dyDescent="0.15">
      <c r="A275" s="7">
        <f ca="1">IFERROR(__xludf.DUMMYFUNCTION("""COMPUTED_VALUE"""),45931)</f>
        <v>45931</v>
      </c>
      <c r="B275" s="8">
        <f ca="1">IFERROR(__xludf.DUMMYFUNCTION("""COMPUTED_VALUE"""),67085)</f>
        <v>67085</v>
      </c>
      <c r="C275" s="8">
        <f ca="1">IFERROR(__xludf.DUMMYFUNCTION("""COMPUTED_VALUE"""),1912)</f>
        <v>1912</v>
      </c>
      <c r="D275" s="9">
        <f ca="1">IFERROR(__xludf.DUMMYFUNCTION("""COMPUTED_VALUE"""),2178)</f>
        <v>2178</v>
      </c>
      <c r="E275" s="8">
        <f ca="1">IFERROR(__xludf.DUMMYFUNCTION("""COMPUTED_VALUE"""),38)</f>
        <v>38</v>
      </c>
      <c r="F275" s="9">
        <f ca="1">IFERROR(__xludf.DUMMYFUNCTION("""COMPUTED_VALUE"""),6681)</f>
        <v>6681</v>
      </c>
    </row>
    <row r="276" spans="1:6" ht="13" x14ac:dyDescent="0.15">
      <c r="A276" s="7">
        <f ca="1">IFERROR(__xludf.DUMMYFUNCTION("""COMPUTED_VALUE"""),45932)</f>
        <v>45932</v>
      </c>
      <c r="B276" s="8">
        <f ca="1">IFERROR(__xludf.DUMMYFUNCTION("""COMPUTED_VALUE"""),84767)</f>
        <v>84767</v>
      </c>
      <c r="C276" s="8">
        <f ca="1">IFERROR(__xludf.DUMMYFUNCTION("""COMPUTED_VALUE"""),2601)</f>
        <v>2601</v>
      </c>
      <c r="D276" s="9">
        <f ca="1">IFERROR(__xludf.DUMMYFUNCTION("""COMPUTED_VALUE"""),2572)</f>
        <v>2572</v>
      </c>
      <c r="E276" s="8">
        <f ca="1">IFERROR(__xludf.DUMMYFUNCTION("""COMPUTED_VALUE"""),60)</f>
        <v>60</v>
      </c>
      <c r="F276" s="9">
        <f ca="1">IFERROR(__xludf.DUMMYFUNCTION("""COMPUTED_VALUE"""),6182)</f>
        <v>6182</v>
      </c>
    </row>
    <row r="277" spans="1:6" ht="13" x14ac:dyDescent="0.15">
      <c r="A277" s="7">
        <f ca="1">IFERROR(__xludf.DUMMYFUNCTION("""COMPUTED_VALUE"""),45933)</f>
        <v>45933</v>
      </c>
      <c r="B277" s="8">
        <f ca="1">IFERROR(__xludf.DUMMYFUNCTION("""COMPUTED_VALUE"""),92837)</f>
        <v>92837</v>
      </c>
      <c r="C277" s="8">
        <f ca="1">IFERROR(__xludf.DUMMYFUNCTION("""COMPUTED_VALUE"""),2278)</f>
        <v>2278</v>
      </c>
      <c r="D277" s="9">
        <f ca="1">IFERROR(__xludf.DUMMYFUNCTION("""COMPUTED_VALUE"""),1400)</f>
        <v>1400</v>
      </c>
      <c r="E277" s="8">
        <f ca="1">IFERROR(__xludf.DUMMYFUNCTION("""COMPUTED_VALUE"""),44)</f>
        <v>44</v>
      </c>
      <c r="F277" s="9">
        <f ca="1">IFERROR(__xludf.DUMMYFUNCTION("""COMPUTED_VALUE"""),7762)</f>
        <v>7762</v>
      </c>
    </row>
    <row r="278" spans="1:6" ht="13" x14ac:dyDescent="0.15">
      <c r="A278" s="7">
        <f ca="1">IFERROR(__xludf.DUMMYFUNCTION("""COMPUTED_VALUE"""),45934)</f>
        <v>45934</v>
      </c>
      <c r="B278" s="8">
        <f ca="1">IFERROR(__xludf.DUMMYFUNCTION("""COMPUTED_VALUE"""),91518)</f>
        <v>91518</v>
      </c>
      <c r="C278" s="8">
        <f ca="1">IFERROR(__xludf.DUMMYFUNCTION("""COMPUTED_VALUE"""),2090)</f>
        <v>2090</v>
      </c>
      <c r="D278" s="9">
        <f ca="1">IFERROR(__xludf.DUMMYFUNCTION("""COMPUTED_VALUE"""),1932)</f>
        <v>1932</v>
      </c>
      <c r="E278" s="8">
        <f ca="1">IFERROR(__xludf.DUMMYFUNCTION("""COMPUTED_VALUE"""),44)</f>
        <v>44</v>
      </c>
      <c r="F278" s="9">
        <f ca="1">IFERROR(__xludf.DUMMYFUNCTION("""COMPUTED_VALUE"""),8930)</f>
        <v>8930</v>
      </c>
    </row>
    <row r="279" spans="1:6" ht="13" x14ac:dyDescent="0.15">
      <c r="A279" s="7">
        <f ca="1">IFERROR(__xludf.DUMMYFUNCTION("""COMPUTED_VALUE"""),45935)</f>
        <v>45935</v>
      </c>
      <c r="B279" s="8">
        <f ca="1">IFERROR(__xludf.DUMMYFUNCTION("""COMPUTED_VALUE"""),60713)</f>
        <v>60713</v>
      </c>
      <c r="C279" s="8">
        <f ca="1">IFERROR(__xludf.DUMMYFUNCTION("""COMPUTED_VALUE"""),1004)</f>
        <v>1004</v>
      </c>
      <c r="D279" s="9">
        <f ca="1">IFERROR(__xludf.DUMMYFUNCTION("""COMPUTED_VALUE"""),948)</f>
        <v>948</v>
      </c>
      <c r="E279" s="8">
        <f ca="1">IFERROR(__xludf.DUMMYFUNCTION("""COMPUTED_VALUE"""),18)</f>
        <v>18</v>
      </c>
      <c r="F279" s="9">
        <f ca="1">IFERROR(__xludf.DUMMYFUNCTION("""COMPUTED_VALUE"""),2567)</f>
        <v>2567</v>
      </c>
    </row>
    <row r="280" spans="1:6" ht="13" x14ac:dyDescent="0.15">
      <c r="A280" s="7">
        <f ca="1">IFERROR(__xludf.DUMMYFUNCTION("""COMPUTED_VALUE"""),45936)</f>
        <v>45936</v>
      </c>
      <c r="B280" s="8">
        <f ca="1">IFERROR(__xludf.DUMMYFUNCTION("""COMPUTED_VALUE"""),64768)</f>
        <v>64768</v>
      </c>
      <c r="C280" s="8">
        <f ca="1">IFERROR(__xludf.DUMMYFUNCTION("""COMPUTED_VALUE"""),1698)</f>
        <v>1698</v>
      </c>
      <c r="D280" s="9">
        <f ca="1">IFERROR(__xludf.DUMMYFUNCTION("""COMPUTED_VALUE"""),1963)</f>
        <v>1963</v>
      </c>
      <c r="E280" s="8">
        <f ca="1">IFERROR(__xludf.DUMMYFUNCTION("""COMPUTED_VALUE"""),28)</f>
        <v>28</v>
      </c>
      <c r="F280" s="9">
        <f ca="1">IFERROR(__xludf.DUMMYFUNCTION("""COMPUTED_VALUE"""),5116)</f>
        <v>5116</v>
      </c>
    </row>
    <row r="281" spans="1:6" ht="13" x14ac:dyDescent="0.15">
      <c r="A281" s="7">
        <f ca="1">IFERROR(__xludf.DUMMYFUNCTION("""COMPUTED_VALUE"""),45937)</f>
        <v>45937</v>
      </c>
      <c r="B281" s="8">
        <f ca="1">IFERROR(__xludf.DUMMYFUNCTION("""COMPUTED_VALUE"""),27997)</f>
        <v>27997</v>
      </c>
      <c r="C281" s="8">
        <f ca="1">IFERROR(__xludf.DUMMYFUNCTION("""COMPUTED_VALUE"""),466)</f>
        <v>466</v>
      </c>
      <c r="D281" s="9">
        <f ca="1">IFERROR(__xludf.DUMMYFUNCTION("""COMPUTED_VALUE"""),375)</f>
        <v>375</v>
      </c>
      <c r="E281" s="8">
        <f ca="1">IFERROR(__xludf.DUMMYFUNCTION("""COMPUTED_VALUE"""),6)</f>
        <v>6</v>
      </c>
      <c r="F281" s="9">
        <f ca="1">IFERROR(__xludf.DUMMYFUNCTION("""COMPUTED_VALUE"""),1296)</f>
        <v>1296</v>
      </c>
    </row>
    <row r="282" spans="1:6" ht="13" x14ac:dyDescent="0.15">
      <c r="A282" s="7">
        <f ca="1">IFERROR(__xludf.DUMMYFUNCTION("""COMPUTED_VALUE"""),45938)</f>
        <v>45938</v>
      </c>
      <c r="B282" s="8">
        <f ca="1">IFERROR(__xludf.DUMMYFUNCTION("""COMPUTED_VALUE"""),103912)</f>
        <v>103912</v>
      </c>
      <c r="C282" s="8">
        <f ca="1">IFERROR(__xludf.DUMMYFUNCTION("""COMPUTED_VALUE"""),2549)</f>
        <v>2549</v>
      </c>
      <c r="D282" s="9">
        <f ca="1">IFERROR(__xludf.DUMMYFUNCTION("""COMPUTED_VALUE"""),2582)</f>
        <v>2582</v>
      </c>
      <c r="E282" s="8">
        <f ca="1">IFERROR(__xludf.DUMMYFUNCTION("""COMPUTED_VALUE"""),50)</f>
        <v>50</v>
      </c>
      <c r="F282" s="9">
        <f ca="1">IFERROR(__xludf.DUMMYFUNCTION("""COMPUTED_VALUE"""),6485)</f>
        <v>6485</v>
      </c>
    </row>
    <row r="283" spans="1:6" ht="13" x14ac:dyDescent="0.15">
      <c r="A283" s="7">
        <f ca="1">IFERROR(__xludf.DUMMYFUNCTION("""COMPUTED_VALUE"""),45939)</f>
        <v>45939</v>
      </c>
      <c r="B283" s="8">
        <f ca="1">IFERROR(__xludf.DUMMYFUNCTION("""COMPUTED_VALUE"""),72249)</f>
        <v>72249</v>
      </c>
      <c r="C283" s="8">
        <f ca="1">IFERROR(__xludf.DUMMYFUNCTION("""COMPUTED_VALUE"""),1466)</f>
        <v>1466</v>
      </c>
      <c r="D283" s="9">
        <f ca="1">IFERROR(__xludf.DUMMYFUNCTION("""COMPUTED_VALUE"""),1286)</f>
        <v>1286</v>
      </c>
      <c r="E283" s="8">
        <f ca="1">IFERROR(__xludf.DUMMYFUNCTION("""COMPUTED_VALUE"""),19)</f>
        <v>19</v>
      </c>
      <c r="F283" s="9">
        <f ca="1">IFERROR(__xludf.DUMMYFUNCTION("""COMPUTED_VALUE"""),3309)</f>
        <v>3309</v>
      </c>
    </row>
    <row r="284" spans="1:6" ht="13" x14ac:dyDescent="0.15">
      <c r="A284" s="7">
        <f ca="1">IFERROR(__xludf.DUMMYFUNCTION("""COMPUTED_VALUE"""),45940)</f>
        <v>45940</v>
      </c>
      <c r="B284" s="8">
        <f ca="1">IFERROR(__xludf.DUMMYFUNCTION("""COMPUTED_VALUE"""),102424)</f>
        <v>102424</v>
      </c>
      <c r="C284" s="8">
        <f ca="1">IFERROR(__xludf.DUMMYFUNCTION("""COMPUTED_VALUE"""),1770)</f>
        <v>1770</v>
      </c>
      <c r="D284" s="9">
        <f ca="1">IFERROR(__xludf.DUMMYFUNCTION("""COMPUTED_VALUE"""),1333)</f>
        <v>1333</v>
      </c>
      <c r="E284" s="8">
        <f ca="1">IFERROR(__xludf.DUMMYFUNCTION("""COMPUTED_VALUE"""),44)</f>
        <v>44</v>
      </c>
      <c r="F284" s="9">
        <f ca="1">IFERROR(__xludf.DUMMYFUNCTION("""COMPUTED_VALUE"""),5958)</f>
        <v>5958</v>
      </c>
    </row>
    <row r="285" spans="1:6" ht="13" x14ac:dyDescent="0.15">
      <c r="A285" s="7">
        <f ca="1">IFERROR(__xludf.DUMMYFUNCTION("""COMPUTED_VALUE"""),45941)</f>
        <v>45941</v>
      </c>
      <c r="B285" s="8">
        <f ca="1">IFERROR(__xludf.DUMMYFUNCTION("""COMPUTED_VALUE"""),81040)</f>
        <v>81040</v>
      </c>
      <c r="C285" s="8">
        <f ca="1">IFERROR(__xludf.DUMMYFUNCTION("""COMPUTED_VALUE"""),1374)</f>
        <v>1374</v>
      </c>
      <c r="D285" s="9">
        <f ca="1">IFERROR(__xludf.DUMMYFUNCTION("""COMPUTED_VALUE"""),1105)</f>
        <v>1105</v>
      </c>
      <c r="E285" s="8">
        <f ca="1">IFERROR(__xludf.DUMMYFUNCTION("""COMPUTED_VALUE"""),20)</f>
        <v>20</v>
      </c>
      <c r="F285" s="9">
        <f ca="1">IFERROR(__xludf.DUMMYFUNCTION("""COMPUTED_VALUE"""),3000)</f>
        <v>3000</v>
      </c>
    </row>
    <row r="286" spans="1:6" ht="13" x14ac:dyDescent="0.15">
      <c r="A286" s="7">
        <f ca="1">IFERROR(__xludf.DUMMYFUNCTION("""COMPUTED_VALUE"""),45942)</f>
        <v>45942</v>
      </c>
      <c r="B286" s="8">
        <f ca="1">IFERROR(__xludf.DUMMYFUNCTION("""COMPUTED_VALUE"""),29842)</f>
        <v>29842</v>
      </c>
      <c r="C286" s="8">
        <f ca="1">IFERROR(__xludf.DUMMYFUNCTION("""COMPUTED_VALUE"""),366)</f>
        <v>366</v>
      </c>
      <c r="D286" s="9">
        <f ca="1">IFERROR(__xludf.DUMMYFUNCTION("""COMPUTED_VALUE"""),206)</f>
        <v>206</v>
      </c>
      <c r="E286" s="8">
        <f ca="1">IFERROR(__xludf.DUMMYFUNCTION("""COMPUTED_VALUE"""),3)</f>
        <v>3</v>
      </c>
      <c r="F286" s="9">
        <f ca="1">IFERROR(__xludf.DUMMYFUNCTION("""COMPUTED_VALUE"""),622)</f>
        <v>622</v>
      </c>
    </row>
    <row r="287" spans="1:6" ht="13" x14ac:dyDescent="0.15">
      <c r="A287" s="7">
        <f ca="1">IFERROR(__xludf.DUMMYFUNCTION("""COMPUTED_VALUE"""),45943)</f>
        <v>45943</v>
      </c>
      <c r="B287" s="8">
        <f ca="1">IFERROR(__xludf.DUMMYFUNCTION("""COMPUTED_VALUE"""),95787)</f>
        <v>95787</v>
      </c>
      <c r="C287" s="8">
        <f ca="1">IFERROR(__xludf.DUMMYFUNCTION("""COMPUTED_VALUE"""),2949)</f>
        <v>2949</v>
      </c>
      <c r="D287" s="9">
        <f ca="1">IFERROR(__xludf.DUMMYFUNCTION("""COMPUTED_VALUE"""),2021)</f>
        <v>2021</v>
      </c>
      <c r="E287" s="8">
        <f ca="1">IFERROR(__xludf.DUMMYFUNCTION("""COMPUTED_VALUE"""),58)</f>
        <v>58</v>
      </c>
      <c r="F287" s="9">
        <f ca="1">IFERROR(__xludf.DUMMYFUNCTION("""COMPUTED_VALUE"""),7138)</f>
        <v>7138</v>
      </c>
    </row>
    <row r="288" spans="1:6" ht="13" x14ac:dyDescent="0.15">
      <c r="A288" s="7">
        <f ca="1">IFERROR(__xludf.DUMMYFUNCTION("""COMPUTED_VALUE"""),45944)</f>
        <v>45944</v>
      </c>
      <c r="B288" s="8">
        <f ca="1">IFERROR(__xludf.DUMMYFUNCTION("""COMPUTED_VALUE"""),42877)</f>
        <v>42877</v>
      </c>
      <c r="C288" s="8">
        <f ca="1">IFERROR(__xludf.DUMMYFUNCTION("""COMPUTED_VALUE"""),1058)</f>
        <v>1058</v>
      </c>
      <c r="D288" s="9">
        <f ca="1">IFERROR(__xludf.DUMMYFUNCTION("""COMPUTED_VALUE"""),1050)</f>
        <v>1050</v>
      </c>
      <c r="E288" s="8">
        <f ca="1">IFERROR(__xludf.DUMMYFUNCTION("""COMPUTED_VALUE"""),19)</f>
        <v>19</v>
      </c>
      <c r="F288" s="9">
        <f ca="1">IFERROR(__xludf.DUMMYFUNCTION("""COMPUTED_VALUE"""),2899)</f>
        <v>2899</v>
      </c>
    </row>
    <row r="289" spans="1:6" ht="13" x14ac:dyDescent="0.15">
      <c r="A289" s="7">
        <f ca="1">IFERROR(__xludf.DUMMYFUNCTION("""COMPUTED_VALUE"""),45945)</f>
        <v>45945</v>
      </c>
      <c r="B289" s="8">
        <f ca="1">IFERROR(__xludf.DUMMYFUNCTION("""COMPUTED_VALUE"""),61603)</f>
        <v>61603</v>
      </c>
      <c r="C289" s="8">
        <f ca="1">IFERROR(__xludf.DUMMYFUNCTION("""COMPUTED_VALUE"""),1306)</f>
        <v>1306</v>
      </c>
      <c r="D289" s="9">
        <f ca="1">IFERROR(__xludf.DUMMYFUNCTION("""COMPUTED_VALUE"""),1510)</f>
        <v>1510</v>
      </c>
      <c r="E289" s="8">
        <f ca="1">IFERROR(__xludf.DUMMYFUNCTION("""COMPUTED_VALUE"""),29)</f>
        <v>29</v>
      </c>
      <c r="F289" s="9">
        <f ca="1">IFERROR(__xludf.DUMMYFUNCTION("""COMPUTED_VALUE"""),5140)</f>
        <v>5140</v>
      </c>
    </row>
    <row r="290" spans="1:6" ht="13" x14ac:dyDescent="0.15">
      <c r="A290" s="7">
        <f ca="1">IFERROR(__xludf.DUMMYFUNCTION("""COMPUTED_VALUE"""),45946)</f>
        <v>45946</v>
      </c>
      <c r="B290" s="8">
        <f ca="1">IFERROR(__xludf.DUMMYFUNCTION("""COMPUTED_VALUE"""),67465)</f>
        <v>67465</v>
      </c>
      <c r="C290" s="8">
        <f ca="1">IFERROR(__xludf.DUMMYFUNCTION("""COMPUTED_VALUE"""),1104)</f>
        <v>1104</v>
      </c>
      <c r="D290" s="9">
        <f ca="1">IFERROR(__xludf.DUMMYFUNCTION("""COMPUTED_VALUE"""),825)</f>
        <v>825</v>
      </c>
      <c r="E290" s="8">
        <f ca="1">IFERROR(__xludf.DUMMYFUNCTION("""COMPUTED_VALUE"""),19)</f>
        <v>19</v>
      </c>
      <c r="F290" s="9">
        <f ca="1">IFERROR(__xludf.DUMMYFUNCTION("""COMPUTED_VALUE"""),3335)</f>
        <v>3335</v>
      </c>
    </row>
    <row r="291" spans="1:6" ht="13" x14ac:dyDescent="0.15">
      <c r="A291" s="7">
        <f ca="1">IFERROR(__xludf.DUMMYFUNCTION("""COMPUTED_VALUE"""),45947)</f>
        <v>45947</v>
      </c>
      <c r="B291" s="8">
        <f ca="1">IFERROR(__xludf.DUMMYFUNCTION("""COMPUTED_VALUE"""),56121)</f>
        <v>56121</v>
      </c>
      <c r="C291" s="8">
        <f ca="1">IFERROR(__xludf.DUMMYFUNCTION("""COMPUTED_VALUE"""),941)</f>
        <v>941</v>
      </c>
      <c r="D291" s="9">
        <f ca="1">IFERROR(__xludf.DUMMYFUNCTION("""COMPUTED_VALUE"""),1093)</f>
        <v>1093</v>
      </c>
      <c r="E291" s="8">
        <f ca="1">IFERROR(__xludf.DUMMYFUNCTION("""COMPUTED_VALUE"""),12)</f>
        <v>12</v>
      </c>
      <c r="F291" s="9">
        <f ca="1">IFERROR(__xludf.DUMMYFUNCTION("""COMPUTED_VALUE"""),1462)</f>
        <v>1462</v>
      </c>
    </row>
    <row r="292" spans="1:6" ht="13" x14ac:dyDescent="0.15">
      <c r="A292" s="7">
        <f ca="1">IFERROR(__xludf.DUMMYFUNCTION("""COMPUTED_VALUE"""),45948)</f>
        <v>45948</v>
      </c>
      <c r="B292" s="8">
        <f ca="1">IFERROR(__xludf.DUMMYFUNCTION("""COMPUTED_VALUE"""),33186)</f>
        <v>33186</v>
      </c>
      <c r="C292" s="8">
        <f ca="1">IFERROR(__xludf.DUMMYFUNCTION("""COMPUTED_VALUE"""),386)</f>
        <v>386</v>
      </c>
      <c r="D292" s="9">
        <f ca="1">IFERROR(__xludf.DUMMYFUNCTION("""COMPUTED_VALUE"""),322)</f>
        <v>322</v>
      </c>
      <c r="E292" s="8">
        <f ca="1">IFERROR(__xludf.DUMMYFUNCTION("""COMPUTED_VALUE"""),8)</f>
        <v>8</v>
      </c>
      <c r="F292" s="9">
        <f ca="1">IFERROR(__xludf.DUMMYFUNCTION("""COMPUTED_VALUE"""),1201)</f>
        <v>1201</v>
      </c>
    </row>
    <row r="293" spans="1:6" ht="13" x14ac:dyDescent="0.15">
      <c r="A293" s="7">
        <f ca="1">IFERROR(__xludf.DUMMYFUNCTION("""COMPUTED_VALUE"""),45949)</f>
        <v>45949</v>
      </c>
      <c r="B293" s="8">
        <f ca="1">IFERROR(__xludf.DUMMYFUNCTION("""COMPUTED_VALUE"""),29150)</f>
        <v>29150</v>
      </c>
      <c r="C293" s="8">
        <f ca="1">IFERROR(__xludf.DUMMYFUNCTION("""COMPUTED_VALUE"""),298)</f>
        <v>298</v>
      </c>
      <c r="D293" s="9">
        <f ca="1">IFERROR(__xludf.DUMMYFUNCTION("""COMPUTED_VALUE"""),301)</f>
        <v>301</v>
      </c>
      <c r="E293" s="8">
        <f ca="1">IFERROR(__xludf.DUMMYFUNCTION("""COMPUTED_VALUE"""),3)</f>
        <v>3</v>
      </c>
      <c r="F293" s="9">
        <f ca="1">IFERROR(__xludf.DUMMYFUNCTION("""COMPUTED_VALUE"""),776)</f>
        <v>776</v>
      </c>
    </row>
    <row r="294" spans="1:6" ht="13" x14ac:dyDescent="0.15">
      <c r="A294" s="7">
        <f ca="1">IFERROR(__xludf.DUMMYFUNCTION("""COMPUTED_VALUE"""),45950)</f>
        <v>45950</v>
      </c>
      <c r="B294" s="8">
        <f ca="1">IFERROR(__xludf.DUMMYFUNCTION("""COMPUTED_VALUE"""),98084)</f>
        <v>98084</v>
      </c>
      <c r="C294" s="8">
        <f ca="1">IFERROR(__xludf.DUMMYFUNCTION("""COMPUTED_VALUE"""),2296)</f>
        <v>2296</v>
      </c>
      <c r="D294" s="9">
        <f ca="1">IFERROR(__xludf.DUMMYFUNCTION("""COMPUTED_VALUE"""),1731)</f>
        <v>1731</v>
      </c>
      <c r="E294" s="8">
        <f ca="1">IFERROR(__xludf.DUMMYFUNCTION("""COMPUTED_VALUE"""),47)</f>
        <v>47</v>
      </c>
      <c r="F294" s="9">
        <f ca="1">IFERROR(__xludf.DUMMYFUNCTION("""COMPUTED_VALUE"""),6160)</f>
        <v>6160</v>
      </c>
    </row>
    <row r="295" spans="1:6" ht="13" x14ac:dyDescent="0.15">
      <c r="A295" s="7">
        <f ca="1">IFERROR(__xludf.DUMMYFUNCTION("""COMPUTED_VALUE"""),45951)</f>
        <v>45951</v>
      </c>
      <c r="B295" s="8">
        <f ca="1">IFERROR(__xludf.DUMMYFUNCTION("""COMPUTED_VALUE"""),104761)</f>
        <v>104761</v>
      </c>
      <c r="C295" s="8">
        <f ca="1">IFERROR(__xludf.DUMMYFUNCTION("""COMPUTED_VALUE"""),2277)</f>
        <v>2277</v>
      </c>
      <c r="D295" s="9">
        <f ca="1">IFERROR(__xludf.DUMMYFUNCTION("""COMPUTED_VALUE"""),2164)</f>
        <v>2164</v>
      </c>
      <c r="E295" s="8">
        <f ca="1">IFERROR(__xludf.DUMMYFUNCTION("""COMPUTED_VALUE"""),48)</f>
        <v>48</v>
      </c>
      <c r="F295" s="9">
        <f ca="1">IFERROR(__xludf.DUMMYFUNCTION("""COMPUTED_VALUE"""),4421)</f>
        <v>4421</v>
      </c>
    </row>
    <row r="296" spans="1:6" ht="13" x14ac:dyDescent="0.15">
      <c r="A296" s="7">
        <f ca="1">IFERROR(__xludf.DUMMYFUNCTION("""COMPUTED_VALUE"""),45952)</f>
        <v>45952</v>
      </c>
      <c r="B296" s="8">
        <f ca="1">IFERROR(__xludf.DUMMYFUNCTION("""COMPUTED_VALUE"""),65544)</f>
        <v>65544</v>
      </c>
      <c r="C296" s="8">
        <f ca="1">IFERROR(__xludf.DUMMYFUNCTION("""COMPUTED_VALUE"""),1138)</f>
        <v>1138</v>
      </c>
      <c r="D296" s="9">
        <f ca="1">IFERROR(__xludf.DUMMYFUNCTION("""COMPUTED_VALUE"""),917)</f>
        <v>917</v>
      </c>
      <c r="E296" s="8">
        <f ca="1">IFERROR(__xludf.DUMMYFUNCTION("""COMPUTED_VALUE"""),17)</f>
        <v>17</v>
      </c>
      <c r="F296" s="9">
        <f ca="1">IFERROR(__xludf.DUMMYFUNCTION("""COMPUTED_VALUE"""),2100)</f>
        <v>2100</v>
      </c>
    </row>
    <row r="297" spans="1:6" ht="13" x14ac:dyDescent="0.15">
      <c r="A297" s="7">
        <f ca="1">IFERROR(__xludf.DUMMYFUNCTION("""COMPUTED_VALUE"""),45953)</f>
        <v>45953</v>
      </c>
      <c r="B297" s="8">
        <f ca="1">IFERROR(__xludf.DUMMYFUNCTION("""COMPUTED_VALUE"""),70268)</f>
        <v>70268</v>
      </c>
      <c r="C297" s="8">
        <f ca="1">IFERROR(__xludf.DUMMYFUNCTION("""COMPUTED_VALUE"""),986)</f>
        <v>986</v>
      </c>
      <c r="D297" s="9">
        <f ca="1">IFERROR(__xludf.DUMMYFUNCTION("""COMPUTED_VALUE"""),766)</f>
        <v>766</v>
      </c>
      <c r="E297" s="8">
        <f ca="1">IFERROR(__xludf.DUMMYFUNCTION("""COMPUTED_VALUE"""),22)</f>
        <v>22</v>
      </c>
      <c r="F297" s="9">
        <f ca="1">IFERROR(__xludf.DUMMYFUNCTION("""COMPUTED_VALUE"""),4345)</f>
        <v>4345</v>
      </c>
    </row>
    <row r="298" spans="1:6" ht="13" x14ac:dyDescent="0.15">
      <c r="A298" s="7">
        <f ca="1">IFERROR(__xludf.DUMMYFUNCTION("""COMPUTED_VALUE"""),45954)</f>
        <v>45954</v>
      </c>
      <c r="B298" s="8">
        <f ca="1">IFERROR(__xludf.DUMMYFUNCTION("""COMPUTED_VALUE"""),27111)</f>
        <v>27111</v>
      </c>
      <c r="C298" s="8">
        <f ca="1">IFERROR(__xludf.DUMMYFUNCTION("""COMPUTED_VALUE"""),687)</f>
        <v>687</v>
      </c>
      <c r="D298" s="9">
        <f ca="1">IFERROR(__xludf.DUMMYFUNCTION("""COMPUTED_VALUE"""),455)</f>
        <v>455</v>
      </c>
      <c r="E298" s="8">
        <f ca="1">IFERROR(__xludf.DUMMYFUNCTION("""COMPUTED_VALUE"""),12)</f>
        <v>12</v>
      </c>
      <c r="F298" s="9">
        <f ca="1">IFERROR(__xludf.DUMMYFUNCTION("""COMPUTED_VALUE"""),1810)</f>
        <v>1810</v>
      </c>
    </row>
    <row r="299" spans="1:6" ht="13" x14ac:dyDescent="0.15">
      <c r="A299" s="7">
        <f ca="1">IFERROR(__xludf.DUMMYFUNCTION("""COMPUTED_VALUE"""),45955)</f>
        <v>45955</v>
      </c>
      <c r="B299" s="8">
        <f ca="1">IFERROR(__xludf.DUMMYFUNCTION("""COMPUTED_VALUE"""),95429)</f>
        <v>95429</v>
      </c>
      <c r="C299" s="8">
        <f ca="1">IFERROR(__xludf.DUMMYFUNCTION("""COMPUTED_VALUE"""),1563)</f>
        <v>1563</v>
      </c>
      <c r="D299" s="9">
        <f ca="1">IFERROR(__xludf.DUMMYFUNCTION("""COMPUTED_VALUE"""),1379)</f>
        <v>1379</v>
      </c>
      <c r="E299" s="8">
        <f ca="1">IFERROR(__xludf.DUMMYFUNCTION("""COMPUTED_VALUE"""),33)</f>
        <v>33</v>
      </c>
      <c r="F299" s="9">
        <f ca="1">IFERROR(__xludf.DUMMYFUNCTION("""COMPUTED_VALUE"""),3789)</f>
        <v>3789</v>
      </c>
    </row>
    <row r="300" spans="1:6" ht="13" x14ac:dyDescent="0.15">
      <c r="A300" s="7">
        <f ca="1">IFERROR(__xludf.DUMMYFUNCTION("""COMPUTED_VALUE"""),45956)</f>
        <v>45956</v>
      </c>
      <c r="B300" s="8">
        <f ca="1">IFERROR(__xludf.DUMMYFUNCTION("""COMPUTED_VALUE"""),28585)</f>
        <v>28585</v>
      </c>
      <c r="C300" s="8">
        <f ca="1">IFERROR(__xludf.DUMMYFUNCTION("""COMPUTED_VALUE"""),557)</f>
        <v>557</v>
      </c>
      <c r="D300" s="9">
        <f ca="1">IFERROR(__xludf.DUMMYFUNCTION("""COMPUTED_VALUE"""),352)</f>
        <v>352</v>
      </c>
      <c r="E300" s="8">
        <f ca="1">IFERROR(__xludf.DUMMYFUNCTION("""COMPUTED_VALUE"""),9)</f>
        <v>9</v>
      </c>
      <c r="F300" s="9">
        <f ca="1">IFERROR(__xludf.DUMMYFUNCTION("""COMPUTED_VALUE"""),1706)</f>
        <v>1706</v>
      </c>
    </row>
    <row r="301" spans="1:6" ht="13" x14ac:dyDescent="0.15">
      <c r="A301" s="7">
        <f ca="1">IFERROR(__xludf.DUMMYFUNCTION("""COMPUTED_VALUE"""),45957)</f>
        <v>45957</v>
      </c>
      <c r="B301" s="8">
        <f ca="1">IFERROR(__xludf.DUMMYFUNCTION("""COMPUTED_VALUE"""),58874)</f>
        <v>58874</v>
      </c>
      <c r="C301" s="8">
        <f ca="1">IFERROR(__xludf.DUMMYFUNCTION("""COMPUTED_VALUE"""),1101)</f>
        <v>1101</v>
      </c>
      <c r="D301" s="9">
        <f ca="1">IFERROR(__xludf.DUMMYFUNCTION("""COMPUTED_VALUE"""),776)</f>
        <v>776</v>
      </c>
      <c r="E301" s="8">
        <f ca="1">IFERROR(__xludf.DUMMYFUNCTION("""COMPUTED_VALUE"""),19)</f>
        <v>19</v>
      </c>
      <c r="F301" s="9">
        <f ca="1">IFERROR(__xludf.DUMMYFUNCTION("""COMPUTED_VALUE"""),3495)</f>
        <v>3495</v>
      </c>
    </row>
    <row r="302" spans="1:6" ht="13" x14ac:dyDescent="0.15">
      <c r="A302" s="7">
        <f ca="1">IFERROR(__xludf.DUMMYFUNCTION("""COMPUTED_VALUE"""),45958)</f>
        <v>45958</v>
      </c>
      <c r="B302" s="8">
        <f ca="1">IFERROR(__xludf.DUMMYFUNCTION("""COMPUTED_VALUE"""),61164)</f>
        <v>61164</v>
      </c>
      <c r="C302" s="8">
        <f ca="1">IFERROR(__xludf.DUMMYFUNCTION("""COMPUTED_VALUE"""),1116)</f>
        <v>1116</v>
      </c>
      <c r="D302" s="9">
        <f ca="1">IFERROR(__xludf.DUMMYFUNCTION("""COMPUTED_VALUE"""),1041)</f>
        <v>1041</v>
      </c>
      <c r="E302" s="8">
        <f ca="1">IFERROR(__xludf.DUMMYFUNCTION("""COMPUTED_VALUE"""),26)</f>
        <v>26</v>
      </c>
      <c r="F302" s="9">
        <f ca="1">IFERROR(__xludf.DUMMYFUNCTION("""COMPUTED_VALUE"""),4075)</f>
        <v>4075</v>
      </c>
    </row>
    <row r="303" spans="1:6" ht="13" x14ac:dyDescent="0.15">
      <c r="A303" s="7">
        <f ca="1">IFERROR(__xludf.DUMMYFUNCTION("""COMPUTED_VALUE"""),45959)</f>
        <v>45959</v>
      </c>
      <c r="B303" s="8">
        <f ca="1">IFERROR(__xludf.DUMMYFUNCTION("""COMPUTED_VALUE"""),111859)</f>
        <v>111859</v>
      </c>
      <c r="C303" s="8">
        <f ca="1">IFERROR(__xludf.DUMMYFUNCTION("""COMPUTED_VALUE"""),2516)</f>
        <v>2516</v>
      </c>
      <c r="D303" s="9">
        <f ca="1">IFERROR(__xludf.DUMMYFUNCTION("""COMPUTED_VALUE"""),2524)</f>
        <v>2524</v>
      </c>
      <c r="E303" s="8">
        <f ca="1">IFERROR(__xludf.DUMMYFUNCTION("""COMPUTED_VALUE"""),38)</f>
        <v>38</v>
      </c>
      <c r="F303" s="9">
        <f ca="1">IFERROR(__xludf.DUMMYFUNCTION("""COMPUTED_VALUE"""),5255)</f>
        <v>5255</v>
      </c>
    </row>
    <row r="304" spans="1:6" ht="13" x14ac:dyDescent="0.15">
      <c r="A304" s="7">
        <f ca="1">IFERROR(__xludf.DUMMYFUNCTION("""COMPUTED_VALUE"""),45960)</f>
        <v>45960</v>
      </c>
      <c r="B304" s="8">
        <f ca="1">IFERROR(__xludf.DUMMYFUNCTION("""COMPUTED_VALUE"""),69058)</f>
        <v>69058</v>
      </c>
      <c r="C304" s="8">
        <f ca="1">IFERROR(__xludf.DUMMYFUNCTION("""COMPUTED_VALUE"""),1486)</f>
        <v>1486</v>
      </c>
      <c r="D304" s="9">
        <f ca="1">IFERROR(__xludf.DUMMYFUNCTION("""COMPUTED_VALUE"""),1130)</f>
        <v>1130</v>
      </c>
      <c r="E304" s="8">
        <f ca="1">IFERROR(__xludf.DUMMYFUNCTION("""COMPUTED_VALUE"""),28)</f>
        <v>28</v>
      </c>
      <c r="F304" s="9">
        <f ca="1">IFERROR(__xludf.DUMMYFUNCTION("""COMPUTED_VALUE"""),5458)</f>
        <v>5458</v>
      </c>
    </row>
    <row r="305" spans="1:6" ht="13" x14ac:dyDescent="0.15">
      <c r="A305" s="7">
        <f ca="1">IFERROR(__xludf.DUMMYFUNCTION("""COMPUTED_VALUE"""),45961)</f>
        <v>45961</v>
      </c>
      <c r="B305" s="8">
        <f ca="1">IFERROR(__xludf.DUMMYFUNCTION("""COMPUTED_VALUE"""),59125)</f>
        <v>59125</v>
      </c>
      <c r="C305" s="8">
        <f ca="1">IFERROR(__xludf.DUMMYFUNCTION("""COMPUTED_VALUE"""),1690)</f>
        <v>1690</v>
      </c>
      <c r="D305" s="9">
        <f ca="1">IFERROR(__xludf.DUMMYFUNCTION("""COMPUTED_VALUE"""),1453)</f>
        <v>1453</v>
      </c>
      <c r="E305" s="8">
        <f ca="1">IFERROR(__xludf.DUMMYFUNCTION("""COMPUTED_VALUE"""),37)</f>
        <v>37</v>
      </c>
      <c r="F305" s="9">
        <f ca="1">IFERROR(__xludf.DUMMYFUNCTION("""COMPUTED_VALUE"""),5356)</f>
        <v>5356</v>
      </c>
    </row>
    <row r="306" spans="1:6" ht="13" x14ac:dyDescent="0.15">
      <c r="A306" s="7">
        <f ca="1">IFERROR(__xludf.DUMMYFUNCTION("""COMPUTED_VALUE"""),45962)</f>
        <v>45962</v>
      </c>
      <c r="B306" s="8">
        <f ca="1">IFERROR(__xludf.DUMMYFUNCTION("""COMPUTED_VALUE"""),24384)</f>
        <v>24384</v>
      </c>
      <c r="C306" s="8">
        <f ca="1">IFERROR(__xludf.DUMMYFUNCTION("""COMPUTED_VALUE"""),523)</f>
        <v>523</v>
      </c>
      <c r="D306" s="9">
        <f ca="1">IFERROR(__xludf.DUMMYFUNCTION("""COMPUTED_VALUE"""),565)</f>
        <v>565</v>
      </c>
      <c r="E306" s="8">
        <f ca="1">IFERROR(__xludf.DUMMYFUNCTION("""COMPUTED_VALUE"""),10)</f>
        <v>10</v>
      </c>
      <c r="F306" s="9">
        <f ca="1">IFERROR(__xludf.DUMMYFUNCTION("""COMPUTED_VALUE"""),1928)</f>
        <v>1928</v>
      </c>
    </row>
    <row r="307" spans="1:6" ht="13" x14ac:dyDescent="0.15">
      <c r="A307" s="7">
        <f ca="1">IFERROR(__xludf.DUMMYFUNCTION("""COMPUTED_VALUE"""),45963)</f>
        <v>45963</v>
      </c>
      <c r="B307" s="8">
        <f ca="1">IFERROR(__xludf.DUMMYFUNCTION("""COMPUTED_VALUE"""),102253)</f>
        <v>102253</v>
      </c>
      <c r="C307" s="8">
        <f ca="1">IFERROR(__xludf.DUMMYFUNCTION("""COMPUTED_VALUE"""),2360)</f>
        <v>2360</v>
      </c>
      <c r="D307" s="9">
        <f ca="1">IFERROR(__xludf.DUMMYFUNCTION("""COMPUTED_VALUE"""),1748)</f>
        <v>1748</v>
      </c>
      <c r="E307" s="8">
        <f ca="1">IFERROR(__xludf.DUMMYFUNCTION("""COMPUTED_VALUE"""),29)</f>
        <v>29</v>
      </c>
      <c r="F307" s="9">
        <f ca="1">IFERROR(__xludf.DUMMYFUNCTION("""COMPUTED_VALUE"""),6406)</f>
        <v>6406</v>
      </c>
    </row>
    <row r="308" spans="1:6" ht="13" x14ac:dyDescent="0.15">
      <c r="A308" s="7">
        <f ca="1">IFERROR(__xludf.DUMMYFUNCTION("""COMPUTED_VALUE"""),45964)</f>
        <v>45964</v>
      </c>
      <c r="B308" s="8">
        <f ca="1">IFERROR(__xludf.DUMMYFUNCTION("""COMPUTED_VALUE"""),22978)</f>
        <v>22978</v>
      </c>
      <c r="C308" s="8">
        <f ca="1">IFERROR(__xludf.DUMMYFUNCTION("""COMPUTED_VALUE"""),301)</f>
        <v>301</v>
      </c>
      <c r="D308" s="9">
        <f ca="1">IFERROR(__xludf.DUMMYFUNCTION("""COMPUTED_VALUE"""),303)</f>
        <v>303</v>
      </c>
      <c r="E308" s="8">
        <f ca="1">IFERROR(__xludf.DUMMYFUNCTION("""COMPUTED_VALUE"""),5)</f>
        <v>5</v>
      </c>
      <c r="F308" s="9">
        <f ca="1">IFERROR(__xludf.DUMMYFUNCTION("""COMPUTED_VALUE"""),1016)</f>
        <v>1016</v>
      </c>
    </row>
    <row r="309" spans="1:6" ht="13" x14ac:dyDescent="0.15">
      <c r="A309" s="7">
        <f ca="1">IFERROR(__xludf.DUMMYFUNCTION("""COMPUTED_VALUE"""),45965)</f>
        <v>45965</v>
      </c>
      <c r="B309" s="8">
        <f ca="1">IFERROR(__xludf.DUMMYFUNCTION("""COMPUTED_VALUE"""),22356)</f>
        <v>22356</v>
      </c>
      <c r="C309" s="8">
        <f ca="1">IFERROR(__xludf.DUMMYFUNCTION("""COMPUTED_VALUE"""),282)</f>
        <v>282</v>
      </c>
      <c r="D309" s="9">
        <f ca="1">IFERROR(__xludf.DUMMYFUNCTION("""COMPUTED_VALUE"""),352)</f>
        <v>352</v>
      </c>
      <c r="E309" s="8">
        <f ca="1">IFERROR(__xludf.DUMMYFUNCTION("""COMPUTED_VALUE"""),5)</f>
        <v>5</v>
      </c>
      <c r="F309" s="9">
        <f ca="1">IFERROR(__xludf.DUMMYFUNCTION("""COMPUTED_VALUE"""),727)</f>
        <v>727</v>
      </c>
    </row>
    <row r="310" spans="1:6" ht="13" x14ac:dyDescent="0.15">
      <c r="A310" s="7">
        <f ca="1">IFERROR(__xludf.DUMMYFUNCTION("""COMPUTED_VALUE"""),45966)</f>
        <v>45966</v>
      </c>
      <c r="B310" s="8">
        <f ca="1">IFERROR(__xludf.DUMMYFUNCTION("""COMPUTED_VALUE"""),30617)</f>
        <v>30617</v>
      </c>
      <c r="C310" s="8">
        <f ca="1">IFERROR(__xludf.DUMMYFUNCTION("""COMPUTED_VALUE"""),578)</f>
        <v>578</v>
      </c>
      <c r="D310" s="9">
        <f ca="1">IFERROR(__xludf.DUMMYFUNCTION("""COMPUTED_VALUE"""),609)</f>
        <v>609</v>
      </c>
      <c r="E310" s="8">
        <f ca="1">IFERROR(__xludf.DUMMYFUNCTION("""COMPUTED_VALUE"""),12)</f>
        <v>12</v>
      </c>
      <c r="F310" s="9">
        <f ca="1">IFERROR(__xludf.DUMMYFUNCTION("""COMPUTED_VALUE"""),1928)</f>
        <v>1928</v>
      </c>
    </row>
    <row r="311" spans="1:6" ht="13" x14ac:dyDescent="0.15">
      <c r="A311" s="7">
        <f ca="1">IFERROR(__xludf.DUMMYFUNCTION("""COMPUTED_VALUE"""),45967)</f>
        <v>45967</v>
      </c>
      <c r="B311" s="8">
        <f ca="1">IFERROR(__xludf.DUMMYFUNCTION("""COMPUTED_VALUE"""),105759)</f>
        <v>105759</v>
      </c>
      <c r="C311" s="8">
        <f ca="1">IFERROR(__xludf.DUMMYFUNCTION("""COMPUTED_VALUE"""),3339)</f>
        <v>3339</v>
      </c>
      <c r="D311" s="9">
        <f ca="1">IFERROR(__xludf.DUMMYFUNCTION("""COMPUTED_VALUE"""),2154)</f>
        <v>2154</v>
      </c>
      <c r="E311" s="8">
        <f ca="1">IFERROR(__xludf.DUMMYFUNCTION("""COMPUTED_VALUE"""),77)</f>
        <v>77</v>
      </c>
      <c r="F311" s="9">
        <f ca="1">IFERROR(__xludf.DUMMYFUNCTION("""COMPUTED_VALUE"""),13277)</f>
        <v>13277</v>
      </c>
    </row>
    <row r="312" spans="1:6" ht="13" x14ac:dyDescent="0.15">
      <c r="A312" s="7">
        <f ca="1">IFERROR(__xludf.DUMMYFUNCTION("""COMPUTED_VALUE"""),45968)</f>
        <v>45968</v>
      </c>
      <c r="B312" s="8">
        <f ca="1">IFERROR(__xludf.DUMMYFUNCTION("""COMPUTED_VALUE"""),47770)</f>
        <v>47770</v>
      </c>
      <c r="C312" s="8">
        <f ca="1">IFERROR(__xludf.DUMMYFUNCTION("""COMPUTED_VALUE"""),832)</f>
        <v>832</v>
      </c>
      <c r="D312" s="9">
        <f ca="1">IFERROR(__xludf.DUMMYFUNCTION("""COMPUTED_VALUE"""),951)</f>
        <v>951</v>
      </c>
      <c r="E312" s="8">
        <f ca="1">IFERROR(__xludf.DUMMYFUNCTION("""COMPUTED_VALUE"""),16)</f>
        <v>16</v>
      </c>
      <c r="F312" s="9">
        <f ca="1">IFERROR(__xludf.DUMMYFUNCTION("""COMPUTED_VALUE"""),1892)</f>
        <v>1892</v>
      </c>
    </row>
    <row r="313" spans="1:6" ht="13" x14ac:dyDescent="0.15">
      <c r="A313" s="7">
        <f ca="1">IFERROR(__xludf.DUMMYFUNCTION("""COMPUTED_VALUE"""),45969)</f>
        <v>45969</v>
      </c>
      <c r="B313" s="8">
        <f ca="1">IFERROR(__xludf.DUMMYFUNCTION("""COMPUTED_VALUE"""),102215)</f>
        <v>102215</v>
      </c>
      <c r="C313" s="8">
        <f ca="1">IFERROR(__xludf.DUMMYFUNCTION("""COMPUTED_VALUE"""),2596)</f>
        <v>2596</v>
      </c>
      <c r="D313" s="9">
        <f ca="1">IFERROR(__xludf.DUMMYFUNCTION("""COMPUTED_VALUE"""),2138)</f>
        <v>2138</v>
      </c>
      <c r="E313" s="8">
        <f ca="1">IFERROR(__xludf.DUMMYFUNCTION("""COMPUTED_VALUE"""),67)</f>
        <v>67</v>
      </c>
      <c r="F313" s="9">
        <f ca="1">IFERROR(__xludf.DUMMYFUNCTION("""COMPUTED_VALUE"""),10821)</f>
        <v>10821</v>
      </c>
    </row>
    <row r="314" spans="1:6" ht="13" x14ac:dyDescent="0.15">
      <c r="A314" s="7">
        <f ca="1">IFERROR(__xludf.DUMMYFUNCTION("""COMPUTED_VALUE"""),45970)</f>
        <v>45970</v>
      </c>
      <c r="B314" s="8">
        <f ca="1">IFERROR(__xludf.DUMMYFUNCTION("""COMPUTED_VALUE"""),79967)</f>
        <v>79967</v>
      </c>
      <c r="C314" s="8">
        <f ca="1">IFERROR(__xludf.DUMMYFUNCTION("""COMPUTED_VALUE"""),1954)</f>
        <v>1954</v>
      </c>
      <c r="D314" s="9">
        <f ca="1">IFERROR(__xludf.DUMMYFUNCTION("""COMPUTED_VALUE"""),2126)</f>
        <v>2126</v>
      </c>
      <c r="E314" s="8">
        <f ca="1">IFERROR(__xludf.DUMMYFUNCTION("""COMPUTED_VALUE"""),49)</f>
        <v>49</v>
      </c>
      <c r="F314" s="9">
        <f ca="1">IFERROR(__xludf.DUMMYFUNCTION("""COMPUTED_VALUE"""),7434)</f>
        <v>7434</v>
      </c>
    </row>
    <row r="315" spans="1:6" ht="13" x14ac:dyDescent="0.15">
      <c r="A315" s="7">
        <f ca="1">IFERROR(__xludf.DUMMYFUNCTION("""COMPUTED_VALUE"""),45971)</f>
        <v>45971</v>
      </c>
      <c r="B315" s="8">
        <f ca="1">IFERROR(__xludf.DUMMYFUNCTION("""COMPUTED_VALUE"""),30876)</f>
        <v>30876</v>
      </c>
      <c r="C315" s="8">
        <f ca="1">IFERROR(__xludf.DUMMYFUNCTION("""COMPUTED_VALUE"""),582)</f>
        <v>582</v>
      </c>
      <c r="D315" s="9">
        <f ca="1">IFERROR(__xludf.DUMMYFUNCTION("""COMPUTED_VALUE"""),442)</f>
        <v>442</v>
      </c>
      <c r="E315" s="8">
        <f ca="1">IFERROR(__xludf.DUMMYFUNCTION("""COMPUTED_VALUE"""),12)</f>
        <v>12</v>
      </c>
      <c r="F315" s="9">
        <f ca="1">IFERROR(__xludf.DUMMYFUNCTION("""COMPUTED_VALUE"""),1772)</f>
        <v>1772</v>
      </c>
    </row>
    <row r="316" spans="1:6" ht="13" x14ac:dyDescent="0.15">
      <c r="A316" s="7">
        <f ca="1">IFERROR(__xludf.DUMMYFUNCTION("""COMPUTED_VALUE"""),45972)</f>
        <v>45972</v>
      </c>
      <c r="B316" s="8">
        <f ca="1">IFERROR(__xludf.DUMMYFUNCTION("""COMPUTED_VALUE"""),49477)</f>
        <v>49477</v>
      </c>
      <c r="C316" s="8">
        <f ca="1">IFERROR(__xludf.DUMMYFUNCTION("""COMPUTED_VALUE"""),541)</f>
        <v>541</v>
      </c>
      <c r="D316" s="9">
        <f ca="1">IFERROR(__xludf.DUMMYFUNCTION("""COMPUTED_VALUE"""),319)</f>
        <v>319</v>
      </c>
      <c r="E316" s="8">
        <f ca="1">IFERROR(__xludf.DUMMYFUNCTION("""COMPUTED_VALUE"""),13)</f>
        <v>13</v>
      </c>
      <c r="F316" s="9">
        <f ca="1">IFERROR(__xludf.DUMMYFUNCTION("""COMPUTED_VALUE"""),1516)</f>
        <v>1516</v>
      </c>
    </row>
    <row r="317" spans="1:6" ht="13" x14ac:dyDescent="0.15">
      <c r="A317" s="7">
        <f ca="1">IFERROR(__xludf.DUMMYFUNCTION("""COMPUTED_VALUE"""),45973)</f>
        <v>45973</v>
      </c>
      <c r="B317" s="8">
        <f ca="1">IFERROR(__xludf.DUMMYFUNCTION("""COMPUTED_VALUE"""),64687)</f>
        <v>64687</v>
      </c>
      <c r="C317" s="8">
        <f ca="1">IFERROR(__xludf.DUMMYFUNCTION("""COMPUTED_VALUE"""),881)</f>
        <v>881</v>
      </c>
      <c r="D317" s="9">
        <f ca="1">IFERROR(__xludf.DUMMYFUNCTION("""COMPUTED_VALUE"""),1077)</f>
        <v>1077</v>
      </c>
      <c r="E317" s="8">
        <f ca="1">IFERROR(__xludf.DUMMYFUNCTION("""COMPUTED_VALUE"""),17)</f>
        <v>17</v>
      </c>
      <c r="F317" s="9">
        <f ca="1">IFERROR(__xludf.DUMMYFUNCTION("""COMPUTED_VALUE"""),3909)</f>
        <v>3909</v>
      </c>
    </row>
    <row r="318" spans="1:6" ht="13" x14ac:dyDescent="0.15">
      <c r="A318" s="7">
        <f ca="1">IFERROR(__xludf.DUMMYFUNCTION("""COMPUTED_VALUE"""),45974)</f>
        <v>45974</v>
      </c>
      <c r="B318" s="8">
        <f ca="1">IFERROR(__xludf.DUMMYFUNCTION("""COMPUTED_VALUE"""),105163)</f>
        <v>105163</v>
      </c>
      <c r="C318" s="8">
        <f ca="1">IFERROR(__xludf.DUMMYFUNCTION("""COMPUTED_VALUE"""),3106)</f>
        <v>3106</v>
      </c>
      <c r="D318" s="9">
        <f ca="1">IFERROR(__xludf.DUMMYFUNCTION("""COMPUTED_VALUE"""),2246)</f>
        <v>2246</v>
      </c>
      <c r="E318" s="8">
        <f ca="1">IFERROR(__xludf.DUMMYFUNCTION("""COMPUTED_VALUE"""),37)</f>
        <v>37</v>
      </c>
      <c r="F318" s="9">
        <f ca="1">IFERROR(__xludf.DUMMYFUNCTION("""COMPUTED_VALUE"""),4117)</f>
        <v>4117</v>
      </c>
    </row>
    <row r="319" spans="1:6" ht="13" x14ac:dyDescent="0.15">
      <c r="A319" s="7">
        <f ca="1">IFERROR(__xludf.DUMMYFUNCTION("""COMPUTED_VALUE"""),45975)</f>
        <v>45975</v>
      </c>
      <c r="B319" s="8">
        <f ca="1">IFERROR(__xludf.DUMMYFUNCTION("""COMPUTED_VALUE"""),93878)</f>
        <v>93878</v>
      </c>
      <c r="C319" s="8">
        <f ca="1">IFERROR(__xludf.DUMMYFUNCTION("""COMPUTED_VALUE"""),1738)</f>
        <v>1738</v>
      </c>
      <c r="D319" s="9">
        <f ca="1">IFERROR(__xludf.DUMMYFUNCTION("""COMPUTED_VALUE"""),1830)</f>
        <v>1830</v>
      </c>
      <c r="E319" s="8">
        <f ca="1">IFERROR(__xludf.DUMMYFUNCTION("""COMPUTED_VALUE"""),22)</f>
        <v>22</v>
      </c>
      <c r="F319" s="9">
        <f ca="1">IFERROR(__xludf.DUMMYFUNCTION("""COMPUTED_VALUE"""),3306)</f>
        <v>3306</v>
      </c>
    </row>
    <row r="320" spans="1:6" ht="13" x14ac:dyDescent="0.15">
      <c r="A320" s="7">
        <f ca="1">IFERROR(__xludf.DUMMYFUNCTION("""COMPUTED_VALUE"""),45976)</f>
        <v>45976</v>
      </c>
      <c r="B320" s="8">
        <f ca="1">IFERROR(__xludf.DUMMYFUNCTION("""COMPUTED_VALUE"""),82506)</f>
        <v>82506</v>
      </c>
      <c r="C320" s="8">
        <f ca="1">IFERROR(__xludf.DUMMYFUNCTION("""COMPUTED_VALUE"""),1380)</f>
        <v>1380</v>
      </c>
      <c r="D320" s="9">
        <f ca="1">IFERROR(__xludf.DUMMYFUNCTION("""COMPUTED_VALUE"""),1089)</f>
        <v>1089</v>
      </c>
      <c r="E320" s="8">
        <f ca="1">IFERROR(__xludf.DUMMYFUNCTION("""COMPUTED_VALUE"""),21)</f>
        <v>21</v>
      </c>
      <c r="F320" s="9">
        <f ca="1">IFERROR(__xludf.DUMMYFUNCTION("""COMPUTED_VALUE"""),2566)</f>
        <v>2566</v>
      </c>
    </row>
    <row r="321" spans="1:6" ht="13" x14ac:dyDescent="0.15">
      <c r="A321" s="7">
        <f ca="1">IFERROR(__xludf.DUMMYFUNCTION("""COMPUTED_VALUE"""),45977)</f>
        <v>45977</v>
      </c>
      <c r="B321" s="8">
        <f ca="1">IFERROR(__xludf.DUMMYFUNCTION("""COMPUTED_VALUE"""),60772)</f>
        <v>60772</v>
      </c>
      <c r="C321" s="8">
        <f ca="1">IFERROR(__xludf.DUMMYFUNCTION("""COMPUTED_VALUE"""),774)</f>
        <v>774</v>
      </c>
      <c r="D321" s="9">
        <f ca="1">IFERROR(__xludf.DUMMYFUNCTION("""COMPUTED_VALUE"""),625)</f>
        <v>625</v>
      </c>
      <c r="E321" s="8">
        <f ca="1">IFERROR(__xludf.DUMMYFUNCTION("""COMPUTED_VALUE"""),14)</f>
        <v>14</v>
      </c>
      <c r="F321" s="9">
        <f ca="1">IFERROR(__xludf.DUMMYFUNCTION("""COMPUTED_VALUE"""),2168)</f>
        <v>2168</v>
      </c>
    </row>
    <row r="322" spans="1:6" ht="13" x14ac:dyDescent="0.15">
      <c r="A322" s="7">
        <f ca="1">IFERROR(__xludf.DUMMYFUNCTION("""COMPUTED_VALUE"""),45978)</f>
        <v>45978</v>
      </c>
      <c r="B322" s="8">
        <f ca="1">IFERROR(__xludf.DUMMYFUNCTION("""COMPUTED_VALUE"""),75895)</f>
        <v>75895</v>
      </c>
      <c r="C322" s="8">
        <f ca="1">IFERROR(__xludf.DUMMYFUNCTION("""COMPUTED_VALUE"""),2300)</f>
        <v>2300</v>
      </c>
      <c r="D322" s="9">
        <f ca="1">IFERROR(__xludf.DUMMYFUNCTION("""COMPUTED_VALUE"""),2068)</f>
        <v>2068</v>
      </c>
      <c r="E322" s="8">
        <f ca="1">IFERROR(__xludf.DUMMYFUNCTION("""COMPUTED_VALUE"""),60)</f>
        <v>60</v>
      </c>
      <c r="F322" s="9">
        <f ca="1">IFERROR(__xludf.DUMMYFUNCTION("""COMPUTED_VALUE"""),9409)</f>
        <v>9409</v>
      </c>
    </row>
    <row r="323" spans="1:6" ht="13" x14ac:dyDescent="0.15">
      <c r="A323" s="7">
        <f ca="1">IFERROR(__xludf.DUMMYFUNCTION("""COMPUTED_VALUE"""),45979)</f>
        <v>45979</v>
      </c>
      <c r="B323" s="8">
        <f ca="1">IFERROR(__xludf.DUMMYFUNCTION("""COMPUTED_VALUE"""),85574)</f>
        <v>85574</v>
      </c>
      <c r="C323" s="8">
        <f ca="1">IFERROR(__xludf.DUMMYFUNCTION("""COMPUTED_VALUE"""),1380)</f>
        <v>1380</v>
      </c>
      <c r="D323" s="9">
        <f ca="1">IFERROR(__xludf.DUMMYFUNCTION("""COMPUTED_VALUE"""),1193)</f>
        <v>1193</v>
      </c>
      <c r="E323" s="8">
        <f ca="1">IFERROR(__xludf.DUMMYFUNCTION("""COMPUTED_VALUE"""),28)</f>
        <v>28</v>
      </c>
      <c r="F323" s="9">
        <f ca="1">IFERROR(__xludf.DUMMYFUNCTION("""COMPUTED_VALUE"""),5019)</f>
        <v>5019</v>
      </c>
    </row>
    <row r="324" spans="1:6" ht="13" x14ac:dyDescent="0.15">
      <c r="A324" s="7">
        <f ca="1">IFERROR(__xludf.DUMMYFUNCTION("""COMPUTED_VALUE"""),45980)</f>
        <v>45980</v>
      </c>
      <c r="B324" s="8">
        <f ca="1">IFERROR(__xludf.DUMMYFUNCTION("""COMPUTED_VALUE"""),71516)</f>
        <v>71516</v>
      </c>
      <c r="C324" s="8">
        <f ca="1">IFERROR(__xludf.DUMMYFUNCTION("""COMPUTED_VALUE"""),810)</f>
        <v>810</v>
      </c>
      <c r="D324" s="9">
        <f ca="1">IFERROR(__xludf.DUMMYFUNCTION("""COMPUTED_VALUE"""),1104)</f>
        <v>1104</v>
      </c>
      <c r="E324" s="8">
        <f ca="1">IFERROR(__xludf.DUMMYFUNCTION("""COMPUTED_VALUE"""),13)</f>
        <v>13</v>
      </c>
      <c r="F324" s="9">
        <f ca="1">IFERROR(__xludf.DUMMYFUNCTION("""COMPUTED_VALUE"""),1996)</f>
        <v>1996</v>
      </c>
    </row>
    <row r="325" spans="1:6" ht="13" x14ac:dyDescent="0.15">
      <c r="A325" s="7">
        <f ca="1">IFERROR(__xludf.DUMMYFUNCTION("""COMPUTED_VALUE"""),45981)</f>
        <v>45981</v>
      </c>
      <c r="B325" s="8">
        <f ca="1">IFERROR(__xludf.DUMMYFUNCTION("""COMPUTED_VALUE"""),93071)</f>
        <v>93071</v>
      </c>
      <c r="C325" s="8">
        <f ca="1">IFERROR(__xludf.DUMMYFUNCTION("""COMPUTED_VALUE"""),1752)</f>
        <v>1752</v>
      </c>
      <c r="D325" s="9">
        <f ca="1">IFERROR(__xludf.DUMMYFUNCTION("""COMPUTED_VALUE"""),1370)</f>
        <v>1370</v>
      </c>
      <c r="E325" s="8">
        <f ca="1">IFERROR(__xludf.DUMMYFUNCTION("""COMPUTED_VALUE"""),43)</f>
        <v>43</v>
      </c>
      <c r="F325" s="9">
        <f ca="1">IFERROR(__xludf.DUMMYFUNCTION("""COMPUTED_VALUE"""),7494)</f>
        <v>7494</v>
      </c>
    </row>
    <row r="326" spans="1:6" ht="13" x14ac:dyDescent="0.15">
      <c r="A326" s="7">
        <f ca="1">IFERROR(__xludf.DUMMYFUNCTION("""COMPUTED_VALUE"""),45982)</f>
        <v>45982</v>
      </c>
      <c r="B326" s="8">
        <f ca="1">IFERROR(__xludf.DUMMYFUNCTION("""COMPUTED_VALUE"""),34577)</f>
        <v>34577</v>
      </c>
      <c r="C326" s="8">
        <f ca="1">IFERROR(__xludf.DUMMYFUNCTION("""COMPUTED_VALUE"""),355)</f>
        <v>355</v>
      </c>
      <c r="D326" s="9">
        <f ca="1">IFERROR(__xludf.DUMMYFUNCTION("""COMPUTED_VALUE"""),353)</f>
        <v>353</v>
      </c>
      <c r="E326" s="8">
        <f ca="1">IFERROR(__xludf.DUMMYFUNCTION("""COMPUTED_VALUE"""),7)</f>
        <v>7</v>
      </c>
      <c r="F326" s="9">
        <f ca="1">IFERROR(__xludf.DUMMYFUNCTION("""COMPUTED_VALUE"""),1639)</f>
        <v>1639</v>
      </c>
    </row>
    <row r="327" spans="1:6" ht="13" x14ac:dyDescent="0.15">
      <c r="A327" s="7">
        <f ca="1">IFERROR(__xludf.DUMMYFUNCTION("""COMPUTED_VALUE"""),45983)</f>
        <v>45983</v>
      </c>
      <c r="B327" s="8">
        <f ca="1">IFERROR(__xludf.DUMMYFUNCTION("""COMPUTED_VALUE"""),107430)</f>
        <v>107430</v>
      </c>
      <c r="C327" s="8">
        <f ca="1">IFERROR(__xludf.DUMMYFUNCTION("""COMPUTED_VALUE"""),3134)</f>
        <v>3134</v>
      </c>
      <c r="D327" s="9">
        <f ca="1">IFERROR(__xludf.DUMMYFUNCTION("""COMPUTED_VALUE"""),2650)</f>
        <v>2650</v>
      </c>
      <c r="E327" s="8">
        <f ca="1">IFERROR(__xludf.DUMMYFUNCTION("""COMPUTED_VALUE"""),39)</f>
        <v>39</v>
      </c>
      <c r="F327" s="9">
        <f ca="1">IFERROR(__xludf.DUMMYFUNCTION("""COMPUTED_VALUE"""),5381)</f>
        <v>5381</v>
      </c>
    </row>
    <row r="328" spans="1:6" ht="13" x14ac:dyDescent="0.15">
      <c r="A328" s="7">
        <f ca="1">IFERROR(__xludf.DUMMYFUNCTION("""COMPUTED_VALUE"""),45984)</f>
        <v>45984</v>
      </c>
      <c r="B328" s="8">
        <f ca="1">IFERROR(__xludf.DUMMYFUNCTION("""COMPUTED_VALUE"""),68697)</f>
        <v>68697</v>
      </c>
      <c r="C328" s="8">
        <f ca="1">IFERROR(__xludf.DUMMYFUNCTION("""COMPUTED_VALUE"""),1033)</f>
        <v>1033</v>
      </c>
      <c r="D328" s="9">
        <f ca="1">IFERROR(__xludf.DUMMYFUNCTION("""COMPUTED_VALUE"""),1007)</f>
        <v>1007</v>
      </c>
      <c r="E328" s="8">
        <f ca="1">IFERROR(__xludf.DUMMYFUNCTION("""COMPUTED_VALUE"""),11)</f>
        <v>11</v>
      </c>
      <c r="F328" s="9">
        <f ca="1">IFERROR(__xludf.DUMMYFUNCTION("""COMPUTED_VALUE"""),2310)</f>
        <v>2310</v>
      </c>
    </row>
    <row r="329" spans="1:6" ht="13" x14ac:dyDescent="0.15">
      <c r="A329" s="7">
        <f ca="1">IFERROR(__xludf.DUMMYFUNCTION("""COMPUTED_VALUE"""),45985)</f>
        <v>45985</v>
      </c>
      <c r="B329" s="8">
        <f ca="1">IFERROR(__xludf.DUMMYFUNCTION("""COMPUTED_VALUE"""),62015)</f>
        <v>62015</v>
      </c>
      <c r="C329" s="8">
        <f ca="1">IFERROR(__xludf.DUMMYFUNCTION("""COMPUTED_VALUE"""),1020)</f>
        <v>1020</v>
      </c>
      <c r="D329" s="9">
        <f ca="1">IFERROR(__xludf.DUMMYFUNCTION("""COMPUTED_VALUE"""),885)</f>
        <v>885</v>
      </c>
      <c r="E329" s="8">
        <f ca="1">IFERROR(__xludf.DUMMYFUNCTION("""COMPUTED_VALUE"""),12)</f>
        <v>12</v>
      </c>
      <c r="F329" s="9">
        <f ca="1">IFERROR(__xludf.DUMMYFUNCTION("""COMPUTED_VALUE"""),1911)</f>
        <v>1911</v>
      </c>
    </row>
    <row r="330" spans="1:6" ht="13" x14ac:dyDescent="0.15">
      <c r="A330" s="7">
        <f ca="1">IFERROR(__xludf.DUMMYFUNCTION("""COMPUTED_VALUE"""),45986)</f>
        <v>45986</v>
      </c>
      <c r="B330" s="8">
        <f ca="1">IFERROR(__xludf.DUMMYFUNCTION("""COMPUTED_VALUE"""),26230)</f>
        <v>26230</v>
      </c>
      <c r="C330" s="8">
        <f ca="1">IFERROR(__xludf.DUMMYFUNCTION("""COMPUTED_VALUE"""),296)</f>
        <v>296</v>
      </c>
      <c r="D330" s="9">
        <f ca="1">IFERROR(__xludf.DUMMYFUNCTION("""COMPUTED_VALUE"""),277)</f>
        <v>277</v>
      </c>
      <c r="E330" s="8">
        <f ca="1">IFERROR(__xludf.DUMMYFUNCTION("""COMPUTED_VALUE"""),3)</f>
        <v>3</v>
      </c>
      <c r="F330" s="9">
        <f ca="1">IFERROR(__xludf.DUMMYFUNCTION("""COMPUTED_VALUE"""),700)</f>
        <v>700</v>
      </c>
    </row>
    <row r="331" spans="1:6" ht="13" x14ac:dyDescent="0.15">
      <c r="A331" s="7">
        <f ca="1">IFERROR(__xludf.DUMMYFUNCTION("""COMPUTED_VALUE"""),45987)</f>
        <v>45987</v>
      </c>
      <c r="B331" s="8">
        <f ca="1">IFERROR(__xludf.DUMMYFUNCTION("""COMPUTED_VALUE"""),28554)</f>
        <v>28554</v>
      </c>
      <c r="C331" s="8">
        <f ca="1">IFERROR(__xludf.DUMMYFUNCTION("""COMPUTED_VALUE"""),232)</f>
        <v>232</v>
      </c>
      <c r="D331" s="9">
        <f ca="1">IFERROR(__xludf.DUMMYFUNCTION("""COMPUTED_VALUE"""),239)</f>
        <v>239</v>
      </c>
      <c r="E331" s="8">
        <f ca="1">IFERROR(__xludf.DUMMYFUNCTION("""COMPUTED_VALUE"""),3)</f>
        <v>3</v>
      </c>
      <c r="F331" s="9">
        <f ca="1">IFERROR(__xludf.DUMMYFUNCTION("""COMPUTED_VALUE"""),548)</f>
        <v>548</v>
      </c>
    </row>
    <row r="332" spans="1:6" ht="13" x14ac:dyDescent="0.15">
      <c r="A332" s="7">
        <f ca="1">IFERROR(__xludf.DUMMYFUNCTION("""COMPUTED_VALUE"""),45988)</f>
        <v>45988</v>
      </c>
      <c r="B332" s="8">
        <f ca="1">IFERROR(__xludf.DUMMYFUNCTION("""COMPUTED_VALUE"""),22922)</f>
        <v>22922</v>
      </c>
      <c r="C332" s="8">
        <f ca="1">IFERROR(__xludf.DUMMYFUNCTION("""COMPUTED_VALUE"""),323)</f>
        <v>323</v>
      </c>
      <c r="D332" s="9">
        <f ca="1">IFERROR(__xludf.DUMMYFUNCTION("""COMPUTED_VALUE"""),329)</f>
        <v>329</v>
      </c>
      <c r="E332" s="8">
        <f ca="1">IFERROR(__xludf.DUMMYFUNCTION("""COMPUTED_VALUE"""),3)</f>
        <v>3</v>
      </c>
      <c r="F332" s="9">
        <f ca="1">IFERROR(__xludf.DUMMYFUNCTION("""COMPUTED_VALUE"""),727)</f>
        <v>727</v>
      </c>
    </row>
    <row r="333" spans="1:6" ht="13" x14ac:dyDescent="0.15">
      <c r="A333" s="7">
        <f ca="1">IFERROR(__xludf.DUMMYFUNCTION("""COMPUTED_VALUE"""),45989)</f>
        <v>45989</v>
      </c>
      <c r="B333" s="8">
        <f ca="1">IFERROR(__xludf.DUMMYFUNCTION("""COMPUTED_VALUE"""),96010)</f>
        <v>96010</v>
      </c>
      <c r="C333" s="8">
        <f ca="1">IFERROR(__xludf.DUMMYFUNCTION("""COMPUTED_VALUE"""),2502)</f>
        <v>2502</v>
      </c>
      <c r="D333" s="9">
        <f ca="1">IFERROR(__xludf.DUMMYFUNCTION("""COMPUTED_VALUE"""),2679)</f>
        <v>2679</v>
      </c>
      <c r="E333" s="8">
        <f ca="1">IFERROR(__xludf.DUMMYFUNCTION("""COMPUTED_VALUE"""),30)</f>
        <v>30</v>
      </c>
      <c r="F333" s="9">
        <f ca="1">IFERROR(__xludf.DUMMYFUNCTION("""COMPUTED_VALUE"""),3420)</f>
        <v>3420</v>
      </c>
    </row>
    <row r="334" spans="1:6" ht="13" x14ac:dyDescent="0.15">
      <c r="A334" s="7">
        <f ca="1">IFERROR(__xludf.DUMMYFUNCTION("""COMPUTED_VALUE"""),45990)</f>
        <v>45990</v>
      </c>
      <c r="B334" s="8">
        <f ca="1">IFERROR(__xludf.DUMMYFUNCTION("""COMPUTED_VALUE"""),38758)</f>
        <v>38758</v>
      </c>
      <c r="C334" s="8">
        <f ca="1">IFERROR(__xludf.DUMMYFUNCTION("""COMPUTED_VALUE"""),852)</f>
        <v>852</v>
      </c>
      <c r="D334" s="9">
        <f ca="1">IFERROR(__xludf.DUMMYFUNCTION("""COMPUTED_VALUE"""),894)</f>
        <v>894</v>
      </c>
      <c r="E334" s="8">
        <f ca="1">IFERROR(__xludf.DUMMYFUNCTION("""COMPUTED_VALUE"""),12)</f>
        <v>12</v>
      </c>
      <c r="F334" s="9">
        <f ca="1">IFERROR(__xludf.DUMMYFUNCTION("""COMPUTED_VALUE"""),2479)</f>
        <v>2479</v>
      </c>
    </row>
    <row r="335" spans="1:6" ht="13" x14ac:dyDescent="0.15">
      <c r="A335" s="7">
        <f ca="1">IFERROR(__xludf.DUMMYFUNCTION("""COMPUTED_VALUE"""),45991)</f>
        <v>45991</v>
      </c>
      <c r="B335" s="8">
        <f ca="1">IFERROR(__xludf.DUMMYFUNCTION("""COMPUTED_VALUE"""),45666)</f>
        <v>45666</v>
      </c>
      <c r="C335" s="8">
        <f ca="1">IFERROR(__xludf.DUMMYFUNCTION("""COMPUTED_VALUE"""),1244)</f>
        <v>1244</v>
      </c>
      <c r="D335" s="9">
        <f ca="1">IFERROR(__xludf.DUMMYFUNCTION("""COMPUTED_VALUE"""),1187)</f>
        <v>1187</v>
      </c>
      <c r="E335" s="8">
        <f ca="1">IFERROR(__xludf.DUMMYFUNCTION("""COMPUTED_VALUE"""),20)</f>
        <v>20</v>
      </c>
      <c r="F335" s="9">
        <f ca="1">IFERROR(__xludf.DUMMYFUNCTION("""COMPUTED_VALUE"""),3903)</f>
        <v>3903</v>
      </c>
    </row>
    <row r="336" spans="1:6" ht="13" x14ac:dyDescent="0.15">
      <c r="A336" s="7">
        <f ca="1">IFERROR(__xludf.DUMMYFUNCTION("""COMPUTED_VALUE"""),45992)</f>
        <v>45992</v>
      </c>
      <c r="B336" s="8">
        <f ca="1">IFERROR(__xludf.DUMMYFUNCTION("""COMPUTED_VALUE"""),75919)</f>
        <v>75919</v>
      </c>
      <c r="C336" s="8">
        <f ca="1">IFERROR(__xludf.DUMMYFUNCTION("""COMPUTED_VALUE"""),2098)</f>
        <v>2098</v>
      </c>
      <c r="D336" s="9">
        <f ca="1">IFERROR(__xludf.DUMMYFUNCTION("""COMPUTED_VALUE"""),2418)</f>
        <v>2418</v>
      </c>
      <c r="E336" s="8">
        <f ca="1">IFERROR(__xludf.DUMMYFUNCTION("""COMPUTED_VALUE"""),37)</f>
        <v>37</v>
      </c>
      <c r="F336" s="9">
        <f ca="1">IFERROR(__xludf.DUMMYFUNCTION("""COMPUTED_VALUE"""),5712)</f>
        <v>5712</v>
      </c>
    </row>
    <row r="337" spans="1:6" ht="13" x14ac:dyDescent="0.15">
      <c r="A337" s="7">
        <f ca="1">IFERROR(__xludf.DUMMYFUNCTION("""COMPUTED_VALUE"""),45993)</f>
        <v>45993</v>
      </c>
      <c r="B337" s="8">
        <f ca="1">IFERROR(__xludf.DUMMYFUNCTION("""COMPUTED_VALUE"""),78510)</f>
        <v>78510</v>
      </c>
      <c r="C337" s="8">
        <f ca="1">IFERROR(__xludf.DUMMYFUNCTION("""COMPUTED_VALUE"""),1614)</f>
        <v>1614</v>
      </c>
      <c r="D337" s="9">
        <f ca="1">IFERROR(__xludf.DUMMYFUNCTION("""COMPUTED_VALUE"""),2062)</f>
        <v>2062</v>
      </c>
      <c r="E337" s="8">
        <f ca="1">IFERROR(__xludf.DUMMYFUNCTION("""COMPUTED_VALUE"""),43)</f>
        <v>43</v>
      </c>
      <c r="F337" s="9">
        <f ca="1">IFERROR(__xludf.DUMMYFUNCTION("""COMPUTED_VALUE"""),6924)</f>
        <v>6924</v>
      </c>
    </row>
    <row r="338" spans="1:6" ht="13" x14ac:dyDescent="0.15">
      <c r="A338" s="7">
        <f ca="1">IFERROR(__xludf.DUMMYFUNCTION("""COMPUTED_VALUE"""),45994)</f>
        <v>45994</v>
      </c>
      <c r="B338" s="8">
        <f ca="1">IFERROR(__xludf.DUMMYFUNCTION("""COMPUTED_VALUE"""),55276)</f>
        <v>55276</v>
      </c>
      <c r="C338" s="8">
        <f ca="1">IFERROR(__xludf.DUMMYFUNCTION("""COMPUTED_VALUE"""),647)</f>
        <v>647</v>
      </c>
      <c r="D338" s="9">
        <f ca="1">IFERROR(__xludf.DUMMYFUNCTION("""COMPUTED_VALUE"""),1018)</f>
        <v>1018</v>
      </c>
      <c r="E338" s="8">
        <f ca="1">IFERROR(__xludf.DUMMYFUNCTION("""COMPUTED_VALUE"""),14)</f>
        <v>14</v>
      </c>
      <c r="F338" s="9">
        <f ca="1">IFERROR(__xludf.DUMMYFUNCTION("""COMPUTED_VALUE"""),2852)</f>
        <v>2852</v>
      </c>
    </row>
    <row r="339" spans="1:6" ht="13" x14ac:dyDescent="0.15">
      <c r="A339" s="7">
        <f ca="1">IFERROR(__xludf.DUMMYFUNCTION("""COMPUTED_VALUE"""),45995)</f>
        <v>45995</v>
      </c>
      <c r="B339" s="8">
        <f ca="1">IFERROR(__xludf.DUMMYFUNCTION("""COMPUTED_VALUE"""),92609)</f>
        <v>92609</v>
      </c>
      <c r="C339" s="8">
        <f ca="1">IFERROR(__xludf.DUMMYFUNCTION("""COMPUTED_VALUE"""),2428)</f>
        <v>2428</v>
      </c>
      <c r="D339" s="9">
        <f ca="1">IFERROR(__xludf.DUMMYFUNCTION("""COMPUTED_VALUE"""),3901)</f>
        <v>3901</v>
      </c>
      <c r="E339" s="8">
        <f ca="1">IFERROR(__xludf.DUMMYFUNCTION("""COMPUTED_VALUE"""),81)</f>
        <v>81</v>
      </c>
      <c r="F339" s="9">
        <f ca="1">IFERROR(__xludf.DUMMYFUNCTION("""COMPUTED_VALUE"""),11594)</f>
        <v>11594</v>
      </c>
    </row>
    <row r="340" spans="1:6" ht="13" x14ac:dyDescent="0.15">
      <c r="A340" s="7">
        <f ca="1">IFERROR(__xludf.DUMMYFUNCTION("""COMPUTED_VALUE"""),45996)</f>
        <v>45996</v>
      </c>
      <c r="B340" s="8">
        <f ca="1">IFERROR(__xludf.DUMMYFUNCTION("""COMPUTED_VALUE"""),66369)</f>
        <v>66369</v>
      </c>
      <c r="C340" s="8">
        <f ca="1">IFERROR(__xludf.DUMMYFUNCTION("""COMPUTED_VALUE"""),735)</f>
        <v>735</v>
      </c>
      <c r="D340" s="9">
        <f ca="1">IFERROR(__xludf.DUMMYFUNCTION("""COMPUTED_VALUE"""),995)</f>
        <v>995</v>
      </c>
      <c r="E340" s="8">
        <f ca="1">IFERROR(__xludf.DUMMYFUNCTION("""COMPUTED_VALUE"""),24)</f>
        <v>24</v>
      </c>
      <c r="F340" s="9">
        <f ca="1">IFERROR(__xludf.DUMMYFUNCTION("""COMPUTED_VALUE"""),2436)</f>
        <v>2436</v>
      </c>
    </row>
    <row r="341" spans="1:6" ht="13" x14ac:dyDescent="0.15">
      <c r="A341" s="7">
        <f ca="1">IFERROR(__xludf.DUMMYFUNCTION("""COMPUTED_VALUE"""),45997)</f>
        <v>45997</v>
      </c>
      <c r="B341" s="8">
        <f ca="1">IFERROR(__xludf.DUMMYFUNCTION("""COMPUTED_VALUE"""),50905)</f>
        <v>50905</v>
      </c>
      <c r="C341" s="8">
        <f ca="1">IFERROR(__xludf.DUMMYFUNCTION("""COMPUTED_VALUE"""),1581)</f>
        <v>1581</v>
      </c>
      <c r="D341" s="9">
        <f ca="1">IFERROR(__xludf.DUMMYFUNCTION("""COMPUTED_VALUE"""),2340)</f>
        <v>2340</v>
      </c>
      <c r="E341" s="8">
        <f ca="1">IFERROR(__xludf.DUMMYFUNCTION("""COMPUTED_VALUE"""),30)</f>
        <v>30</v>
      </c>
      <c r="F341" s="9">
        <f ca="1">IFERROR(__xludf.DUMMYFUNCTION("""COMPUTED_VALUE"""),4082)</f>
        <v>4082</v>
      </c>
    </row>
    <row r="342" spans="1:6" ht="13" x14ac:dyDescent="0.15">
      <c r="A342" s="7">
        <f ca="1">IFERROR(__xludf.DUMMYFUNCTION("""COMPUTED_VALUE"""),45998)</f>
        <v>45998</v>
      </c>
      <c r="B342" s="8">
        <f ca="1">IFERROR(__xludf.DUMMYFUNCTION("""COMPUTED_VALUE"""),61287)</f>
        <v>61287</v>
      </c>
      <c r="C342" s="8">
        <f ca="1">IFERROR(__xludf.DUMMYFUNCTION("""COMPUTED_VALUE"""),1317)</f>
        <v>1317</v>
      </c>
      <c r="D342" s="9">
        <f ca="1">IFERROR(__xludf.DUMMYFUNCTION("""COMPUTED_VALUE"""),1657)</f>
        <v>1657</v>
      </c>
      <c r="E342" s="8">
        <f ca="1">IFERROR(__xludf.DUMMYFUNCTION("""COMPUTED_VALUE"""),37)</f>
        <v>37</v>
      </c>
      <c r="F342" s="9">
        <f ca="1">IFERROR(__xludf.DUMMYFUNCTION("""COMPUTED_VALUE"""),4739)</f>
        <v>4739</v>
      </c>
    </row>
    <row r="343" spans="1:6" ht="13" x14ac:dyDescent="0.15">
      <c r="A343" s="7">
        <f ca="1">IFERROR(__xludf.DUMMYFUNCTION("""COMPUTED_VALUE"""),45999)</f>
        <v>45999</v>
      </c>
      <c r="B343" s="8">
        <f ca="1">IFERROR(__xludf.DUMMYFUNCTION("""COMPUTED_VALUE"""),87758)</f>
        <v>87758</v>
      </c>
      <c r="C343" s="8">
        <f ca="1">IFERROR(__xludf.DUMMYFUNCTION("""COMPUTED_VALUE"""),1633)</f>
        <v>1633</v>
      </c>
      <c r="D343" s="9">
        <f ca="1">IFERROR(__xludf.DUMMYFUNCTION("""COMPUTED_VALUE"""),2491)</f>
        <v>2491</v>
      </c>
      <c r="E343" s="8">
        <f ca="1">IFERROR(__xludf.DUMMYFUNCTION("""COMPUTED_VALUE"""),37)</f>
        <v>37</v>
      </c>
      <c r="F343" s="9">
        <f ca="1">IFERROR(__xludf.DUMMYFUNCTION("""COMPUTED_VALUE"""),6428)</f>
        <v>6428</v>
      </c>
    </row>
    <row r="344" spans="1:6" ht="13" x14ac:dyDescent="0.15">
      <c r="A344" s="7">
        <f ca="1">IFERROR(__xludf.DUMMYFUNCTION("""COMPUTED_VALUE"""),46000)</f>
        <v>46000</v>
      </c>
      <c r="B344" s="8">
        <f ca="1">IFERROR(__xludf.DUMMYFUNCTION("""COMPUTED_VALUE"""),57427)</f>
        <v>57427</v>
      </c>
      <c r="C344" s="8">
        <f ca="1">IFERROR(__xludf.DUMMYFUNCTION("""COMPUTED_VALUE"""),1643)</f>
        <v>1643</v>
      </c>
      <c r="D344" s="9">
        <f ca="1">IFERROR(__xludf.DUMMYFUNCTION("""COMPUTED_VALUE"""),2313)</f>
        <v>2313</v>
      </c>
      <c r="E344" s="8">
        <f ca="1">IFERROR(__xludf.DUMMYFUNCTION("""COMPUTED_VALUE"""),49)</f>
        <v>49</v>
      </c>
      <c r="F344" s="9">
        <f ca="1">IFERROR(__xludf.DUMMYFUNCTION("""COMPUTED_VALUE"""),5060)</f>
        <v>5060</v>
      </c>
    </row>
    <row r="345" spans="1:6" ht="13" x14ac:dyDescent="0.15">
      <c r="A345" s="7">
        <f ca="1">IFERROR(__xludf.DUMMYFUNCTION("""COMPUTED_VALUE"""),46001)</f>
        <v>46001</v>
      </c>
      <c r="B345" s="8">
        <f ca="1">IFERROR(__xludf.DUMMYFUNCTION("""COMPUTED_VALUE"""),37906)</f>
        <v>37906</v>
      </c>
      <c r="C345" s="8">
        <f ca="1">IFERROR(__xludf.DUMMYFUNCTION("""COMPUTED_VALUE"""),824)</f>
        <v>824</v>
      </c>
      <c r="D345" s="9">
        <f ca="1">IFERROR(__xludf.DUMMYFUNCTION("""COMPUTED_VALUE"""),1292)</f>
        <v>1292</v>
      </c>
      <c r="E345" s="8">
        <f ca="1">IFERROR(__xludf.DUMMYFUNCTION("""COMPUTED_VALUE"""),14)</f>
        <v>14</v>
      </c>
      <c r="F345" s="9">
        <f ca="1">IFERROR(__xludf.DUMMYFUNCTION("""COMPUTED_VALUE"""),1401)</f>
        <v>1401</v>
      </c>
    </row>
    <row r="346" spans="1:6" ht="13" x14ac:dyDescent="0.15">
      <c r="A346" s="7">
        <f ca="1">IFERROR(__xludf.DUMMYFUNCTION("""COMPUTED_VALUE"""),46002)</f>
        <v>46002</v>
      </c>
      <c r="B346" s="8">
        <f ca="1">IFERROR(__xludf.DUMMYFUNCTION("""COMPUTED_VALUE"""),59431)</f>
        <v>59431</v>
      </c>
      <c r="C346" s="8">
        <f ca="1">IFERROR(__xludf.DUMMYFUNCTION("""COMPUTED_VALUE"""),763)</f>
        <v>763</v>
      </c>
      <c r="D346" s="9">
        <f ca="1">IFERROR(__xludf.DUMMYFUNCTION("""COMPUTED_VALUE"""),1249)</f>
        <v>1249</v>
      </c>
      <c r="E346" s="8">
        <f ca="1">IFERROR(__xludf.DUMMYFUNCTION("""COMPUTED_VALUE"""),12)</f>
        <v>12</v>
      </c>
      <c r="F346" s="9">
        <f ca="1">IFERROR(__xludf.DUMMYFUNCTION("""COMPUTED_VALUE"""),1779)</f>
        <v>1779</v>
      </c>
    </row>
    <row r="347" spans="1:6" ht="13" x14ac:dyDescent="0.15">
      <c r="A347" s="7">
        <f ca="1">IFERROR(__xludf.DUMMYFUNCTION("""COMPUTED_VALUE"""),46003)</f>
        <v>46003</v>
      </c>
      <c r="B347" s="8">
        <f ca="1">IFERROR(__xludf.DUMMYFUNCTION("""COMPUTED_VALUE"""),36557)</f>
        <v>36557</v>
      </c>
      <c r="C347" s="8">
        <f ca="1">IFERROR(__xludf.DUMMYFUNCTION("""COMPUTED_VALUE"""),346)</f>
        <v>346</v>
      </c>
      <c r="D347" s="9">
        <f ca="1">IFERROR(__xludf.DUMMYFUNCTION("""COMPUTED_VALUE"""),510)</f>
        <v>510</v>
      </c>
      <c r="E347" s="8">
        <f ca="1">IFERROR(__xludf.DUMMYFUNCTION("""COMPUTED_VALUE"""),5)</f>
        <v>5</v>
      </c>
      <c r="F347" s="9">
        <f ca="1">IFERROR(__xludf.DUMMYFUNCTION("""COMPUTED_VALUE"""),515)</f>
        <v>515</v>
      </c>
    </row>
    <row r="348" spans="1:6" ht="13" x14ac:dyDescent="0.15">
      <c r="A348" s="7">
        <f ca="1">IFERROR(__xludf.DUMMYFUNCTION("""COMPUTED_VALUE"""),46004)</f>
        <v>46004</v>
      </c>
      <c r="B348" s="8">
        <f ca="1">IFERROR(__xludf.DUMMYFUNCTION("""COMPUTED_VALUE"""),84272)</f>
        <v>84272</v>
      </c>
      <c r="C348" s="8">
        <f ca="1">IFERROR(__xludf.DUMMYFUNCTION("""COMPUTED_VALUE"""),2113)</f>
        <v>2113</v>
      </c>
      <c r="D348" s="9">
        <f ca="1">IFERROR(__xludf.DUMMYFUNCTION("""COMPUTED_VALUE"""),2511)</f>
        <v>2511</v>
      </c>
      <c r="E348" s="8">
        <f ca="1">IFERROR(__xludf.DUMMYFUNCTION("""COMPUTED_VALUE"""),58)</f>
        <v>58</v>
      </c>
      <c r="F348" s="9">
        <f ca="1">IFERROR(__xludf.DUMMYFUNCTION("""COMPUTED_VALUE"""),5962)</f>
        <v>5962</v>
      </c>
    </row>
    <row r="349" spans="1:6" ht="13" x14ac:dyDescent="0.15">
      <c r="A349" s="7">
        <f ca="1">IFERROR(__xludf.DUMMYFUNCTION("""COMPUTED_VALUE"""),46005)</f>
        <v>46005</v>
      </c>
      <c r="B349" s="8">
        <f ca="1">IFERROR(__xludf.DUMMYFUNCTION("""COMPUTED_VALUE"""),26243)</f>
        <v>26243</v>
      </c>
      <c r="C349" s="8">
        <f ca="1">IFERROR(__xludf.DUMMYFUNCTION("""COMPUTED_VALUE"""),640)</f>
        <v>640</v>
      </c>
      <c r="D349" s="9">
        <f ca="1">IFERROR(__xludf.DUMMYFUNCTION("""COMPUTED_VALUE"""),1065)</f>
        <v>1065</v>
      </c>
      <c r="E349" s="8">
        <f ca="1">IFERROR(__xludf.DUMMYFUNCTION("""COMPUTED_VALUE"""),13)</f>
        <v>13</v>
      </c>
      <c r="F349" s="9">
        <f ca="1">IFERROR(__xludf.DUMMYFUNCTION("""COMPUTED_VALUE"""),2217)</f>
        <v>2217</v>
      </c>
    </row>
    <row r="350" spans="1:6" ht="13" x14ac:dyDescent="0.15">
      <c r="A350" s="7">
        <f ca="1">IFERROR(__xludf.DUMMYFUNCTION("""COMPUTED_VALUE"""),46006)</f>
        <v>46006</v>
      </c>
      <c r="B350" s="8">
        <f ca="1">IFERROR(__xludf.DUMMYFUNCTION("""COMPUTED_VALUE"""),86600)</f>
        <v>86600</v>
      </c>
      <c r="C350" s="8">
        <f ca="1">IFERROR(__xludf.DUMMYFUNCTION("""COMPUTED_VALUE"""),2739)</f>
        <v>2739</v>
      </c>
      <c r="D350" s="9">
        <f ca="1">IFERROR(__xludf.DUMMYFUNCTION("""COMPUTED_VALUE"""),3791)</f>
        <v>3791</v>
      </c>
      <c r="E350" s="8">
        <f ca="1">IFERROR(__xludf.DUMMYFUNCTION("""COMPUTED_VALUE"""),79)</f>
        <v>79</v>
      </c>
      <c r="F350" s="9">
        <f ca="1">IFERROR(__xludf.DUMMYFUNCTION("""COMPUTED_VALUE"""),5597)</f>
        <v>5597</v>
      </c>
    </row>
    <row r="351" spans="1:6" ht="13" x14ac:dyDescent="0.15">
      <c r="A351" s="7">
        <f ca="1">IFERROR(__xludf.DUMMYFUNCTION("""COMPUTED_VALUE"""),46007)</f>
        <v>46007</v>
      </c>
      <c r="B351" s="8">
        <f ca="1">IFERROR(__xludf.DUMMYFUNCTION("""COMPUTED_VALUE"""),72407)</f>
        <v>72407</v>
      </c>
      <c r="C351" s="8">
        <f ca="1">IFERROR(__xludf.DUMMYFUNCTION("""COMPUTED_VALUE"""),2202)</f>
        <v>2202</v>
      </c>
      <c r="D351" s="9">
        <f ca="1">IFERROR(__xludf.DUMMYFUNCTION("""COMPUTED_VALUE"""),2457)</f>
        <v>2457</v>
      </c>
      <c r="E351" s="8">
        <f ca="1">IFERROR(__xludf.DUMMYFUNCTION("""COMPUTED_VALUE"""),73)</f>
        <v>73</v>
      </c>
      <c r="F351" s="9">
        <f ca="1">IFERROR(__xludf.DUMMYFUNCTION("""COMPUTED_VALUE"""),11209)</f>
        <v>11209</v>
      </c>
    </row>
    <row r="352" spans="1:6" ht="13" x14ac:dyDescent="0.15">
      <c r="A352" s="7">
        <f ca="1">IFERROR(__xludf.DUMMYFUNCTION("""COMPUTED_VALUE"""),46008)</f>
        <v>46008</v>
      </c>
      <c r="B352" s="8">
        <f ca="1">IFERROR(__xludf.DUMMYFUNCTION("""COMPUTED_VALUE"""),39996)</f>
        <v>39996</v>
      </c>
      <c r="C352" s="8">
        <f ca="1">IFERROR(__xludf.DUMMYFUNCTION("""COMPUTED_VALUE"""),685)</f>
        <v>685</v>
      </c>
      <c r="D352" s="9">
        <f ca="1">IFERROR(__xludf.DUMMYFUNCTION("""COMPUTED_VALUE"""),769)</f>
        <v>769</v>
      </c>
      <c r="E352" s="8">
        <f ca="1">IFERROR(__xludf.DUMMYFUNCTION("""COMPUTED_VALUE"""),11)</f>
        <v>11</v>
      </c>
      <c r="F352" s="9">
        <f ca="1">IFERROR(__xludf.DUMMYFUNCTION("""COMPUTED_VALUE"""),1781)</f>
        <v>1781</v>
      </c>
    </row>
    <row r="353" spans="1:6" ht="13" x14ac:dyDescent="0.15">
      <c r="A353" s="7">
        <f ca="1">IFERROR(__xludf.DUMMYFUNCTION("""COMPUTED_VALUE"""),46009)</f>
        <v>46009</v>
      </c>
      <c r="B353" s="8">
        <f ca="1">IFERROR(__xludf.DUMMYFUNCTION("""COMPUTED_VALUE"""),74822)</f>
        <v>74822</v>
      </c>
      <c r="C353" s="8">
        <f ca="1">IFERROR(__xludf.DUMMYFUNCTION("""COMPUTED_VALUE"""),1589)</f>
        <v>1589</v>
      </c>
      <c r="D353" s="9">
        <f ca="1">IFERROR(__xludf.DUMMYFUNCTION("""COMPUTED_VALUE"""),2131)</f>
        <v>2131</v>
      </c>
      <c r="E353" s="8">
        <f ca="1">IFERROR(__xludf.DUMMYFUNCTION("""COMPUTED_VALUE"""),40)</f>
        <v>40</v>
      </c>
      <c r="F353" s="9">
        <f ca="1">IFERROR(__xludf.DUMMYFUNCTION("""COMPUTED_VALUE"""),5856)</f>
        <v>5856</v>
      </c>
    </row>
    <row r="354" spans="1:6" ht="13" x14ac:dyDescent="0.15">
      <c r="A354" s="7">
        <f ca="1">IFERROR(__xludf.DUMMYFUNCTION("""COMPUTED_VALUE"""),46010)</f>
        <v>46010</v>
      </c>
      <c r="B354" s="8">
        <f ca="1">IFERROR(__xludf.DUMMYFUNCTION("""COMPUTED_VALUE"""),65011)</f>
        <v>65011</v>
      </c>
      <c r="C354" s="8">
        <f ca="1">IFERROR(__xludf.DUMMYFUNCTION("""COMPUTED_VALUE"""),2207)</f>
        <v>2207</v>
      </c>
      <c r="D354" s="9">
        <f ca="1">IFERROR(__xludf.DUMMYFUNCTION("""COMPUTED_VALUE"""),3436)</f>
        <v>3436</v>
      </c>
      <c r="E354" s="8">
        <f ca="1">IFERROR(__xludf.DUMMYFUNCTION("""COMPUTED_VALUE"""),49)</f>
        <v>49</v>
      </c>
      <c r="F354" s="9">
        <f ca="1">IFERROR(__xludf.DUMMYFUNCTION("""COMPUTED_VALUE"""),4809)</f>
        <v>4809</v>
      </c>
    </row>
    <row r="355" spans="1:6" ht="13" x14ac:dyDescent="0.15">
      <c r="A355" s="7">
        <f ca="1">IFERROR(__xludf.DUMMYFUNCTION("""COMPUTED_VALUE"""),46011)</f>
        <v>46011</v>
      </c>
      <c r="B355" s="8">
        <f ca="1">IFERROR(__xludf.DUMMYFUNCTION("""COMPUTED_VALUE"""),89340)</f>
        <v>89340</v>
      </c>
      <c r="C355" s="8">
        <f ca="1">IFERROR(__xludf.DUMMYFUNCTION("""COMPUTED_VALUE"""),2314)</f>
        <v>2314</v>
      </c>
      <c r="D355" s="9">
        <f ca="1">IFERROR(__xludf.DUMMYFUNCTION("""COMPUTED_VALUE"""),2856)</f>
        <v>2856</v>
      </c>
      <c r="E355" s="8">
        <f ca="1">IFERROR(__xludf.DUMMYFUNCTION("""COMPUTED_VALUE"""),42)</f>
        <v>42</v>
      </c>
      <c r="F355" s="9">
        <f ca="1">IFERROR(__xludf.DUMMYFUNCTION("""COMPUTED_VALUE"""),6143)</f>
        <v>6143</v>
      </c>
    </row>
    <row r="356" spans="1:6" ht="13" x14ac:dyDescent="0.15">
      <c r="A356" s="7">
        <f ca="1">IFERROR(__xludf.DUMMYFUNCTION("""COMPUTED_VALUE"""),46012)</f>
        <v>46012</v>
      </c>
      <c r="B356" s="8">
        <f ca="1">IFERROR(__xludf.DUMMYFUNCTION("""COMPUTED_VALUE"""),28734)</f>
        <v>28734</v>
      </c>
      <c r="C356" s="8">
        <f ca="1">IFERROR(__xludf.DUMMYFUNCTION("""COMPUTED_VALUE"""),274)</f>
        <v>274</v>
      </c>
      <c r="D356" s="9">
        <f ca="1">IFERROR(__xludf.DUMMYFUNCTION("""COMPUTED_VALUE"""),312)</f>
        <v>312</v>
      </c>
      <c r="E356" s="8">
        <f ca="1">IFERROR(__xludf.DUMMYFUNCTION("""COMPUTED_VALUE"""),5)</f>
        <v>5</v>
      </c>
      <c r="F356" s="9">
        <f ca="1">IFERROR(__xludf.DUMMYFUNCTION("""COMPUTED_VALUE"""),779)</f>
        <v>779</v>
      </c>
    </row>
    <row r="357" spans="1:6" ht="13" x14ac:dyDescent="0.15">
      <c r="A357" s="7">
        <f ca="1">IFERROR(__xludf.DUMMYFUNCTION("""COMPUTED_VALUE"""),46013)</f>
        <v>46013</v>
      </c>
      <c r="B357" s="8">
        <f ca="1">IFERROR(__xludf.DUMMYFUNCTION("""COMPUTED_VALUE"""),58608)</f>
        <v>58608</v>
      </c>
      <c r="C357" s="8">
        <f ca="1">IFERROR(__xludf.DUMMYFUNCTION("""COMPUTED_VALUE"""),956)</f>
        <v>956</v>
      </c>
      <c r="D357" s="9">
        <f ca="1">IFERROR(__xludf.DUMMYFUNCTION("""COMPUTED_VALUE"""),1166)</f>
        <v>1166</v>
      </c>
      <c r="E357" s="8">
        <f ca="1">IFERROR(__xludf.DUMMYFUNCTION("""COMPUTED_VALUE"""),17)</f>
        <v>17</v>
      </c>
      <c r="F357" s="9">
        <f ca="1">IFERROR(__xludf.DUMMYFUNCTION("""COMPUTED_VALUE"""),1734)</f>
        <v>1734</v>
      </c>
    </row>
    <row r="358" spans="1:6" ht="13" x14ac:dyDescent="0.15">
      <c r="A358" s="7">
        <f ca="1">IFERROR(__xludf.DUMMYFUNCTION("""COMPUTED_VALUE"""),46014)</f>
        <v>46014</v>
      </c>
      <c r="B358" s="8">
        <f ca="1">IFERROR(__xludf.DUMMYFUNCTION("""COMPUTED_VALUE"""),59262)</f>
        <v>59262</v>
      </c>
      <c r="C358" s="8">
        <f ca="1">IFERROR(__xludf.DUMMYFUNCTION("""COMPUTED_VALUE"""),700)</f>
        <v>700</v>
      </c>
      <c r="D358" s="9">
        <f ca="1">IFERROR(__xludf.DUMMYFUNCTION("""COMPUTED_VALUE"""),874)</f>
        <v>874</v>
      </c>
      <c r="E358" s="8">
        <f ca="1">IFERROR(__xludf.DUMMYFUNCTION("""COMPUTED_VALUE"""),21)</f>
        <v>21</v>
      </c>
      <c r="F358" s="9">
        <f ca="1">IFERROR(__xludf.DUMMYFUNCTION("""COMPUTED_VALUE"""),2884)</f>
        <v>2884</v>
      </c>
    </row>
    <row r="359" spans="1:6" ht="13" x14ac:dyDescent="0.15">
      <c r="A359" s="7">
        <f ca="1">IFERROR(__xludf.DUMMYFUNCTION("""COMPUTED_VALUE"""),46015)</f>
        <v>46015</v>
      </c>
      <c r="B359" s="8">
        <f ca="1">IFERROR(__xludf.DUMMYFUNCTION("""COMPUTED_VALUE"""),73767)</f>
        <v>73767</v>
      </c>
      <c r="C359" s="8">
        <f ca="1">IFERROR(__xludf.DUMMYFUNCTION("""COMPUTED_VALUE"""),1761)</f>
        <v>1761</v>
      </c>
      <c r="D359" s="9">
        <f ca="1">IFERROR(__xludf.DUMMYFUNCTION("""COMPUTED_VALUE"""),1722)</f>
        <v>1722</v>
      </c>
      <c r="E359" s="8">
        <f ca="1">IFERROR(__xludf.DUMMYFUNCTION("""COMPUTED_VALUE"""),36)</f>
        <v>36</v>
      </c>
      <c r="F359" s="9">
        <f ca="1">IFERROR(__xludf.DUMMYFUNCTION("""COMPUTED_VALUE"""),4101)</f>
        <v>4101</v>
      </c>
    </row>
    <row r="360" spans="1:6" ht="13" x14ac:dyDescent="0.15">
      <c r="A360" s="7">
        <f ca="1">IFERROR(__xludf.DUMMYFUNCTION("""COMPUTED_VALUE"""),46016)</f>
        <v>46016</v>
      </c>
      <c r="B360" s="8">
        <f ca="1">IFERROR(__xludf.DUMMYFUNCTION("""COMPUTED_VALUE"""),90803)</f>
        <v>90803</v>
      </c>
      <c r="C360" s="8">
        <f ca="1">IFERROR(__xludf.DUMMYFUNCTION("""COMPUTED_VALUE"""),1235)</f>
        <v>1235</v>
      </c>
      <c r="D360" s="9">
        <f ca="1">IFERROR(__xludf.DUMMYFUNCTION("""COMPUTED_VALUE"""),1204)</f>
        <v>1204</v>
      </c>
      <c r="E360" s="8">
        <f ca="1">IFERROR(__xludf.DUMMYFUNCTION("""COMPUTED_VALUE"""),29)</f>
        <v>29</v>
      </c>
      <c r="F360" s="9">
        <f ca="1">IFERROR(__xludf.DUMMYFUNCTION("""COMPUTED_VALUE"""),2943)</f>
        <v>2943</v>
      </c>
    </row>
    <row r="361" spans="1:6" ht="13" x14ac:dyDescent="0.15">
      <c r="A361" s="7">
        <f ca="1">IFERROR(__xludf.DUMMYFUNCTION("""COMPUTED_VALUE"""),46017)</f>
        <v>46017</v>
      </c>
      <c r="B361" s="8">
        <f ca="1">IFERROR(__xludf.DUMMYFUNCTION("""COMPUTED_VALUE"""),35548)</f>
        <v>35548</v>
      </c>
      <c r="C361" s="8">
        <f ca="1">IFERROR(__xludf.DUMMYFUNCTION("""COMPUTED_VALUE"""),568)</f>
        <v>568</v>
      </c>
      <c r="D361" s="9">
        <f ca="1">IFERROR(__xludf.DUMMYFUNCTION("""COMPUTED_VALUE"""),602)</f>
        <v>602</v>
      </c>
      <c r="E361" s="8">
        <f ca="1">IFERROR(__xludf.DUMMYFUNCTION("""COMPUTED_VALUE"""),9)</f>
        <v>9</v>
      </c>
      <c r="F361" s="9">
        <f ca="1">IFERROR(__xludf.DUMMYFUNCTION("""COMPUTED_VALUE"""),1336)</f>
        <v>1336</v>
      </c>
    </row>
    <row r="362" spans="1:6" ht="13" x14ac:dyDescent="0.15">
      <c r="A362" s="7">
        <f ca="1">IFERROR(__xludf.DUMMYFUNCTION("""COMPUTED_VALUE"""),46018)</f>
        <v>46018</v>
      </c>
      <c r="B362" s="8">
        <f ca="1">IFERROR(__xludf.DUMMYFUNCTION("""COMPUTED_VALUE"""),84233)</f>
        <v>84233</v>
      </c>
      <c r="C362" s="8">
        <f ca="1">IFERROR(__xludf.DUMMYFUNCTION("""COMPUTED_VALUE"""),2171)</f>
        <v>2171</v>
      </c>
      <c r="D362" s="9">
        <f ca="1">IFERROR(__xludf.DUMMYFUNCTION("""COMPUTED_VALUE"""),1948)</f>
        <v>1948</v>
      </c>
      <c r="E362" s="8">
        <f ca="1">IFERROR(__xludf.DUMMYFUNCTION("""COMPUTED_VALUE"""),37)</f>
        <v>37</v>
      </c>
      <c r="F362" s="9">
        <f ca="1">IFERROR(__xludf.DUMMYFUNCTION("""COMPUTED_VALUE"""),4579)</f>
        <v>4579</v>
      </c>
    </row>
    <row r="363" spans="1:6" ht="13" x14ac:dyDescent="0.15">
      <c r="A363" s="7">
        <f ca="1">IFERROR(__xludf.DUMMYFUNCTION("""COMPUTED_VALUE"""),46019)</f>
        <v>46019</v>
      </c>
      <c r="B363" s="8">
        <f ca="1">IFERROR(__xludf.DUMMYFUNCTION("""COMPUTED_VALUE"""),75236)</f>
        <v>75236</v>
      </c>
      <c r="C363" s="8">
        <f ca="1">IFERROR(__xludf.DUMMYFUNCTION("""COMPUTED_VALUE"""),2160)</f>
        <v>2160</v>
      </c>
      <c r="D363" s="9">
        <f ca="1">IFERROR(__xludf.DUMMYFUNCTION("""COMPUTED_VALUE"""),3188)</f>
        <v>3188</v>
      </c>
      <c r="E363" s="8">
        <f ca="1">IFERROR(__xludf.DUMMYFUNCTION("""COMPUTED_VALUE"""),46)</f>
        <v>46</v>
      </c>
      <c r="F363" s="9">
        <f ca="1">IFERROR(__xludf.DUMMYFUNCTION("""COMPUTED_VALUE"""),5751)</f>
        <v>5751</v>
      </c>
    </row>
    <row r="364" spans="1:6" ht="13" x14ac:dyDescent="0.15">
      <c r="A364" s="7">
        <f ca="1">IFERROR(__xludf.DUMMYFUNCTION("""COMPUTED_VALUE"""),46020)</f>
        <v>46020</v>
      </c>
      <c r="B364" s="8">
        <f ca="1">IFERROR(__xludf.DUMMYFUNCTION("""COMPUTED_VALUE"""),57807)</f>
        <v>57807</v>
      </c>
      <c r="C364" s="8">
        <f ca="1">IFERROR(__xludf.DUMMYFUNCTION("""COMPUTED_VALUE"""),969)</f>
        <v>969</v>
      </c>
      <c r="D364" s="9">
        <f ca="1">IFERROR(__xludf.DUMMYFUNCTION("""COMPUTED_VALUE"""),959)</f>
        <v>959</v>
      </c>
      <c r="E364" s="8">
        <f ca="1">IFERROR(__xludf.DUMMYFUNCTION("""COMPUTED_VALUE"""),16)</f>
        <v>16</v>
      </c>
      <c r="F364" s="9">
        <f ca="1">IFERROR(__xludf.DUMMYFUNCTION("""COMPUTED_VALUE"""),1453)</f>
        <v>1453</v>
      </c>
    </row>
    <row r="365" spans="1:6" ht="13" x14ac:dyDescent="0.15">
      <c r="A365" s="7">
        <f ca="1">IFERROR(__xludf.DUMMYFUNCTION("""COMPUTED_VALUE"""),46021)</f>
        <v>46021</v>
      </c>
      <c r="B365" s="8">
        <f ca="1">IFERROR(__xludf.DUMMYFUNCTION("""COMPUTED_VALUE"""),48189)</f>
        <v>48189</v>
      </c>
      <c r="C365" s="8">
        <f ca="1">IFERROR(__xludf.DUMMYFUNCTION("""COMPUTED_VALUE"""),1097)</f>
        <v>1097</v>
      </c>
      <c r="D365" s="9">
        <f ca="1">IFERROR(__xludf.DUMMYFUNCTION("""COMPUTED_VALUE"""),1362)</f>
        <v>1362</v>
      </c>
      <c r="E365" s="8">
        <f ca="1">IFERROR(__xludf.DUMMYFUNCTION("""COMPUTED_VALUE"""),24)</f>
        <v>24</v>
      </c>
      <c r="F365" s="9">
        <f ca="1">IFERROR(__xludf.DUMMYFUNCTION("""COMPUTED_VALUE"""),4209)</f>
        <v>4209</v>
      </c>
    </row>
    <row r="366" spans="1:6" ht="13" x14ac:dyDescent="0.15">
      <c r="A366" s="7">
        <f ca="1">IFERROR(__xludf.DUMMYFUNCTION("""COMPUTED_VALUE"""),46022)</f>
        <v>46022</v>
      </c>
      <c r="B366" s="8">
        <f ca="1">IFERROR(__xludf.DUMMYFUNCTION("""COMPUTED_VALUE"""),79467)</f>
        <v>79467</v>
      </c>
      <c r="C366" s="8">
        <f ca="1">IFERROR(__xludf.DUMMYFUNCTION("""COMPUTED_VALUE"""),2002)</f>
        <v>2002</v>
      </c>
      <c r="D366" s="9">
        <f ca="1">IFERROR(__xludf.DUMMYFUNCTION("""COMPUTED_VALUE"""),2063)</f>
        <v>2063</v>
      </c>
      <c r="E366" s="8">
        <f ca="1">IFERROR(__xludf.DUMMYFUNCTION("""COMPUTED_VALUE"""),46)</f>
        <v>46</v>
      </c>
      <c r="F366" s="9">
        <f ca="1">IFERROR(__xludf.DUMMYFUNCTION("""COMPUTED_VALUE"""),5993)</f>
        <v>5993</v>
      </c>
    </row>
    <row r="367" spans="1:6" ht="13" x14ac:dyDescent="0.15">
      <c r="A367" s="7"/>
    </row>
    <row r="368" spans="1:6" ht="13" x14ac:dyDescent="0.15">
      <c r="A368" s="7"/>
    </row>
    <row r="369" spans="1:1" ht="13" x14ac:dyDescent="0.15">
      <c r="A369" s="7"/>
    </row>
    <row r="370" spans="1:1" ht="13" x14ac:dyDescent="0.15">
      <c r="A370" s="7"/>
    </row>
    <row r="371" spans="1:1" ht="13" x14ac:dyDescent="0.15">
      <c r="A371" s="7"/>
    </row>
    <row r="372" spans="1:1" ht="13" x14ac:dyDescent="0.15">
      <c r="A372" s="7"/>
    </row>
    <row r="373" spans="1:1" ht="13" x14ac:dyDescent="0.15">
      <c r="A373" s="7"/>
    </row>
    <row r="374" spans="1:1" ht="13" x14ac:dyDescent="0.15">
      <c r="A374" s="7"/>
    </row>
    <row r="375" spans="1:1" ht="13" x14ac:dyDescent="0.15">
      <c r="A375" s="7"/>
    </row>
    <row r="376" spans="1:1" ht="13" x14ac:dyDescent="0.15">
      <c r="A376" s="7"/>
    </row>
    <row r="377" spans="1:1" ht="13" x14ac:dyDescent="0.15">
      <c r="A377" s="7"/>
    </row>
    <row r="378" spans="1:1" ht="13" x14ac:dyDescent="0.15">
      <c r="A378" s="7"/>
    </row>
    <row r="379" spans="1:1" ht="13" x14ac:dyDescent="0.15">
      <c r="A379" s="7"/>
    </row>
    <row r="380" spans="1:1" ht="13" x14ac:dyDescent="0.15">
      <c r="A380" s="7"/>
    </row>
    <row r="381" spans="1:1" ht="13" x14ac:dyDescent="0.15">
      <c r="A381" s="7"/>
    </row>
    <row r="382" spans="1:1" ht="13" x14ac:dyDescent="0.15">
      <c r="A382" s="7"/>
    </row>
    <row r="383" spans="1:1" ht="13" x14ac:dyDescent="0.15">
      <c r="A383" s="7"/>
    </row>
    <row r="384" spans="1:1" ht="13" x14ac:dyDescent="0.15">
      <c r="A384" s="7"/>
    </row>
    <row r="385" spans="1:1" ht="13" x14ac:dyDescent="0.15">
      <c r="A385" s="7"/>
    </row>
    <row r="386" spans="1:1" ht="13" x14ac:dyDescent="0.15">
      <c r="A386" s="7"/>
    </row>
    <row r="387" spans="1:1" ht="13" x14ac:dyDescent="0.15">
      <c r="A387" s="7"/>
    </row>
    <row r="388" spans="1:1" ht="13" x14ac:dyDescent="0.15">
      <c r="A388" s="7"/>
    </row>
    <row r="389" spans="1:1" ht="13" x14ac:dyDescent="0.15">
      <c r="A389" s="7"/>
    </row>
    <row r="390" spans="1:1" ht="13" x14ac:dyDescent="0.15">
      <c r="A390" s="7"/>
    </row>
    <row r="391" spans="1:1" ht="13" x14ac:dyDescent="0.15">
      <c r="A391" s="7"/>
    </row>
    <row r="392" spans="1:1" ht="13" x14ac:dyDescent="0.15">
      <c r="A392" s="7"/>
    </row>
    <row r="393" spans="1:1" ht="13" x14ac:dyDescent="0.15">
      <c r="A393" s="7"/>
    </row>
    <row r="394" spans="1:1" ht="13" x14ac:dyDescent="0.15">
      <c r="A394" s="7"/>
    </row>
    <row r="395" spans="1:1" ht="13" x14ac:dyDescent="0.15">
      <c r="A395" s="7"/>
    </row>
    <row r="396" spans="1:1" ht="13" x14ac:dyDescent="0.15">
      <c r="A396" s="7"/>
    </row>
    <row r="397" spans="1:1" ht="13" x14ac:dyDescent="0.15">
      <c r="A397" s="7"/>
    </row>
    <row r="398" spans="1:1" ht="13" x14ac:dyDescent="0.15">
      <c r="A398" s="7"/>
    </row>
    <row r="399" spans="1:1" ht="13" x14ac:dyDescent="0.15">
      <c r="A399" s="7"/>
    </row>
    <row r="400" spans="1:1" ht="13" x14ac:dyDescent="0.15">
      <c r="A400" s="7"/>
    </row>
    <row r="401" spans="1:1" ht="13" x14ac:dyDescent="0.15">
      <c r="A401" s="7"/>
    </row>
    <row r="402" spans="1:1" ht="13" x14ac:dyDescent="0.15">
      <c r="A402" s="7"/>
    </row>
    <row r="403" spans="1:1" ht="13" x14ac:dyDescent="0.15">
      <c r="A403" s="7"/>
    </row>
    <row r="404" spans="1:1" ht="13" x14ac:dyDescent="0.15">
      <c r="A404" s="7"/>
    </row>
    <row r="405" spans="1:1" ht="13" x14ac:dyDescent="0.15">
      <c r="A405" s="7"/>
    </row>
    <row r="406" spans="1:1" ht="13" x14ac:dyDescent="0.15">
      <c r="A406" s="7"/>
    </row>
    <row r="407" spans="1:1" ht="13" x14ac:dyDescent="0.15">
      <c r="A407" s="7"/>
    </row>
    <row r="408" spans="1:1" ht="13" x14ac:dyDescent="0.15">
      <c r="A408" s="7"/>
    </row>
    <row r="409" spans="1:1" ht="13" x14ac:dyDescent="0.15">
      <c r="A409" s="7"/>
    </row>
    <row r="410" spans="1:1" ht="13" x14ac:dyDescent="0.15">
      <c r="A410" s="7"/>
    </row>
    <row r="411" spans="1:1" ht="13" x14ac:dyDescent="0.15">
      <c r="A411" s="7"/>
    </row>
    <row r="412" spans="1:1" ht="13" x14ac:dyDescent="0.15">
      <c r="A412" s="7"/>
    </row>
    <row r="413" spans="1:1" ht="13" x14ac:dyDescent="0.15">
      <c r="A413" s="7"/>
    </row>
    <row r="414" spans="1:1" ht="13" x14ac:dyDescent="0.15">
      <c r="A414" s="7"/>
    </row>
    <row r="415" spans="1:1" ht="13" x14ac:dyDescent="0.15">
      <c r="A415" s="7"/>
    </row>
    <row r="416" spans="1:1" ht="13" x14ac:dyDescent="0.15">
      <c r="A416" s="7"/>
    </row>
    <row r="417" spans="1:1" ht="13" x14ac:dyDescent="0.15">
      <c r="A417" s="7"/>
    </row>
    <row r="418" spans="1:1" ht="13" x14ac:dyDescent="0.15">
      <c r="A418" s="7"/>
    </row>
    <row r="419" spans="1:1" ht="13" x14ac:dyDescent="0.15">
      <c r="A419" s="7"/>
    </row>
    <row r="420" spans="1:1" ht="13" x14ac:dyDescent="0.15">
      <c r="A420" s="7"/>
    </row>
    <row r="421" spans="1:1" ht="13" x14ac:dyDescent="0.15">
      <c r="A421" s="7"/>
    </row>
    <row r="422" spans="1:1" ht="13" x14ac:dyDescent="0.15">
      <c r="A422" s="7"/>
    </row>
    <row r="423" spans="1:1" ht="13" x14ac:dyDescent="0.15">
      <c r="A423" s="7"/>
    </row>
    <row r="424" spans="1:1" ht="13" x14ac:dyDescent="0.15">
      <c r="A424" s="7"/>
    </row>
    <row r="425" spans="1:1" ht="13" x14ac:dyDescent="0.15">
      <c r="A425" s="7"/>
    </row>
    <row r="426" spans="1:1" ht="13" x14ac:dyDescent="0.15">
      <c r="A426" s="7"/>
    </row>
    <row r="427" spans="1:1" ht="13" x14ac:dyDescent="0.15">
      <c r="A427" s="7"/>
    </row>
    <row r="428" spans="1:1" ht="13" x14ac:dyDescent="0.15">
      <c r="A428" s="7"/>
    </row>
    <row r="429" spans="1:1" ht="13" x14ac:dyDescent="0.15">
      <c r="A429" s="7"/>
    </row>
    <row r="430" spans="1:1" ht="13" x14ac:dyDescent="0.15">
      <c r="A430" s="7"/>
    </row>
    <row r="431" spans="1:1" ht="13" x14ac:dyDescent="0.15">
      <c r="A431" s="7"/>
    </row>
    <row r="432" spans="1:1" ht="13" x14ac:dyDescent="0.15">
      <c r="A432" s="7"/>
    </row>
    <row r="433" spans="1:1" ht="13" x14ac:dyDescent="0.15">
      <c r="A433" s="7"/>
    </row>
    <row r="434" spans="1:1" ht="13" x14ac:dyDescent="0.15">
      <c r="A434" s="7"/>
    </row>
    <row r="435" spans="1:1" ht="13" x14ac:dyDescent="0.15">
      <c r="A435" s="7"/>
    </row>
    <row r="436" spans="1:1" ht="13" x14ac:dyDescent="0.15">
      <c r="A436" s="7"/>
    </row>
    <row r="437" spans="1:1" ht="13" x14ac:dyDescent="0.15">
      <c r="A437" s="7"/>
    </row>
    <row r="438" spans="1:1" ht="13" x14ac:dyDescent="0.15">
      <c r="A438" s="7"/>
    </row>
    <row r="439" spans="1:1" ht="13" x14ac:dyDescent="0.15">
      <c r="A439" s="7"/>
    </row>
    <row r="440" spans="1:1" ht="13" x14ac:dyDescent="0.15">
      <c r="A440" s="7"/>
    </row>
    <row r="441" spans="1:1" ht="13" x14ac:dyDescent="0.15">
      <c r="A441" s="7"/>
    </row>
    <row r="442" spans="1:1" ht="13" x14ac:dyDescent="0.15">
      <c r="A442" s="7"/>
    </row>
    <row r="443" spans="1:1" ht="13" x14ac:dyDescent="0.15">
      <c r="A443" s="7"/>
    </row>
    <row r="444" spans="1:1" ht="13" x14ac:dyDescent="0.15">
      <c r="A444" s="7"/>
    </row>
    <row r="445" spans="1:1" ht="13" x14ac:dyDescent="0.15">
      <c r="A445" s="7"/>
    </row>
    <row r="446" spans="1:1" ht="13" x14ac:dyDescent="0.15">
      <c r="A446" s="7"/>
    </row>
    <row r="447" spans="1:1" ht="13" x14ac:dyDescent="0.15">
      <c r="A447" s="7"/>
    </row>
    <row r="448" spans="1:1" ht="13" x14ac:dyDescent="0.15">
      <c r="A448" s="7"/>
    </row>
    <row r="449" spans="1:1" ht="13" x14ac:dyDescent="0.15">
      <c r="A449" s="7"/>
    </row>
    <row r="450" spans="1:1" ht="13" x14ac:dyDescent="0.15">
      <c r="A450" s="7"/>
    </row>
    <row r="451" spans="1:1" ht="13" x14ac:dyDescent="0.15">
      <c r="A451" s="7"/>
    </row>
    <row r="452" spans="1:1" ht="13" x14ac:dyDescent="0.15">
      <c r="A452" s="7"/>
    </row>
    <row r="453" spans="1:1" ht="13" x14ac:dyDescent="0.15">
      <c r="A453" s="7"/>
    </row>
    <row r="454" spans="1:1" ht="13" x14ac:dyDescent="0.15">
      <c r="A454" s="7"/>
    </row>
    <row r="455" spans="1:1" ht="13" x14ac:dyDescent="0.15">
      <c r="A455" s="7"/>
    </row>
    <row r="456" spans="1:1" ht="13" x14ac:dyDescent="0.15">
      <c r="A456" s="7"/>
    </row>
    <row r="457" spans="1:1" ht="13" x14ac:dyDescent="0.15">
      <c r="A457" s="7"/>
    </row>
    <row r="458" spans="1:1" ht="13" x14ac:dyDescent="0.15">
      <c r="A458" s="7"/>
    </row>
    <row r="459" spans="1:1" ht="13" x14ac:dyDescent="0.15">
      <c r="A459" s="7"/>
    </row>
    <row r="460" spans="1:1" ht="13" x14ac:dyDescent="0.15">
      <c r="A460" s="7"/>
    </row>
    <row r="461" spans="1:1" ht="13" x14ac:dyDescent="0.15">
      <c r="A461" s="7"/>
    </row>
    <row r="462" spans="1:1" ht="13" x14ac:dyDescent="0.15">
      <c r="A462" s="7"/>
    </row>
    <row r="463" spans="1:1" ht="13" x14ac:dyDescent="0.15">
      <c r="A463" s="7"/>
    </row>
    <row r="464" spans="1:1" ht="13" x14ac:dyDescent="0.15">
      <c r="A464" s="7"/>
    </row>
    <row r="465" spans="1:1" ht="13" x14ac:dyDescent="0.15">
      <c r="A465" s="7"/>
    </row>
    <row r="466" spans="1:1" ht="13" x14ac:dyDescent="0.15">
      <c r="A466" s="7"/>
    </row>
    <row r="467" spans="1:1" ht="13" x14ac:dyDescent="0.15">
      <c r="A467" s="7"/>
    </row>
    <row r="468" spans="1:1" ht="13" x14ac:dyDescent="0.15">
      <c r="A468" s="7"/>
    </row>
    <row r="469" spans="1:1" ht="13" x14ac:dyDescent="0.15">
      <c r="A469" s="7"/>
    </row>
    <row r="470" spans="1:1" ht="13" x14ac:dyDescent="0.15">
      <c r="A470" s="7"/>
    </row>
    <row r="471" spans="1:1" ht="13" x14ac:dyDescent="0.15">
      <c r="A471" s="7"/>
    </row>
    <row r="472" spans="1:1" ht="13" x14ac:dyDescent="0.15">
      <c r="A472" s="7"/>
    </row>
    <row r="473" spans="1:1" ht="13" x14ac:dyDescent="0.15">
      <c r="A473" s="7"/>
    </row>
    <row r="474" spans="1:1" ht="13" x14ac:dyDescent="0.15">
      <c r="A474" s="7"/>
    </row>
    <row r="475" spans="1:1" ht="13" x14ac:dyDescent="0.15">
      <c r="A475" s="7"/>
    </row>
    <row r="476" spans="1:1" ht="13" x14ac:dyDescent="0.15">
      <c r="A476" s="7"/>
    </row>
    <row r="477" spans="1:1" ht="13" x14ac:dyDescent="0.15">
      <c r="A477" s="7"/>
    </row>
    <row r="478" spans="1:1" ht="13" x14ac:dyDescent="0.15">
      <c r="A478" s="7"/>
    </row>
    <row r="479" spans="1:1" ht="13" x14ac:dyDescent="0.15">
      <c r="A479" s="7"/>
    </row>
    <row r="480" spans="1:1" ht="13" x14ac:dyDescent="0.15">
      <c r="A480" s="7"/>
    </row>
    <row r="481" spans="1:1" ht="13" x14ac:dyDescent="0.15">
      <c r="A481" s="7"/>
    </row>
    <row r="482" spans="1:1" ht="13" x14ac:dyDescent="0.15">
      <c r="A482" s="7"/>
    </row>
    <row r="483" spans="1:1" ht="13" x14ac:dyDescent="0.15">
      <c r="A483" s="7"/>
    </row>
    <row r="484" spans="1:1" ht="13" x14ac:dyDescent="0.15">
      <c r="A484" s="7"/>
    </row>
    <row r="485" spans="1:1" ht="13" x14ac:dyDescent="0.15">
      <c r="A485" s="7"/>
    </row>
    <row r="486" spans="1:1" ht="13" x14ac:dyDescent="0.15">
      <c r="A486" s="7"/>
    </row>
    <row r="487" spans="1:1" ht="13" x14ac:dyDescent="0.15">
      <c r="A487" s="7"/>
    </row>
    <row r="488" spans="1:1" ht="13" x14ac:dyDescent="0.15">
      <c r="A488" s="7"/>
    </row>
    <row r="489" spans="1:1" ht="13" x14ac:dyDescent="0.15">
      <c r="A489" s="7"/>
    </row>
    <row r="490" spans="1:1" ht="13" x14ac:dyDescent="0.15">
      <c r="A490" s="7"/>
    </row>
    <row r="491" spans="1:1" ht="13" x14ac:dyDescent="0.15">
      <c r="A491" s="7"/>
    </row>
    <row r="492" spans="1:1" ht="13" x14ac:dyDescent="0.15">
      <c r="A492" s="7"/>
    </row>
    <row r="493" spans="1:1" ht="13" x14ac:dyDescent="0.15">
      <c r="A493" s="7"/>
    </row>
    <row r="494" spans="1:1" ht="13" x14ac:dyDescent="0.15">
      <c r="A494" s="7"/>
    </row>
    <row r="495" spans="1:1" ht="13" x14ac:dyDescent="0.15">
      <c r="A495" s="7"/>
    </row>
    <row r="496" spans="1:1" ht="13" x14ac:dyDescent="0.15">
      <c r="A496" s="7"/>
    </row>
    <row r="497" spans="1:1" ht="13" x14ac:dyDescent="0.15">
      <c r="A497" s="7"/>
    </row>
    <row r="498" spans="1:1" ht="13" x14ac:dyDescent="0.15">
      <c r="A498" s="7"/>
    </row>
    <row r="499" spans="1:1" ht="13" x14ac:dyDescent="0.15">
      <c r="A499" s="7"/>
    </row>
    <row r="500" spans="1:1" ht="13" x14ac:dyDescent="0.15">
      <c r="A500" s="7"/>
    </row>
    <row r="501" spans="1:1" ht="13" x14ac:dyDescent="0.15">
      <c r="A501" s="7"/>
    </row>
    <row r="502" spans="1:1" ht="13" x14ac:dyDescent="0.15">
      <c r="A502" s="7"/>
    </row>
    <row r="503" spans="1:1" ht="13" x14ac:dyDescent="0.15">
      <c r="A503" s="7"/>
    </row>
    <row r="504" spans="1:1" ht="13" x14ac:dyDescent="0.15">
      <c r="A504" s="7"/>
    </row>
    <row r="505" spans="1:1" ht="13" x14ac:dyDescent="0.15">
      <c r="A505" s="7"/>
    </row>
    <row r="506" spans="1:1" ht="13" x14ac:dyDescent="0.15">
      <c r="A506" s="7"/>
    </row>
    <row r="507" spans="1:1" ht="13" x14ac:dyDescent="0.15">
      <c r="A507" s="7"/>
    </row>
    <row r="508" spans="1:1" ht="13" x14ac:dyDescent="0.15">
      <c r="A508" s="7"/>
    </row>
    <row r="509" spans="1:1" ht="13" x14ac:dyDescent="0.15">
      <c r="A509" s="7"/>
    </row>
    <row r="510" spans="1:1" ht="13" x14ac:dyDescent="0.15">
      <c r="A510" s="7"/>
    </row>
    <row r="511" spans="1:1" ht="13" x14ac:dyDescent="0.15">
      <c r="A511" s="7"/>
    </row>
    <row r="512" spans="1:1" ht="13" x14ac:dyDescent="0.15">
      <c r="A512" s="7"/>
    </row>
    <row r="513" spans="1:1" ht="13" x14ac:dyDescent="0.15">
      <c r="A513" s="7"/>
    </row>
    <row r="514" spans="1:1" ht="13" x14ac:dyDescent="0.15">
      <c r="A514" s="7"/>
    </row>
    <row r="515" spans="1:1" ht="13" x14ac:dyDescent="0.15">
      <c r="A515" s="7"/>
    </row>
    <row r="516" spans="1:1" ht="13" x14ac:dyDescent="0.15">
      <c r="A516" s="7"/>
    </row>
    <row r="517" spans="1:1" ht="13" x14ac:dyDescent="0.15">
      <c r="A517" s="7"/>
    </row>
    <row r="518" spans="1:1" ht="13" x14ac:dyDescent="0.15">
      <c r="A518" s="7"/>
    </row>
    <row r="519" spans="1:1" ht="13" x14ac:dyDescent="0.15">
      <c r="A519" s="7"/>
    </row>
    <row r="520" spans="1:1" ht="13" x14ac:dyDescent="0.15">
      <c r="A520" s="7"/>
    </row>
    <row r="521" spans="1:1" ht="13" x14ac:dyDescent="0.15">
      <c r="A521" s="7"/>
    </row>
    <row r="522" spans="1:1" ht="13" x14ac:dyDescent="0.15">
      <c r="A522" s="7"/>
    </row>
    <row r="523" spans="1:1" ht="13" x14ac:dyDescent="0.15">
      <c r="A523" s="7"/>
    </row>
    <row r="524" spans="1:1" ht="13" x14ac:dyDescent="0.15">
      <c r="A524" s="7"/>
    </row>
    <row r="525" spans="1:1" ht="13" x14ac:dyDescent="0.15">
      <c r="A525" s="7"/>
    </row>
    <row r="526" spans="1:1" ht="13" x14ac:dyDescent="0.15">
      <c r="A526" s="7"/>
    </row>
    <row r="527" spans="1:1" ht="13" x14ac:dyDescent="0.15">
      <c r="A527" s="7"/>
    </row>
    <row r="528" spans="1:1" ht="13" x14ac:dyDescent="0.15">
      <c r="A528" s="7"/>
    </row>
    <row r="529" spans="1:1" ht="13" x14ac:dyDescent="0.15">
      <c r="A529" s="7"/>
    </row>
    <row r="530" spans="1:1" ht="13" x14ac:dyDescent="0.15">
      <c r="A530" s="7"/>
    </row>
    <row r="531" spans="1:1" ht="13" x14ac:dyDescent="0.15">
      <c r="A531" s="7"/>
    </row>
    <row r="532" spans="1:1" ht="13" x14ac:dyDescent="0.15">
      <c r="A532" s="7"/>
    </row>
    <row r="533" spans="1:1" ht="13" x14ac:dyDescent="0.15">
      <c r="A533" s="7"/>
    </row>
    <row r="534" spans="1:1" ht="13" x14ac:dyDescent="0.15">
      <c r="A534" s="7"/>
    </row>
    <row r="535" spans="1:1" ht="13" x14ac:dyDescent="0.15">
      <c r="A535" s="7"/>
    </row>
    <row r="536" spans="1:1" ht="13" x14ac:dyDescent="0.15">
      <c r="A536" s="7"/>
    </row>
    <row r="537" spans="1:1" ht="13" x14ac:dyDescent="0.15">
      <c r="A537" s="7"/>
    </row>
    <row r="538" spans="1:1" ht="13" x14ac:dyDescent="0.15">
      <c r="A538" s="7"/>
    </row>
    <row r="539" spans="1:1" ht="13" x14ac:dyDescent="0.15">
      <c r="A539" s="7"/>
    </row>
    <row r="540" spans="1:1" ht="13" x14ac:dyDescent="0.15">
      <c r="A540" s="7"/>
    </row>
    <row r="541" spans="1:1" ht="13" x14ac:dyDescent="0.15">
      <c r="A541" s="7"/>
    </row>
    <row r="542" spans="1:1" ht="13" x14ac:dyDescent="0.15">
      <c r="A542" s="7"/>
    </row>
    <row r="543" spans="1:1" ht="13" x14ac:dyDescent="0.15">
      <c r="A543" s="7"/>
    </row>
    <row r="544" spans="1:1" ht="13" x14ac:dyDescent="0.15">
      <c r="A544" s="7"/>
    </row>
    <row r="545" spans="1:1" ht="13" x14ac:dyDescent="0.15">
      <c r="A545" s="7"/>
    </row>
    <row r="546" spans="1:1" ht="13" x14ac:dyDescent="0.15">
      <c r="A546" s="7"/>
    </row>
    <row r="547" spans="1:1" ht="13" x14ac:dyDescent="0.15">
      <c r="A547" s="7"/>
    </row>
    <row r="548" spans="1:1" ht="13" x14ac:dyDescent="0.15">
      <c r="A548" s="7"/>
    </row>
    <row r="549" spans="1:1" ht="13" x14ac:dyDescent="0.15">
      <c r="A549" s="7"/>
    </row>
    <row r="550" spans="1:1" ht="13" x14ac:dyDescent="0.15">
      <c r="A550" s="7"/>
    </row>
    <row r="551" spans="1:1" ht="13" x14ac:dyDescent="0.15">
      <c r="A551" s="7"/>
    </row>
    <row r="552" spans="1:1" ht="13" x14ac:dyDescent="0.15">
      <c r="A552" s="7"/>
    </row>
    <row r="553" spans="1:1" ht="13" x14ac:dyDescent="0.15">
      <c r="A553" s="7"/>
    </row>
    <row r="554" spans="1:1" ht="13" x14ac:dyDescent="0.15">
      <c r="A554" s="7"/>
    </row>
    <row r="555" spans="1:1" ht="13" x14ac:dyDescent="0.15">
      <c r="A555" s="7"/>
    </row>
    <row r="556" spans="1:1" ht="13" x14ac:dyDescent="0.15">
      <c r="A556" s="7"/>
    </row>
    <row r="557" spans="1:1" ht="13" x14ac:dyDescent="0.15">
      <c r="A557" s="7"/>
    </row>
    <row r="558" spans="1:1" ht="13" x14ac:dyDescent="0.15">
      <c r="A558" s="7"/>
    </row>
    <row r="559" spans="1:1" ht="13" x14ac:dyDescent="0.15">
      <c r="A559" s="7"/>
    </row>
    <row r="560" spans="1:1" ht="13" x14ac:dyDescent="0.15">
      <c r="A560" s="7"/>
    </row>
    <row r="561" spans="1:1" ht="13" x14ac:dyDescent="0.15">
      <c r="A561" s="7"/>
    </row>
    <row r="562" spans="1:1" ht="13" x14ac:dyDescent="0.15">
      <c r="A562" s="7"/>
    </row>
    <row r="563" spans="1:1" ht="13" x14ac:dyDescent="0.15">
      <c r="A563" s="7"/>
    </row>
    <row r="564" spans="1:1" ht="13" x14ac:dyDescent="0.15">
      <c r="A564" s="7"/>
    </row>
    <row r="565" spans="1:1" ht="13" x14ac:dyDescent="0.15">
      <c r="A565" s="7"/>
    </row>
    <row r="566" spans="1:1" ht="13" x14ac:dyDescent="0.15">
      <c r="A566" s="7"/>
    </row>
    <row r="567" spans="1:1" ht="13" x14ac:dyDescent="0.15">
      <c r="A567" s="7"/>
    </row>
    <row r="568" spans="1:1" ht="13" x14ac:dyDescent="0.15">
      <c r="A568" s="7"/>
    </row>
    <row r="569" spans="1:1" ht="13" x14ac:dyDescent="0.15">
      <c r="A569" s="7"/>
    </row>
    <row r="570" spans="1:1" ht="13" x14ac:dyDescent="0.15">
      <c r="A570" s="7"/>
    </row>
    <row r="571" spans="1:1" ht="13" x14ac:dyDescent="0.15">
      <c r="A571" s="7"/>
    </row>
    <row r="572" spans="1:1" ht="13" x14ac:dyDescent="0.15">
      <c r="A572" s="7"/>
    </row>
    <row r="573" spans="1:1" ht="13" x14ac:dyDescent="0.15">
      <c r="A573" s="7"/>
    </row>
    <row r="574" spans="1:1" ht="13" x14ac:dyDescent="0.15">
      <c r="A574" s="7"/>
    </row>
    <row r="575" spans="1:1" ht="13" x14ac:dyDescent="0.15">
      <c r="A575" s="7"/>
    </row>
    <row r="576" spans="1:1" ht="13" x14ac:dyDescent="0.15">
      <c r="A576" s="7"/>
    </row>
    <row r="577" spans="1:1" ht="13" x14ac:dyDescent="0.15">
      <c r="A577" s="7"/>
    </row>
    <row r="578" spans="1:1" ht="13" x14ac:dyDescent="0.15">
      <c r="A578" s="7"/>
    </row>
    <row r="579" spans="1:1" ht="13" x14ac:dyDescent="0.15">
      <c r="A579" s="7"/>
    </row>
    <row r="580" spans="1:1" ht="13" x14ac:dyDescent="0.15">
      <c r="A580" s="7"/>
    </row>
    <row r="581" spans="1:1" ht="13" x14ac:dyDescent="0.15">
      <c r="A581" s="7"/>
    </row>
    <row r="582" spans="1:1" ht="13" x14ac:dyDescent="0.15">
      <c r="A582" s="7"/>
    </row>
    <row r="583" spans="1:1" ht="13" x14ac:dyDescent="0.15">
      <c r="A583" s="7"/>
    </row>
    <row r="584" spans="1:1" ht="13" x14ac:dyDescent="0.15">
      <c r="A584" s="7"/>
    </row>
    <row r="585" spans="1:1" ht="13" x14ac:dyDescent="0.15">
      <c r="A585" s="7"/>
    </row>
    <row r="586" spans="1:1" ht="13" x14ac:dyDescent="0.15">
      <c r="A586" s="7"/>
    </row>
    <row r="587" spans="1:1" ht="13" x14ac:dyDescent="0.15">
      <c r="A587" s="7"/>
    </row>
    <row r="588" spans="1:1" ht="13" x14ac:dyDescent="0.15">
      <c r="A588" s="7"/>
    </row>
    <row r="589" spans="1:1" ht="13" x14ac:dyDescent="0.15">
      <c r="A589" s="7"/>
    </row>
    <row r="590" spans="1:1" ht="13" x14ac:dyDescent="0.15">
      <c r="A590" s="7"/>
    </row>
    <row r="591" spans="1:1" ht="13" x14ac:dyDescent="0.15">
      <c r="A591" s="7"/>
    </row>
    <row r="592" spans="1:1" ht="13" x14ac:dyDescent="0.15">
      <c r="A592" s="7"/>
    </row>
    <row r="593" spans="1:1" ht="13" x14ac:dyDescent="0.15">
      <c r="A593" s="7"/>
    </row>
    <row r="594" spans="1:1" ht="13" x14ac:dyDescent="0.15">
      <c r="A594" s="7"/>
    </row>
    <row r="595" spans="1:1" ht="13" x14ac:dyDescent="0.15">
      <c r="A595" s="7"/>
    </row>
    <row r="596" spans="1:1" ht="13" x14ac:dyDescent="0.15">
      <c r="A596" s="7"/>
    </row>
    <row r="597" spans="1:1" ht="13" x14ac:dyDescent="0.15">
      <c r="A597" s="7"/>
    </row>
    <row r="598" spans="1:1" ht="13" x14ac:dyDescent="0.15">
      <c r="A598" s="7"/>
    </row>
    <row r="599" spans="1:1" ht="13" x14ac:dyDescent="0.15">
      <c r="A599" s="7"/>
    </row>
    <row r="600" spans="1:1" ht="13" x14ac:dyDescent="0.15">
      <c r="A600" s="7"/>
    </row>
    <row r="601" spans="1:1" ht="13" x14ac:dyDescent="0.15">
      <c r="A601" s="7"/>
    </row>
    <row r="602" spans="1:1" ht="13" x14ac:dyDescent="0.15">
      <c r="A602" s="7"/>
    </row>
    <row r="603" spans="1:1" ht="13" x14ac:dyDescent="0.15">
      <c r="A603" s="7"/>
    </row>
    <row r="604" spans="1:1" ht="13" x14ac:dyDescent="0.15">
      <c r="A604" s="7"/>
    </row>
    <row r="605" spans="1:1" ht="13" x14ac:dyDescent="0.15">
      <c r="A605" s="7"/>
    </row>
    <row r="606" spans="1:1" ht="13" x14ac:dyDescent="0.15">
      <c r="A606" s="7"/>
    </row>
    <row r="607" spans="1:1" ht="13" x14ac:dyDescent="0.15">
      <c r="A607" s="7"/>
    </row>
    <row r="608" spans="1:1" ht="13" x14ac:dyDescent="0.15">
      <c r="A608" s="7"/>
    </row>
    <row r="609" spans="1:1" ht="13" x14ac:dyDescent="0.15">
      <c r="A609" s="7"/>
    </row>
    <row r="610" spans="1:1" ht="13" x14ac:dyDescent="0.15">
      <c r="A610" s="7"/>
    </row>
    <row r="611" spans="1:1" ht="13" x14ac:dyDescent="0.15">
      <c r="A611" s="7"/>
    </row>
    <row r="612" spans="1:1" ht="13" x14ac:dyDescent="0.15">
      <c r="A612" s="7"/>
    </row>
    <row r="613" spans="1:1" ht="13" x14ac:dyDescent="0.15">
      <c r="A613" s="7"/>
    </row>
    <row r="614" spans="1:1" ht="13" x14ac:dyDescent="0.15">
      <c r="A614" s="7"/>
    </row>
    <row r="615" spans="1:1" ht="13" x14ac:dyDescent="0.15">
      <c r="A615" s="7"/>
    </row>
    <row r="616" spans="1:1" ht="13" x14ac:dyDescent="0.15">
      <c r="A616" s="7"/>
    </row>
    <row r="617" spans="1:1" ht="13" x14ac:dyDescent="0.15">
      <c r="A617" s="7"/>
    </row>
    <row r="618" spans="1:1" ht="13" x14ac:dyDescent="0.15">
      <c r="A618" s="7"/>
    </row>
    <row r="619" spans="1:1" ht="13" x14ac:dyDescent="0.15">
      <c r="A619" s="7"/>
    </row>
    <row r="620" spans="1:1" ht="13" x14ac:dyDescent="0.15">
      <c r="A620" s="7"/>
    </row>
    <row r="621" spans="1:1" ht="13" x14ac:dyDescent="0.15">
      <c r="A621" s="7"/>
    </row>
    <row r="622" spans="1:1" ht="13" x14ac:dyDescent="0.15">
      <c r="A622" s="7"/>
    </row>
    <row r="623" spans="1:1" ht="13" x14ac:dyDescent="0.15">
      <c r="A623" s="7"/>
    </row>
    <row r="624" spans="1:1" ht="13" x14ac:dyDescent="0.15">
      <c r="A624" s="7"/>
    </row>
    <row r="625" spans="1:1" ht="13" x14ac:dyDescent="0.15">
      <c r="A625" s="7"/>
    </row>
    <row r="626" spans="1:1" ht="13" x14ac:dyDescent="0.15">
      <c r="A626" s="7"/>
    </row>
    <row r="627" spans="1:1" ht="13" x14ac:dyDescent="0.15">
      <c r="A627" s="7"/>
    </row>
    <row r="628" spans="1:1" ht="13" x14ac:dyDescent="0.15">
      <c r="A628" s="7"/>
    </row>
    <row r="629" spans="1:1" ht="13" x14ac:dyDescent="0.15">
      <c r="A629" s="7"/>
    </row>
    <row r="630" spans="1:1" ht="13" x14ac:dyDescent="0.15">
      <c r="A630" s="7"/>
    </row>
    <row r="631" spans="1:1" ht="13" x14ac:dyDescent="0.15">
      <c r="A631" s="7"/>
    </row>
    <row r="632" spans="1:1" ht="13" x14ac:dyDescent="0.15">
      <c r="A632" s="7"/>
    </row>
    <row r="633" spans="1:1" ht="13" x14ac:dyDescent="0.15">
      <c r="A633" s="7"/>
    </row>
    <row r="634" spans="1:1" ht="13" x14ac:dyDescent="0.15">
      <c r="A634" s="7"/>
    </row>
    <row r="635" spans="1:1" ht="13" x14ac:dyDescent="0.15">
      <c r="A635" s="7"/>
    </row>
    <row r="636" spans="1:1" ht="13" x14ac:dyDescent="0.15">
      <c r="A636" s="7"/>
    </row>
    <row r="637" spans="1:1" ht="13" x14ac:dyDescent="0.15">
      <c r="A637" s="7"/>
    </row>
    <row r="638" spans="1:1" ht="13" x14ac:dyDescent="0.15">
      <c r="A638" s="7"/>
    </row>
    <row r="639" spans="1:1" ht="13" x14ac:dyDescent="0.15">
      <c r="A639" s="7"/>
    </row>
    <row r="640" spans="1:1" ht="13" x14ac:dyDescent="0.15">
      <c r="A640" s="7"/>
    </row>
    <row r="641" spans="1:1" ht="13" x14ac:dyDescent="0.15">
      <c r="A641" s="7"/>
    </row>
    <row r="642" spans="1:1" ht="13" x14ac:dyDescent="0.15">
      <c r="A642" s="7"/>
    </row>
    <row r="643" spans="1:1" ht="13" x14ac:dyDescent="0.15">
      <c r="A643" s="7"/>
    </row>
    <row r="644" spans="1:1" ht="13" x14ac:dyDescent="0.15">
      <c r="A644" s="7"/>
    </row>
    <row r="645" spans="1:1" ht="13" x14ac:dyDescent="0.15">
      <c r="A645" s="7"/>
    </row>
    <row r="646" spans="1:1" ht="13" x14ac:dyDescent="0.15">
      <c r="A646" s="7"/>
    </row>
    <row r="647" spans="1:1" ht="13" x14ac:dyDescent="0.15">
      <c r="A647" s="7"/>
    </row>
    <row r="648" spans="1:1" ht="13" x14ac:dyDescent="0.15">
      <c r="A648" s="7"/>
    </row>
    <row r="649" spans="1:1" ht="13" x14ac:dyDescent="0.15">
      <c r="A649" s="7"/>
    </row>
    <row r="650" spans="1:1" ht="13" x14ac:dyDescent="0.15">
      <c r="A650" s="7"/>
    </row>
    <row r="651" spans="1:1" ht="13" x14ac:dyDescent="0.15">
      <c r="A651" s="7"/>
    </row>
    <row r="652" spans="1:1" ht="13" x14ac:dyDescent="0.15">
      <c r="A652" s="7"/>
    </row>
    <row r="653" spans="1:1" ht="13" x14ac:dyDescent="0.15">
      <c r="A653" s="7"/>
    </row>
    <row r="654" spans="1:1" ht="13" x14ac:dyDescent="0.15">
      <c r="A654" s="7"/>
    </row>
    <row r="655" spans="1:1" ht="13" x14ac:dyDescent="0.15">
      <c r="A655" s="7"/>
    </row>
    <row r="656" spans="1:1" ht="13" x14ac:dyDescent="0.15">
      <c r="A656" s="7"/>
    </row>
    <row r="657" spans="1:1" ht="13" x14ac:dyDescent="0.15">
      <c r="A657" s="7"/>
    </row>
    <row r="658" spans="1:1" ht="13" x14ac:dyDescent="0.15">
      <c r="A658" s="7"/>
    </row>
    <row r="659" spans="1:1" ht="13" x14ac:dyDescent="0.15">
      <c r="A659" s="7"/>
    </row>
    <row r="660" spans="1:1" ht="13" x14ac:dyDescent="0.15">
      <c r="A660" s="7"/>
    </row>
    <row r="661" spans="1:1" ht="13" x14ac:dyDescent="0.15">
      <c r="A661" s="7"/>
    </row>
    <row r="662" spans="1:1" ht="13" x14ac:dyDescent="0.15">
      <c r="A662" s="7"/>
    </row>
    <row r="663" spans="1:1" ht="13" x14ac:dyDescent="0.15">
      <c r="A663" s="7"/>
    </row>
    <row r="664" spans="1:1" ht="13" x14ac:dyDescent="0.15">
      <c r="A664" s="7"/>
    </row>
    <row r="665" spans="1:1" ht="13" x14ac:dyDescent="0.15">
      <c r="A665" s="7"/>
    </row>
    <row r="666" spans="1:1" ht="13" x14ac:dyDescent="0.15">
      <c r="A666" s="7"/>
    </row>
    <row r="667" spans="1:1" ht="13" x14ac:dyDescent="0.15">
      <c r="A667" s="7"/>
    </row>
    <row r="668" spans="1:1" ht="13" x14ac:dyDescent="0.15">
      <c r="A668" s="7"/>
    </row>
    <row r="669" spans="1:1" ht="13" x14ac:dyDescent="0.15">
      <c r="A669" s="7"/>
    </row>
    <row r="670" spans="1:1" ht="13" x14ac:dyDescent="0.15">
      <c r="A670" s="7"/>
    </row>
    <row r="671" spans="1:1" ht="13" x14ac:dyDescent="0.15">
      <c r="A671" s="7"/>
    </row>
    <row r="672" spans="1:1" ht="13" x14ac:dyDescent="0.15">
      <c r="A672" s="7"/>
    </row>
    <row r="673" spans="1:1" ht="13" x14ac:dyDescent="0.15">
      <c r="A673" s="7"/>
    </row>
    <row r="674" spans="1:1" ht="13" x14ac:dyDescent="0.15">
      <c r="A674" s="7"/>
    </row>
    <row r="675" spans="1:1" ht="13" x14ac:dyDescent="0.15">
      <c r="A675" s="7"/>
    </row>
    <row r="676" spans="1:1" ht="13" x14ac:dyDescent="0.15">
      <c r="A676" s="7"/>
    </row>
    <row r="677" spans="1:1" ht="13" x14ac:dyDescent="0.15">
      <c r="A677" s="7"/>
    </row>
    <row r="678" spans="1:1" ht="13" x14ac:dyDescent="0.15">
      <c r="A678" s="7"/>
    </row>
    <row r="679" spans="1:1" ht="13" x14ac:dyDescent="0.15">
      <c r="A679" s="7"/>
    </row>
    <row r="680" spans="1:1" ht="13" x14ac:dyDescent="0.15">
      <c r="A680" s="7"/>
    </row>
    <row r="681" spans="1:1" ht="13" x14ac:dyDescent="0.15">
      <c r="A681" s="7"/>
    </row>
    <row r="682" spans="1:1" ht="13" x14ac:dyDescent="0.15">
      <c r="A682" s="7"/>
    </row>
    <row r="683" spans="1:1" ht="13" x14ac:dyDescent="0.15">
      <c r="A683" s="7"/>
    </row>
    <row r="684" spans="1:1" ht="13" x14ac:dyDescent="0.15">
      <c r="A684" s="7"/>
    </row>
    <row r="685" spans="1:1" ht="13" x14ac:dyDescent="0.15">
      <c r="A685" s="7"/>
    </row>
    <row r="686" spans="1:1" ht="13" x14ac:dyDescent="0.15">
      <c r="A686" s="7"/>
    </row>
    <row r="687" spans="1:1" ht="13" x14ac:dyDescent="0.15">
      <c r="A687" s="7"/>
    </row>
    <row r="688" spans="1:1" ht="13" x14ac:dyDescent="0.15">
      <c r="A688" s="7"/>
    </row>
    <row r="689" spans="1:1" ht="13" x14ac:dyDescent="0.15">
      <c r="A689" s="7"/>
    </row>
    <row r="690" spans="1:1" ht="13" x14ac:dyDescent="0.15">
      <c r="A690" s="7"/>
    </row>
    <row r="691" spans="1:1" ht="13" x14ac:dyDescent="0.15">
      <c r="A691" s="7"/>
    </row>
    <row r="692" spans="1:1" ht="13" x14ac:dyDescent="0.15">
      <c r="A692" s="7"/>
    </row>
    <row r="693" spans="1:1" ht="13" x14ac:dyDescent="0.15">
      <c r="A693" s="7"/>
    </row>
    <row r="694" spans="1:1" ht="13" x14ac:dyDescent="0.15">
      <c r="A694" s="7"/>
    </row>
    <row r="695" spans="1:1" ht="13" x14ac:dyDescent="0.15">
      <c r="A695" s="7"/>
    </row>
    <row r="696" spans="1:1" ht="13" x14ac:dyDescent="0.15">
      <c r="A696" s="7"/>
    </row>
    <row r="697" spans="1:1" ht="13" x14ac:dyDescent="0.15">
      <c r="A697" s="7"/>
    </row>
    <row r="698" spans="1:1" ht="13" x14ac:dyDescent="0.15">
      <c r="A698" s="7"/>
    </row>
    <row r="699" spans="1:1" ht="13" x14ac:dyDescent="0.15">
      <c r="A699" s="7"/>
    </row>
    <row r="700" spans="1:1" ht="13" x14ac:dyDescent="0.15">
      <c r="A700" s="7"/>
    </row>
    <row r="701" spans="1:1" ht="13" x14ac:dyDescent="0.15">
      <c r="A701" s="7"/>
    </row>
    <row r="702" spans="1:1" ht="13" x14ac:dyDescent="0.15">
      <c r="A702" s="7"/>
    </row>
    <row r="703" spans="1:1" ht="13" x14ac:dyDescent="0.15">
      <c r="A703" s="7"/>
    </row>
    <row r="704" spans="1:1" ht="13" x14ac:dyDescent="0.15">
      <c r="A704" s="7"/>
    </row>
    <row r="705" spans="1:1" ht="13" x14ac:dyDescent="0.15">
      <c r="A705" s="7"/>
    </row>
    <row r="706" spans="1:1" ht="13" x14ac:dyDescent="0.15">
      <c r="A706" s="7"/>
    </row>
    <row r="707" spans="1:1" ht="13" x14ac:dyDescent="0.15">
      <c r="A707" s="7"/>
    </row>
    <row r="708" spans="1:1" ht="13" x14ac:dyDescent="0.15">
      <c r="A708" s="7"/>
    </row>
    <row r="709" spans="1:1" ht="13" x14ac:dyDescent="0.15">
      <c r="A709" s="7"/>
    </row>
    <row r="710" spans="1:1" ht="13" x14ac:dyDescent="0.15">
      <c r="A710" s="7"/>
    </row>
    <row r="711" spans="1:1" ht="13" x14ac:dyDescent="0.15">
      <c r="A711" s="7"/>
    </row>
    <row r="712" spans="1:1" ht="13" x14ac:dyDescent="0.15">
      <c r="A712" s="7"/>
    </row>
    <row r="713" spans="1:1" ht="13" x14ac:dyDescent="0.15">
      <c r="A713" s="7"/>
    </row>
    <row r="714" spans="1:1" ht="13" x14ac:dyDescent="0.15">
      <c r="A714" s="7"/>
    </row>
    <row r="715" spans="1:1" ht="13" x14ac:dyDescent="0.15">
      <c r="A715" s="7"/>
    </row>
    <row r="716" spans="1:1" ht="13" x14ac:dyDescent="0.15">
      <c r="A716" s="7"/>
    </row>
    <row r="717" spans="1:1" ht="13" x14ac:dyDescent="0.15">
      <c r="A717" s="7"/>
    </row>
    <row r="718" spans="1:1" ht="13" x14ac:dyDescent="0.15">
      <c r="A718" s="7"/>
    </row>
    <row r="719" spans="1:1" ht="13" x14ac:dyDescent="0.15">
      <c r="A719" s="7"/>
    </row>
    <row r="720" spans="1:1" ht="13" x14ac:dyDescent="0.15">
      <c r="A720" s="7"/>
    </row>
    <row r="721" spans="1:1" ht="13" x14ac:dyDescent="0.15">
      <c r="A721" s="7"/>
    </row>
    <row r="722" spans="1:1" ht="13" x14ac:dyDescent="0.15">
      <c r="A722" s="7"/>
    </row>
    <row r="723" spans="1:1" ht="13" x14ac:dyDescent="0.15">
      <c r="A723" s="7"/>
    </row>
    <row r="724" spans="1:1" ht="13" x14ac:dyDescent="0.15">
      <c r="A724" s="7"/>
    </row>
    <row r="725" spans="1:1" ht="13" x14ac:dyDescent="0.15">
      <c r="A725" s="7"/>
    </row>
    <row r="726" spans="1:1" ht="13" x14ac:dyDescent="0.15">
      <c r="A726" s="7"/>
    </row>
    <row r="727" spans="1:1" ht="13" x14ac:dyDescent="0.15">
      <c r="A727" s="7"/>
    </row>
    <row r="728" spans="1:1" ht="13" x14ac:dyDescent="0.15">
      <c r="A728" s="7"/>
    </row>
    <row r="729" spans="1:1" ht="13" x14ac:dyDescent="0.15">
      <c r="A729" s="7"/>
    </row>
    <row r="730" spans="1:1" ht="13" x14ac:dyDescent="0.15">
      <c r="A730" s="7"/>
    </row>
    <row r="731" spans="1:1" ht="13" x14ac:dyDescent="0.15">
      <c r="A731" s="7"/>
    </row>
    <row r="732" spans="1:1" ht="13" x14ac:dyDescent="0.15">
      <c r="A732" s="7"/>
    </row>
    <row r="733" spans="1:1" ht="13" x14ac:dyDescent="0.15">
      <c r="A733" s="7"/>
    </row>
    <row r="734" spans="1:1" ht="13" x14ac:dyDescent="0.15">
      <c r="A734" s="7"/>
    </row>
    <row r="735" spans="1:1" ht="13" x14ac:dyDescent="0.15">
      <c r="A735" s="7"/>
    </row>
    <row r="736" spans="1:1" ht="13" x14ac:dyDescent="0.15">
      <c r="A736" s="7"/>
    </row>
    <row r="737" spans="1:1" ht="13" x14ac:dyDescent="0.15">
      <c r="A737" s="7"/>
    </row>
    <row r="738" spans="1:1" ht="13" x14ac:dyDescent="0.15">
      <c r="A738" s="7"/>
    </row>
    <row r="739" spans="1:1" ht="13" x14ac:dyDescent="0.15">
      <c r="A739" s="7"/>
    </row>
    <row r="740" spans="1:1" ht="13" x14ac:dyDescent="0.15">
      <c r="A740" s="7"/>
    </row>
    <row r="741" spans="1:1" ht="13" x14ac:dyDescent="0.15">
      <c r="A741" s="7"/>
    </row>
    <row r="742" spans="1:1" ht="13" x14ac:dyDescent="0.15">
      <c r="A742" s="7"/>
    </row>
    <row r="743" spans="1:1" ht="13" x14ac:dyDescent="0.15">
      <c r="A743" s="7"/>
    </row>
    <row r="744" spans="1:1" ht="13" x14ac:dyDescent="0.15">
      <c r="A744" s="7"/>
    </row>
    <row r="745" spans="1:1" ht="13" x14ac:dyDescent="0.15">
      <c r="A745" s="7"/>
    </row>
    <row r="746" spans="1:1" ht="13" x14ac:dyDescent="0.15">
      <c r="A746" s="7"/>
    </row>
    <row r="747" spans="1:1" ht="13" x14ac:dyDescent="0.15">
      <c r="A747" s="7"/>
    </row>
    <row r="748" spans="1:1" ht="13" x14ac:dyDescent="0.15">
      <c r="A748" s="7"/>
    </row>
    <row r="749" spans="1:1" ht="13" x14ac:dyDescent="0.15">
      <c r="A749" s="7"/>
    </row>
    <row r="750" spans="1:1" ht="13" x14ac:dyDescent="0.15">
      <c r="A750" s="7"/>
    </row>
    <row r="751" spans="1:1" ht="13" x14ac:dyDescent="0.15">
      <c r="A751" s="7"/>
    </row>
    <row r="752" spans="1:1" ht="13" x14ac:dyDescent="0.15">
      <c r="A752" s="7"/>
    </row>
    <row r="753" spans="1:1" ht="13" x14ac:dyDescent="0.15">
      <c r="A753" s="7"/>
    </row>
    <row r="754" spans="1:1" ht="13" x14ac:dyDescent="0.15">
      <c r="A754" s="7"/>
    </row>
    <row r="755" spans="1:1" ht="13" x14ac:dyDescent="0.15">
      <c r="A755" s="7"/>
    </row>
    <row r="756" spans="1:1" ht="13" x14ac:dyDescent="0.15">
      <c r="A756" s="7"/>
    </row>
    <row r="757" spans="1:1" ht="13" x14ac:dyDescent="0.15">
      <c r="A757" s="7"/>
    </row>
    <row r="758" spans="1:1" ht="13" x14ac:dyDescent="0.15">
      <c r="A758" s="7"/>
    </row>
    <row r="759" spans="1:1" ht="13" x14ac:dyDescent="0.15">
      <c r="A759" s="7"/>
    </row>
    <row r="760" spans="1:1" ht="13" x14ac:dyDescent="0.15">
      <c r="A760" s="7"/>
    </row>
    <row r="761" spans="1:1" ht="13" x14ac:dyDescent="0.15">
      <c r="A761" s="7"/>
    </row>
    <row r="762" spans="1:1" ht="13" x14ac:dyDescent="0.15">
      <c r="A762" s="7"/>
    </row>
    <row r="763" spans="1:1" ht="13" x14ac:dyDescent="0.15">
      <c r="A763" s="7"/>
    </row>
    <row r="764" spans="1:1" ht="13" x14ac:dyDescent="0.15">
      <c r="A764" s="7"/>
    </row>
    <row r="765" spans="1:1" ht="13" x14ac:dyDescent="0.15">
      <c r="A765" s="7"/>
    </row>
    <row r="766" spans="1:1" ht="13" x14ac:dyDescent="0.15">
      <c r="A766" s="7"/>
    </row>
    <row r="767" spans="1:1" ht="13" x14ac:dyDescent="0.15">
      <c r="A767" s="7"/>
    </row>
    <row r="768" spans="1:1" ht="13" x14ac:dyDescent="0.15">
      <c r="A768" s="7"/>
    </row>
    <row r="769" spans="1:1" ht="13" x14ac:dyDescent="0.15">
      <c r="A769" s="7"/>
    </row>
    <row r="770" spans="1:1" ht="13" x14ac:dyDescent="0.15">
      <c r="A770" s="7"/>
    </row>
    <row r="771" spans="1:1" ht="13" x14ac:dyDescent="0.15">
      <c r="A771" s="7"/>
    </row>
    <row r="772" spans="1:1" ht="13" x14ac:dyDescent="0.15">
      <c r="A772" s="7"/>
    </row>
    <row r="773" spans="1:1" ht="13" x14ac:dyDescent="0.15">
      <c r="A773" s="7"/>
    </row>
    <row r="774" spans="1:1" ht="13" x14ac:dyDescent="0.15">
      <c r="A774" s="7"/>
    </row>
    <row r="775" spans="1:1" ht="13" x14ac:dyDescent="0.15">
      <c r="A775" s="7"/>
    </row>
    <row r="776" spans="1:1" ht="13" x14ac:dyDescent="0.15">
      <c r="A776" s="7"/>
    </row>
    <row r="777" spans="1:1" ht="13" x14ac:dyDescent="0.15">
      <c r="A777" s="7"/>
    </row>
    <row r="778" spans="1:1" ht="13" x14ac:dyDescent="0.15">
      <c r="A778" s="7"/>
    </row>
    <row r="779" spans="1:1" ht="13" x14ac:dyDescent="0.15">
      <c r="A779" s="7"/>
    </row>
    <row r="780" spans="1:1" ht="13" x14ac:dyDescent="0.15">
      <c r="A780" s="7"/>
    </row>
    <row r="781" spans="1:1" ht="13" x14ac:dyDescent="0.15">
      <c r="A781" s="7"/>
    </row>
    <row r="782" spans="1:1" ht="13" x14ac:dyDescent="0.15">
      <c r="A782" s="7"/>
    </row>
    <row r="783" spans="1:1" ht="13" x14ac:dyDescent="0.15">
      <c r="A783" s="7"/>
    </row>
    <row r="784" spans="1:1" ht="13" x14ac:dyDescent="0.15">
      <c r="A784" s="7"/>
    </row>
    <row r="785" spans="1:1" ht="13" x14ac:dyDescent="0.15">
      <c r="A785" s="7"/>
    </row>
    <row r="786" spans="1:1" ht="13" x14ac:dyDescent="0.15">
      <c r="A786" s="7"/>
    </row>
    <row r="787" spans="1:1" ht="13" x14ac:dyDescent="0.15">
      <c r="A787" s="7"/>
    </row>
    <row r="788" spans="1:1" ht="13" x14ac:dyDescent="0.15">
      <c r="A788" s="7"/>
    </row>
    <row r="789" spans="1:1" ht="13" x14ac:dyDescent="0.15">
      <c r="A789" s="7"/>
    </row>
    <row r="790" spans="1:1" ht="13" x14ac:dyDescent="0.15">
      <c r="A790" s="7"/>
    </row>
    <row r="791" spans="1:1" ht="13" x14ac:dyDescent="0.15">
      <c r="A791" s="7"/>
    </row>
    <row r="792" spans="1:1" ht="13" x14ac:dyDescent="0.15">
      <c r="A792" s="7"/>
    </row>
    <row r="793" spans="1:1" ht="13" x14ac:dyDescent="0.15">
      <c r="A793" s="7"/>
    </row>
    <row r="794" spans="1:1" ht="13" x14ac:dyDescent="0.15">
      <c r="A794" s="7"/>
    </row>
    <row r="795" spans="1:1" ht="13" x14ac:dyDescent="0.15">
      <c r="A795" s="7"/>
    </row>
    <row r="796" spans="1:1" ht="13" x14ac:dyDescent="0.15">
      <c r="A796" s="7"/>
    </row>
    <row r="797" spans="1:1" ht="13" x14ac:dyDescent="0.15">
      <c r="A797" s="7"/>
    </row>
    <row r="798" spans="1:1" ht="13" x14ac:dyDescent="0.15">
      <c r="A798" s="7"/>
    </row>
    <row r="799" spans="1:1" ht="13" x14ac:dyDescent="0.15">
      <c r="A799" s="7"/>
    </row>
    <row r="800" spans="1:1" ht="13" x14ac:dyDescent="0.15">
      <c r="A800" s="7"/>
    </row>
    <row r="801" spans="1:1" ht="13" x14ac:dyDescent="0.15">
      <c r="A801" s="7"/>
    </row>
    <row r="802" spans="1:1" ht="13" x14ac:dyDescent="0.15">
      <c r="A802" s="7"/>
    </row>
    <row r="803" spans="1:1" ht="13" x14ac:dyDescent="0.15">
      <c r="A803" s="7"/>
    </row>
    <row r="804" spans="1:1" ht="13" x14ac:dyDescent="0.15">
      <c r="A804" s="7"/>
    </row>
    <row r="805" spans="1:1" ht="13" x14ac:dyDescent="0.15">
      <c r="A805" s="7"/>
    </row>
    <row r="806" spans="1:1" ht="13" x14ac:dyDescent="0.15">
      <c r="A806" s="7"/>
    </row>
    <row r="807" spans="1:1" ht="13" x14ac:dyDescent="0.15">
      <c r="A807" s="7"/>
    </row>
    <row r="808" spans="1:1" ht="13" x14ac:dyDescent="0.15">
      <c r="A808" s="7"/>
    </row>
    <row r="809" spans="1:1" ht="13" x14ac:dyDescent="0.15">
      <c r="A809" s="7"/>
    </row>
    <row r="810" spans="1:1" ht="13" x14ac:dyDescent="0.15">
      <c r="A810" s="7"/>
    </row>
    <row r="811" spans="1:1" ht="13" x14ac:dyDescent="0.15">
      <c r="A811" s="7"/>
    </row>
    <row r="812" spans="1:1" ht="13" x14ac:dyDescent="0.15">
      <c r="A812" s="7"/>
    </row>
    <row r="813" spans="1:1" ht="13" x14ac:dyDescent="0.15">
      <c r="A813" s="7"/>
    </row>
    <row r="814" spans="1:1" ht="13" x14ac:dyDescent="0.15">
      <c r="A814" s="7"/>
    </row>
    <row r="815" spans="1:1" ht="13" x14ac:dyDescent="0.15">
      <c r="A815" s="7"/>
    </row>
    <row r="816" spans="1:1" ht="13" x14ac:dyDescent="0.15">
      <c r="A816" s="7"/>
    </row>
    <row r="817" spans="1:1" ht="13" x14ac:dyDescent="0.15">
      <c r="A817" s="7"/>
    </row>
    <row r="818" spans="1:1" ht="13" x14ac:dyDescent="0.15">
      <c r="A818" s="7"/>
    </row>
    <row r="819" spans="1:1" ht="13" x14ac:dyDescent="0.15">
      <c r="A819" s="7"/>
    </row>
    <row r="820" spans="1:1" ht="13" x14ac:dyDescent="0.15">
      <c r="A820" s="7"/>
    </row>
    <row r="821" spans="1:1" ht="13" x14ac:dyDescent="0.15">
      <c r="A821" s="7"/>
    </row>
    <row r="822" spans="1:1" ht="13" x14ac:dyDescent="0.15">
      <c r="A822" s="7"/>
    </row>
    <row r="823" spans="1:1" ht="13" x14ac:dyDescent="0.15">
      <c r="A823" s="7"/>
    </row>
    <row r="824" spans="1:1" ht="13" x14ac:dyDescent="0.15">
      <c r="A824" s="7"/>
    </row>
    <row r="825" spans="1:1" ht="13" x14ac:dyDescent="0.15">
      <c r="A825" s="7"/>
    </row>
    <row r="826" spans="1:1" ht="13" x14ac:dyDescent="0.15">
      <c r="A826" s="7"/>
    </row>
    <row r="827" spans="1:1" ht="13" x14ac:dyDescent="0.15">
      <c r="A827" s="7"/>
    </row>
    <row r="828" spans="1:1" ht="13" x14ac:dyDescent="0.15">
      <c r="A828" s="7"/>
    </row>
    <row r="829" spans="1:1" ht="13" x14ac:dyDescent="0.15">
      <c r="A829" s="7"/>
    </row>
    <row r="830" spans="1:1" ht="13" x14ac:dyDescent="0.15">
      <c r="A830" s="7"/>
    </row>
    <row r="831" spans="1:1" ht="13" x14ac:dyDescent="0.15">
      <c r="A831" s="7"/>
    </row>
    <row r="832" spans="1:1" ht="13" x14ac:dyDescent="0.15">
      <c r="A832" s="7"/>
    </row>
    <row r="833" spans="1:1" ht="13" x14ac:dyDescent="0.15">
      <c r="A833" s="7"/>
    </row>
    <row r="834" spans="1:1" ht="13" x14ac:dyDescent="0.15">
      <c r="A834" s="7"/>
    </row>
    <row r="835" spans="1:1" ht="13" x14ac:dyDescent="0.15">
      <c r="A835" s="7"/>
    </row>
    <row r="836" spans="1:1" ht="13" x14ac:dyDescent="0.15">
      <c r="A836" s="7"/>
    </row>
    <row r="837" spans="1:1" ht="13" x14ac:dyDescent="0.15">
      <c r="A837" s="7"/>
    </row>
    <row r="838" spans="1:1" ht="13" x14ac:dyDescent="0.15">
      <c r="A838" s="7"/>
    </row>
    <row r="839" spans="1:1" ht="13" x14ac:dyDescent="0.15">
      <c r="A839" s="7"/>
    </row>
    <row r="840" spans="1:1" ht="13" x14ac:dyDescent="0.15">
      <c r="A840" s="7"/>
    </row>
    <row r="841" spans="1:1" ht="13" x14ac:dyDescent="0.15">
      <c r="A841" s="7"/>
    </row>
    <row r="842" spans="1:1" ht="13" x14ac:dyDescent="0.15">
      <c r="A842" s="7"/>
    </row>
    <row r="843" spans="1:1" ht="13" x14ac:dyDescent="0.15">
      <c r="A843" s="7"/>
    </row>
    <row r="844" spans="1:1" ht="13" x14ac:dyDescent="0.15">
      <c r="A844" s="7"/>
    </row>
    <row r="845" spans="1:1" ht="13" x14ac:dyDescent="0.15">
      <c r="A845" s="7"/>
    </row>
    <row r="846" spans="1:1" ht="13" x14ac:dyDescent="0.15">
      <c r="A846" s="7"/>
    </row>
    <row r="847" spans="1:1" ht="13" x14ac:dyDescent="0.15">
      <c r="A847" s="7"/>
    </row>
    <row r="848" spans="1:1" ht="13" x14ac:dyDescent="0.15">
      <c r="A848" s="7"/>
    </row>
    <row r="849" spans="1:1" ht="13" x14ac:dyDescent="0.15">
      <c r="A849" s="7"/>
    </row>
    <row r="850" spans="1:1" ht="13" x14ac:dyDescent="0.15">
      <c r="A850" s="7"/>
    </row>
    <row r="851" spans="1:1" ht="13" x14ac:dyDescent="0.15">
      <c r="A851" s="7"/>
    </row>
    <row r="852" spans="1:1" ht="13" x14ac:dyDescent="0.15">
      <c r="A852" s="7"/>
    </row>
    <row r="853" spans="1:1" ht="13" x14ac:dyDescent="0.15">
      <c r="A853" s="7"/>
    </row>
    <row r="854" spans="1:1" ht="13" x14ac:dyDescent="0.15">
      <c r="A854" s="7"/>
    </row>
    <row r="855" spans="1:1" ht="13" x14ac:dyDescent="0.15">
      <c r="A855" s="7"/>
    </row>
    <row r="856" spans="1:1" ht="13" x14ac:dyDescent="0.15">
      <c r="A856" s="7"/>
    </row>
    <row r="857" spans="1:1" ht="13" x14ac:dyDescent="0.15">
      <c r="A857" s="7"/>
    </row>
    <row r="858" spans="1:1" ht="13" x14ac:dyDescent="0.15">
      <c r="A858" s="7"/>
    </row>
    <row r="859" spans="1:1" ht="13" x14ac:dyDescent="0.15">
      <c r="A859" s="7"/>
    </row>
    <row r="860" spans="1:1" ht="13" x14ac:dyDescent="0.15">
      <c r="A860" s="7"/>
    </row>
    <row r="861" spans="1:1" ht="13" x14ac:dyDescent="0.15">
      <c r="A861" s="7"/>
    </row>
    <row r="862" spans="1:1" ht="13" x14ac:dyDescent="0.15">
      <c r="A862" s="7"/>
    </row>
    <row r="863" spans="1:1" ht="13" x14ac:dyDescent="0.15">
      <c r="A863" s="7"/>
    </row>
    <row r="864" spans="1:1" ht="13" x14ac:dyDescent="0.15">
      <c r="A864" s="7"/>
    </row>
    <row r="865" spans="1:1" ht="13" x14ac:dyDescent="0.15">
      <c r="A865" s="7"/>
    </row>
    <row r="866" spans="1:1" ht="13" x14ac:dyDescent="0.15">
      <c r="A866" s="7"/>
    </row>
    <row r="867" spans="1:1" ht="13" x14ac:dyDescent="0.15">
      <c r="A867" s="7"/>
    </row>
    <row r="868" spans="1:1" ht="13" x14ac:dyDescent="0.15">
      <c r="A868" s="7"/>
    </row>
    <row r="869" spans="1:1" ht="13" x14ac:dyDescent="0.15">
      <c r="A869" s="7"/>
    </row>
    <row r="870" spans="1:1" ht="13" x14ac:dyDescent="0.15">
      <c r="A870" s="7"/>
    </row>
    <row r="871" spans="1:1" ht="13" x14ac:dyDescent="0.15">
      <c r="A871" s="7"/>
    </row>
    <row r="872" spans="1:1" ht="13" x14ac:dyDescent="0.15">
      <c r="A872" s="7"/>
    </row>
    <row r="873" spans="1:1" ht="13" x14ac:dyDescent="0.15">
      <c r="A873" s="7"/>
    </row>
    <row r="874" spans="1:1" ht="13" x14ac:dyDescent="0.15">
      <c r="A874" s="7"/>
    </row>
    <row r="875" spans="1:1" ht="13" x14ac:dyDescent="0.15">
      <c r="A875" s="7"/>
    </row>
    <row r="876" spans="1:1" ht="13" x14ac:dyDescent="0.15">
      <c r="A876" s="7"/>
    </row>
    <row r="877" spans="1:1" ht="13" x14ac:dyDescent="0.15">
      <c r="A877" s="7"/>
    </row>
    <row r="878" spans="1:1" ht="13" x14ac:dyDescent="0.15">
      <c r="A878" s="7"/>
    </row>
    <row r="879" spans="1:1" ht="13" x14ac:dyDescent="0.15">
      <c r="A879" s="7"/>
    </row>
    <row r="880" spans="1:1" ht="13" x14ac:dyDescent="0.15">
      <c r="A880" s="7"/>
    </row>
    <row r="881" spans="1:1" ht="13" x14ac:dyDescent="0.15">
      <c r="A881" s="7"/>
    </row>
    <row r="882" spans="1:1" ht="13" x14ac:dyDescent="0.15">
      <c r="A882" s="7"/>
    </row>
    <row r="883" spans="1:1" ht="13" x14ac:dyDescent="0.15">
      <c r="A883" s="7"/>
    </row>
    <row r="884" spans="1:1" ht="13" x14ac:dyDescent="0.15">
      <c r="A884" s="7"/>
    </row>
    <row r="885" spans="1:1" ht="13" x14ac:dyDescent="0.15">
      <c r="A885" s="7"/>
    </row>
    <row r="886" spans="1:1" ht="13" x14ac:dyDescent="0.15">
      <c r="A886" s="7"/>
    </row>
    <row r="887" spans="1:1" ht="13" x14ac:dyDescent="0.15">
      <c r="A887" s="7"/>
    </row>
    <row r="888" spans="1:1" ht="13" x14ac:dyDescent="0.15">
      <c r="A888" s="7"/>
    </row>
    <row r="889" spans="1:1" ht="13" x14ac:dyDescent="0.15">
      <c r="A889" s="7"/>
    </row>
    <row r="890" spans="1:1" ht="13" x14ac:dyDescent="0.15">
      <c r="A890" s="7"/>
    </row>
    <row r="891" spans="1:1" ht="13" x14ac:dyDescent="0.15">
      <c r="A891" s="7"/>
    </row>
    <row r="892" spans="1:1" ht="13" x14ac:dyDescent="0.15">
      <c r="A892" s="7"/>
    </row>
    <row r="893" spans="1:1" ht="13" x14ac:dyDescent="0.15">
      <c r="A893" s="7"/>
    </row>
    <row r="894" spans="1:1" ht="13" x14ac:dyDescent="0.15">
      <c r="A894" s="7"/>
    </row>
    <row r="895" spans="1:1" ht="13" x14ac:dyDescent="0.15">
      <c r="A895" s="7"/>
    </row>
    <row r="896" spans="1:1" ht="13" x14ac:dyDescent="0.15">
      <c r="A896" s="7"/>
    </row>
    <row r="897" spans="1:1" ht="13" x14ac:dyDescent="0.15">
      <c r="A897" s="7"/>
    </row>
    <row r="898" spans="1:1" ht="13" x14ac:dyDescent="0.15">
      <c r="A898" s="7"/>
    </row>
    <row r="899" spans="1:1" ht="13" x14ac:dyDescent="0.15">
      <c r="A899" s="7"/>
    </row>
    <row r="900" spans="1:1" ht="13" x14ac:dyDescent="0.15">
      <c r="A900" s="7"/>
    </row>
    <row r="901" spans="1:1" ht="13" x14ac:dyDescent="0.15">
      <c r="A901" s="7"/>
    </row>
    <row r="902" spans="1:1" ht="13" x14ac:dyDescent="0.15">
      <c r="A902" s="7"/>
    </row>
    <row r="903" spans="1:1" ht="13" x14ac:dyDescent="0.15">
      <c r="A903" s="7"/>
    </row>
    <row r="904" spans="1:1" ht="13" x14ac:dyDescent="0.15">
      <c r="A904" s="7"/>
    </row>
    <row r="905" spans="1:1" ht="13" x14ac:dyDescent="0.15">
      <c r="A905" s="7"/>
    </row>
    <row r="906" spans="1:1" ht="13" x14ac:dyDescent="0.15">
      <c r="A906" s="7"/>
    </row>
    <row r="907" spans="1:1" ht="13" x14ac:dyDescent="0.15">
      <c r="A907" s="7"/>
    </row>
    <row r="908" spans="1:1" ht="13" x14ac:dyDescent="0.15">
      <c r="A908" s="7"/>
    </row>
    <row r="909" spans="1:1" ht="13" x14ac:dyDescent="0.15">
      <c r="A909" s="7"/>
    </row>
    <row r="910" spans="1:1" ht="13" x14ac:dyDescent="0.15">
      <c r="A910" s="7"/>
    </row>
    <row r="911" spans="1:1" ht="13" x14ac:dyDescent="0.15">
      <c r="A911" s="7"/>
    </row>
    <row r="912" spans="1:1" ht="13" x14ac:dyDescent="0.15">
      <c r="A912" s="7"/>
    </row>
    <row r="913" spans="1:1" ht="13" x14ac:dyDescent="0.15">
      <c r="A913" s="7"/>
    </row>
    <row r="914" spans="1:1" ht="13" x14ac:dyDescent="0.15">
      <c r="A914" s="7"/>
    </row>
    <row r="915" spans="1:1" ht="13" x14ac:dyDescent="0.15">
      <c r="A915" s="7"/>
    </row>
    <row r="916" spans="1:1" ht="13" x14ac:dyDescent="0.15">
      <c r="A916" s="7"/>
    </row>
    <row r="917" spans="1:1" ht="13" x14ac:dyDescent="0.15">
      <c r="A917" s="7"/>
    </row>
    <row r="918" spans="1:1" ht="13" x14ac:dyDescent="0.15">
      <c r="A918" s="7"/>
    </row>
    <row r="919" spans="1:1" ht="13" x14ac:dyDescent="0.15">
      <c r="A919" s="7"/>
    </row>
    <row r="920" spans="1:1" ht="13" x14ac:dyDescent="0.15">
      <c r="A920" s="7"/>
    </row>
    <row r="921" spans="1:1" ht="13" x14ac:dyDescent="0.15">
      <c r="A921" s="7"/>
    </row>
    <row r="922" spans="1:1" ht="13" x14ac:dyDescent="0.15">
      <c r="A922" s="7"/>
    </row>
    <row r="923" spans="1:1" ht="13" x14ac:dyDescent="0.15">
      <c r="A923" s="7"/>
    </row>
    <row r="924" spans="1:1" ht="13" x14ac:dyDescent="0.15">
      <c r="A924" s="7"/>
    </row>
    <row r="925" spans="1:1" ht="13" x14ac:dyDescent="0.15">
      <c r="A925" s="7"/>
    </row>
    <row r="926" spans="1:1" ht="13" x14ac:dyDescent="0.15">
      <c r="A926" s="7"/>
    </row>
    <row r="927" spans="1:1" ht="13" x14ac:dyDescent="0.15">
      <c r="A927" s="7"/>
    </row>
    <row r="928" spans="1:1" ht="13" x14ac:dyDescent="0.15">
      <c r="A928" s="7"/>
    </row>
    <row r="929" spans="1:1" ht="13" x14ac:dyDescent="0.15">
      <c r="A929" s="7"/>
    </row>
    <row r="930" spans="1:1" ht="13" x14ac:dyDescent="0.15">
      <c r="A930" s="7"/>
    </row>
    <row r="931" spans="1:1" ht="13" x14ac:dyDescent="0.15">
      <c r="A931" s="7"/>
    </row>
    <row r="932" spans="1:1" ht="13" x14ac:dyDescent="0.15">
      <c r="A932" s="7"/>
    </row>
    <row r="933" spans="1:1" ht="13" x14ac:dyDescent="0.15">
      <c r="A933" s="7"/>
    </row>
    <row r="934" spans="1:1" ht="13" x14ac:dyDescent="0.15">
      <c r="A934" s="7"/>
    </row>
    <row r="935" spans="1:1" ht="13" x14ac:dyDescent="0.15">
      <c r="A935" s="7"/>
    </row>
    <row r="936" spans="1:1" ht="13" x14ac:dyDescent="0.15">
      <c r="A936" s="7"/>
    </row>
    <row r="937" spans="1:1" ht="13" x14ac:dyDescent="0.15">
      <c r="A937" s="7"/>
    </row>
    <row r="938" spans="1:1" ht="13" x14ac:dyDescent="0.15">
      <c r="A938" s="7"/>
    </row>
    <row r="939" spans="1:1" ht="13" x14ac:dyDescent="0.15">
      <c r="A939" s="7"/>
    </row>
    <row r="940" spans="1:1" ht="13" x14ac:dyDescent="0.15">
      <c r="A940" s="7"/>
    </row>
    <row r="941" spans="1:1" ht="13" x14ac:dyDescent="0.15">
      <c r="A941" s="7"/>
    </row>
    <row r="942" spans="1:1" ht="13" x14ac:dyDescent="0.15">
      <c r="A942" s="7"/>
    </row>
    <row r="943" spans="1:1" ht="13" x14ac:dyDescent="0.15">
      <c r="A943" s="7"/>
    </row>
    <row r="944" spans="1:1" ht="13" x14ac:dyDescent="0.15">
      <c r="A944" s="7"/>
    </row>
    <row r="945" spans="1:1" ht="13" x14ac:dyDescent="0.15">
      <c r="A945" s="7"/>
    </row>
    <row r="946" spans="1:1" ht="13" x14ac:dyDescent="0.15">
      <c r="A946" s="7"/>
    </row>
    <row r="947" spans="1:1" ht="13" x14ac:dyDescent="0.15">
      <c r="A947" s="7"/>
    </row>
    <row r="948" spans="1:1" ht="13" x14ac:dyDescent="0.15">
      <c r="A948" s="7"/>
    </row>
    <row r="949" spans="1:1" ht="13" x14ac:dyDescent="0.15">
      <c r="A949" s="7"/>
    </row>
    <row r="950" spans="1:1" ht="13" x14ac:dyDescent="0.15">
      <c r="A950" s="7"/>
    </row>
    <row r="951" spans="1:1" ht="13" x14ac:dyDescent="0.15">
      <c r="A951" s="7"/>
    </row>
    <row r="952" spans="1:1" ht="13" x14ac:dyDescent="0.15">
      <c r="A952" s="7"/>
    </row>
    <row r="953" spans="1:1" ht="13" x14ac:dyDescent="0.15">
      <c r="A953" s="7"/>
    </row>
    <row r="954" spans="1:1" ht="13" x14ac:dyDescent="0.15">
      <c r="A954" s="7"/>
    </row>
    <row r="955" spans="1:1" ht="13" x14ac:dyDescent="0.15">
      <c r="A955" s="7"/>
    </row>
    <row r="956" spans="1:1" ht="13" x14ac:dyDescent="0.15">
      <c r="A956" s="7"/>
    </row>
    <row r="957" spans="1:1" ht="13" x14ac:dyDescent="0.15">
      <c r="A957" s="7"/>
    </row>
    <row r="958" spans="1:1" ht="13" x14ac:dyDescent="0.15">
      <c r="A958" s="7"/>
    </row>
    <row r="959" spans="1:1" ht="13" x14ac:dyDescent="0.15">
      <c r="A959" s="7"/>
    </row>
    <row r="960" spans="1:1" ht="13" x14ac:dyDescent="0.15">
      <c r="A960" s="7"/>
    </row>
    <row r="961" spans="1:1" ht="13" x14ac:dyDescent="0.15">
      <c r="A961" s="7"/>
    </row>
    <row r="962" spans="1:1" ht="13" x14ac:dyDescent="0.15">
      <c r="A962" s="7"/>
    </row>
    <row r="963" spans="1:1" ht="13" x14ac:dyDescent="0.15">
      <c r="A963" s="7"/>
    </row>
    <row r="964" spans="1:1" ht="13" x14ac:dyDescent="0.15">
      <c r="A964" s="7"/>
    </row>
    <row r="965" spans="1:1" ht="13" x14ac:dyDescent="0.15">
      <c r="A965" s="7"/>
    </row>
    <row r="966" spans="1:1" ht="13" x14ac:dyDescent="0.15">
      <c r="A966" s="7"/>
    </row>
    <row r="967" spans="1:1" ht="13" x14ac:dyDescent="0.15">
      <c r="A967" s="7"/>
    </row>
    <row r="968" spans="1:1" ht="13" x14ac:dyDescent="0.15">
      <c r="A968" s="7"/>
    </row>
    <row r="969" spans="1:1" ht="13" x14ac:dyDescent="0.15">
      <c r="A969" s="7"/>
    </row>
    <row r="970" spans="1:1" ht="13" x14ac:dyDescent="0.15">
      <c r="A970" s="7"/>
    </row>
    <row r="971" spans="1:1" ht="13" x14ac:dyDescent="0.15">
      <c r="A971" s="7"/>
    </row>
    <row r="972" spans="1:1" ht="13" x14ac:dyDescent="0.15">
      <c r="A972" s="7"/>
    </row>
    <row r="973" spans="1:1" ht="13" x14ac:dyDescent="0.15">
      <c r="A973" s="7"/>
    </row>
    <row r="974" spans="1:1" ht="13" x14ac:dyDescent="0.15">
      <c r="A974" s="7"/>
    </row>
    <row r="975" spans="1:1" ht="13" x14ac:dyDescent="0.15">
      <c r="A975" s="7"/>
    </row>
    <row r="976" spans="1:1" ht="13" x14ac:dyDescent="0.15">
      <c r="A976" s="7"/>
    </row>
    <row r="977" spans="1:1" ht="13" x14ac:dyDescent="0.15">
      <c r="A977" s="7"/>
    </row>
    <row r="978" spans="1:1" ht="13" x14ac:dyDescent="0.15">
      <c r="A978" s="7"/>
    </row>
    <row r="979" spans="1:1" ht="13" x14ac:dyDescent="0.15">
      <c r="A979" s="7"/>
    </row>
    <row r="980" spans="1:1" ht="13" x14ac:dyDescent="0.15">
      <c r="A980" s="7"/>
    </row>
    <row r="981" spans="1:1" ht="13" x14ac:dyDescent="0.15">
      <c r="A981" s="7"/>
    </row>
    <row r="982" spans="1:1" ht="13" x14ac:dyDescent="0.15">
      <c r="A982" s="7"/>
    </row>
    <row r="983" spans="1:1" ht="13" x14ac:dyDescent="0.15">
      <c r="A983" s="7"/>
    </row>
    <row r="984" spans="1:1" ht="13" x14ac:dyDescent="0.15">
      <c r="A984" s="7"/>
    </row>
    <row r="985" spans="1:1" ht="13" x14ac:dyDescent="0.15">
      <c r="A985" s="7"/>
    </row>
    <row r="986" spans="1:1" ht="13" x14ac:dyDescent="0.15">
      <c r="A986" s="7"/>
    </row>
    <row r="987" spans="1:1" ht="13" x14ac:dyDescent="0.15">
      <c r="A987" s="7"/>
    </row>
    <row r="988" spans="1:1" ht="13" x14ac:dyDescent="0.15">
      <c r="A988" s="7"/>
    </row>
    <row r="989" spans="1:1" ht="13" x14ac:dyDescent="0.15">
      <c r="A989" s="7"/>
    </row>
    <row r="990" spans="1:1" ht="13" x14ac:dyDescent="0.15">
      <c r="A990" s="7"/>
    </row>
    <row r="991" spans="1:1" ht="13" x14ac:dyDescent="0.15">
      <c r="A991" s="7"/>
    </row>
    <row r="992" spans="1:1" ht="13" x14ac:dyDescent="0.15">
      <c r="A992" s="7"/>
    </row>
    <row r="993" spans="1:1" ht="13" x14ac:dyDescent="0.15">
      <c r="A993" s="7"/>
    </row>
    <row r="994" spans="1:1" ht="13" x14ac:dyDescent="0.15">
      <c r="A994" s="7"/>
    </row>
    <row r="995" spans="1:1" ht="13" x14ac:dyDescent="0.15">
      <c r="A995" s="7"/>
    </row>
    <row r="996" spans="1:1" ht="13" x14ac:dyDescent="0.15">
      <c r="A996" s="7"/>
    </row>
    <row r="997" spans="1:1" ht="13" x14ac:dyDescent="0.15">
      <c r="A997" s="7"/>
    </row>
    <row r="998" spans="1:1" ht="13" x14ac:dyDescent="0.15">
      <c r="A998" s="7"/>
    </row>
    <row r="999" spans="1:1" ht="13" x14ac:dyDescent="0.15">
      <c r="A999" s="7"/>
    </row>
    <row r="1000" spans="1:1" ht="13" x14ac:dyDescent="0.15">
      <c r="A100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000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9" max="9" width="13.6640625" customWidth="1"/>
    <col min="11" max="11" width="18.6640625" customWidth="1"/>
  </cols>
  <sheetData>
    <row r="1" spans="1:32" ht="15.75" customHeight="1" x14ac:dyDescent="0.15">
      <c r="A1" s="10" t="s">
        <v>0</v>
      </c>
      <c r="B1" s="10" t="s">
        <v>6</v>
      </c>
      <c r="C1" s="10" t="s">
        <v>1</v>
      </c>
      <c r="D1" s="11" t="s">
        <v>7</v>
      </c>
      <c r="E1" s="10" t="s">
        <v>2</v>
      </c>
      <c r="F1" s="12" t="s">
        <v>8</v>
      </c>
      <c r="G1" s="11" t="s">
        <v>9</v>
      </c>
      <c r="H1" s="10" t="s">
        <v>10</v>
      </c>
      <c r="I1" s="11" t="s">
        <v>11</v>
      </c>
      <c r="J1" s="10" t="s">
        <v>4</v>
      </c>
      <c r="K1" s="11" t="s">
        <v>12</v>
      </c>
      <c r="L1" s="10" t="s">
        <v>13</v>
      </c>
      <c r="M1" s="13" t="s">
        <v>14</v>
      </c>
      <c r="N1" s="14" t="s">
        <v>15</v>
      </c>
    </row>
    <row r="2" spans="1:32" ht="15.75" customHeight="1" x14ac:dyDescent="0.15">
      <c r="A2" s="2">
        <f>'Instagram Ads Raw Data'!A2</f>
        <v>45658</v>
      </c>
      <c r="B2" s="3">
        <f t="shared" ref="B2:B256" si="0">MONTH(A2)</f>
        <v>1</v>
      </c>
      <c r="C2" s="3">
        <f>'Instagram Ads Raw Data'!B2</f>
        <v>27382</v>
      </c>
      <c r="D2" s="3">
        <f t="shared" ref="D2:D256" si="1">E2/C2</f>
        <v>1.7639325104082976E-2</v>
      </c>
      <c r="E2" s="3">
        <f>'Instagram Ads Raw Data'!C2</f>
        <v>483</v>
      </c>
      <c r="F2" s="15">
        <f t="shared" ref="F2:F256" si="2">H2/E2</f>
        <v>1.3374741200828157</v>
      </c>
      <c r="G2" s="4">
        <f t="shared" ref="G2:G256" si="3">H2/(C2/1000)</f>
        <v>23.592140822438097</v>
      </c>
      <c r="H2" s="4">
        <f>'Instagram Ads Raw Data'!D2</f>
        <v>646</v>
      </c>
      <c r="I2" s="3">
        <f t="shared" ref="I2:I256" si="4">J2/E2</f>
        <v>1.6563146997929608E-2</v>
      </c>
      <c r="J2" s="3">
        <f>'Instagram Ads Raw Data'!E2</f>
        <v>8</v>
      </c>
      <c r="K2" s="4">
        <f t="shared" ref="K2:K256" si="5">L2/J2</f>
        <v>171.875</v>
      </c>
      <c r="L2" s="4">
        <f>'Instagram Ads Raw Data'!F2</f>
        <v>1375</v>
      </c>
      <c r="M2" s="16">
        <f t="shared" ref="M2:M256" si="6">L2/H2</f>
        <v>2.1284829721362231</v>
      </c>
      <c r="N2" s="17">
        <f t="shared" ref="N2:N256" si="7">H2/J2</f>
        <v>80.75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75" customHeight="1" x14ac:dyDescent="0.15">
      <c r="A3" s="2">
        <f>'Instagram Ads Raw Data'!A3</f>
        <v>45659</v>
      </c>
      <c r="B3" s="3">
        <f t="shared" si="0"/>
        <v>1</v>
      </c>
      <c r="C3" s="3">
        <f>'Instagram Ads Raw Data'!B3</f>
        <v>99168</v>
      </c>
      <c r="D3" s="3">
        <f t="shared" si="1"/>
        <v>1.5740964827363667E-2</v>
      </c>
      <c r="E3" s="3">
        <f>'Instagram Ads Raw Data'!C3</f>
        <v>1561</v>
      </c>
      <c r="F3" s="15">
        <f t="shared" si="2"/>
        <v>1.4445868033311979</v>
      </c>
      <c r="G3" s="4">
        <f t="shared" si="3"/>
        <v>22.739190061310097</v>
      </c>
      <c r="H3" s="4">
        <f>'Instagram Ads Raw Data'!D3</f>
        <v>2255</v>
      </c>
      <c r="I3" s="3">
        <f t="shared" si="4"/>
        <v>2.2421524663677129E-2</v>
      </c>
      <c r="J3" s="3">
        <f>'Instagram Ads Raw Data'!E3</f>
        <v>35</v>
      </c>
      <c r="K3" s="4">
        <f t="shared" si="5"/>
        <v>147.4</v>
      </c>
      <c r="L3" s="4">
        <f>'Instagram Ads Raw Data'!F3</f>
        <v>5159</v>
      </c>
      <c r="M3" s="16">
        <f t="shared" si="6"/>
        <v>2.2878048780487803</v>
      </c>
      <c r="N3" s="17">
        <f t="shared" si="7"/>
        <v>64.428571428571431</v>
      </c>
    </row>
    <row r="4" spans="1:32" ht="15.75" customHeight="1" x14ac:dyDescent="0.15">
      <c r="A4" s="2">
        <f>'Instagram Ads Raw Data'!A4</f>
        <v>45660</v>
      </c>
      <c r="B4" s="3">
        <f t="shared" si="0"/>
        <v>1</v>
      </c>
      <c r="C4" s="3">
        <f>'Instagram Ads Raw Data'!B4</f>
        <v>14891</v>
      </c>
      <c r="D4" s="3">
        <f t="shared" si="1"/>
        <v>1.8333221408904709E-2</v>
      </c>
      <c r="E4" s="3">
        <f>'Instagram Ads Raw Data'!C4</f>
        <v>273</v>
      </c>
      <c r="F4" s="15">
        <f t="shared" si="2"/>
        <v>1.1391941391941391</v>
      </c>
      <c r="G4" s="4">
        <f t="shared" si="3"/>
        <v>20.885098381572764</v>
      </c>
      <c r="H4" s="4">
        <f>'Instagram Ads Raw Data'!D4</f>
        <v>311</v>
      </c>
      <c r="I4" s="3">
        <f t="shared" si="4"/>
        <v>2.197802197802198E-2</v>
      </c>
      <c r="J4" s="3">
        <f>'Instagram Ads Raw Data'!E4</f>
        <v>6</v>
      </c>
      <c r="K4" s="4">
        <f t="shared" si="5"/>
        <v>119.5</v>
      </c>
      <c r="L4" s="4">
        <f>'Instagram Ads Raw Data'!F4</f>
        <v>717</v>
      </c>
      <c r="M4" s="16">
        <f t="shared" si="6"/>
        <v>2.305466237942122</v>
      </c>
      <c r="N4" s="17">
        <f t="shared" si="7"/>
        <v>51.833333333333336</v>
      </c>
    </row>
    <row r="5" spans="1:32" ht="15.75" customHeight="1" x14ac:dyDescent="0.15">
      <c r="A5" s="2">
        <f>'Instagram Ads Raw Data'!A5</f>
        <v>45661</v>
      </c>
      <c r="B5" s="3">
        <f t="shared" si="0"/>
        <v>1</v>
      </c>
      <c r="C5" s="3">
        <f>'Instagram Ads Raw Data'!B5</f>
        <v>42989</v>
      </c>
      <c r="D5" s="3">
        <f t="shared" si="1"/>
        <v>1.5864523482751403E-2</v>
      </c>
      <c r="E5" s="3">
        <f>'Instagram Ads Raw Data'!C5</f>
        <v>682</v>
      </c>
      <c r="F5" s="15">
        <f t="shared" si="2"/>
        <v>1.7478005865102639</v>
      </c>
      <c r="G5" s="4">
        <f t="shared" si="3"/>
        <v>27.728023447858757</v>
      </c>
      <c r="H5" s="4">
        <f>'Instagram Ads Raw Data'!D5</f>
        <v>1192</v>
      </c>
      <c r="I5" s="3">
        <f t="shared" si="4"/>
        <v>1.906158357771261E-2</v>
      </c>
      <c r="J5" s="3">
        <f>'Instagram Ads Raw Data'!E5</f>
        <v>13</v>
      </c>
      <c r="K5" s="4">
        <f t="shared" si="5"/>
        <v>228.38461538461539</v>
      </c>
      <c r="L5" s="4">
        <f>'Instagram Ads Raw Data'!F5</f>
        <v>2969</v>
      </c>
      <c r="M5" s="16">
        <f t="shared" si="6"/>
        <v>2.4907718120805371</v>
      </c>
      <c r="N5" s="17">
        <f t="shared" si="7"/>
        <v>91.692307692307693</v>
      </c>
    </row>
    <row r="6" spans="1:32" ht="15.75" customHeight="1" x14ac:dyDescent="0.15">
      <c r="A6" s="2">
        <f>'Instagram Ads Raw Data'!A6</f>
        <v>45662</v>
      </c>
      <c r="B6" s="3">
        <f t="shared" si="0"/>
        <v>1</v>
      </c>
      <c r="C6" s="3">
        <f>'Instagram Ads Raw Data'!B6</f>
        <v>36381</v>
      </c>
      <c r="D6" s="3">
        <f t="shared" si="1"/>
        <v>1.5365163134603227E-2</v>
      </c>
      <c r="E6" s="3">
        <f>'Instagram Ads Raw Data'!C6</f>
        <v>559</v>
      </c>
      <c r="F6" s="15">
        <f t="shared" si="2"/>
        <v>1.4025044722719142</v>
      </c>
      <c r="G6" s="4">
        <f t="shared" si="3"/>
        <v>21.54971001346857</v>
      </c>
      <c r="H6" s="4">
        <f>'Instagram Ads Raw Data'!D6</f>
        <v>784</v>
      </c>
      <c r="I6" s="3">
        <f t="shared" si="4"/>
        <v>2.3255813953488372E-2</v>
      </c>
      <c r="J6" s="3">
        <f>'Instagram Ads Raw Data'!E6</f>
        <v>13</v>
      </c>
      <c r="K6" s="4">
        <f t="shared" si="5"/>
        <v>196.61538461538461</v>
      </c>
      <c r="L6" s="4">
        <f>'Instagram Ads Raw Data'!F6</f>
        <v>2556</v>
      </c>
      <c r="M6" s="16">
        <f t="shared" si="6"/>
        <v>3.260204081632653</v>
      </c>
      <c r="N6" s="17">
        <f t="shared" si="7"/>
        <v>60.307692307692307</v>
      </c>
    </row>
    <row r="7" spans="1:32" ht="15.75" customHeight="1" x14ac:dyDescent="0.15">
      <c r="A7" s="2">
        <f>'Instagram Ads Raw Data'!A7</f>
        <v>45663</v>
      </c>
      <c r="B7" s="3">
        <f t="shared" si="0"/>
        <v>1</v>
      </c>
      <c r="C7" s="3">
        <f>'Instagram Ads Raw Data'!B7</f>
        <v>56836</v>
      </c>
      <c r="D7" s="3">
        <f t="shared" si="1"/>
        <v>1.9864170596101061E-2</v>
      </c>
      <c r="E7" s="3">
        <f>'Instagram Ads Raw Data'!C7</f>
        <v>1129</v>
      </c>
      <c r="F7" s="15">
        <f t="shared" si="2"/>
        <v>1.7847652790079716</v>
      </c>
      <c r="G7" s="4">
        <f t="shared" si="3"/>
        <v>35.452881976212261</v>
      </c>
      <c r="H7" s="4">
        <f>'Instagram Ads Raw Data'!D7</f>
        <v>2015</v>
      </c>
      <c r="I7" s="3">
        <f t="shared" si="4"/>
        <v>1.4171833480956599E-2</v>
      </c>
      <c r="J7" s="3">
        <f>'Instagram Ads Raw Data'!E7</f>
        <v>16</v>
      </c>
      <c r="K7" s="4">
        <f t="shared" si="5"/>
        <v>168.5625</v>
      </c>
      <c r="L7" s="4">
        <f>'Instagram Ads Raw Data'!F7</f>
        <v>2697</v>
      </c>
      <c r="M7" s="16">
        <f t="shared" si="6"/>
        <v>1.3384615384615384</v>
      </c>
      <c r="N7" s="17">
        <f t="shared" si="7"/>
        <v>125.9375</v>
      </c>
    </row>
    <row r="8" spans="1:32" ht="15.75" customHeight="1" x14ac:dyDescent="0.15">
      <c r="A8" s="2">
        <f>'Instagram Ads Raw Data'!A8</f>
        <v>45664</v>
      </c>
      <c r="B8" s="3">
        <f t="shared" si="0"/>
        <v>1</v>
      </c>
      <c r="C8" s="3">
        <f>'Instagram Ads Raw Data'!B8</f>
        <v>45926</v>
      </c>
      <c r="D8" s="3">
        <f t="shared" si="1"/>
        <v>2.4931411400949354E-2</v>
      </c>
      <c r="E8" s="3">
        <f>'Instagram Ads Raw Data'!C8</f>
        <v>1145</v>
      </c>
      <c r="F8" s="15">
        <f t="shared" si="2"/>
        <v>1.0637554585152837</v>
      </c>
      <c r="G8" s="4">
        <f t="shared" si="3"/>
        <v>26.520924966250053</v>
      </c>
      <c r="H8" s="4">
        <f>'Instagram Ads Raw Data'!D8</f>
        <v>1218</v>
      </c>
      <c r="I8" s="3">
        <f t="shared" si="4"/>
        <v>2.4454148471615721E-2</v>
      </c>
      <c r="J8" s="3">
        <f>'Instagram Ads Raw Data'!E8</f>
        <v>28</v>
      </c>
      <c r="K8" s="4">
        <f t="shared" si="5"/>
        <v>198.17857142857142</v>
      </c>
      <c r="L8" s="4">
        <f>'Instagram Ads Raw Data'!F8</f>
        <v>5549</v>
      </c>
      <c r="M8" s="16">
        <f t="shared" si="6"/>
        <v>4.5558292282430211</v>
      </c>
      <c r="N8" s="17">
        <f t="shared" si="7"/>
        <v>43.5</v>
      </c>
    </row>
    <row r="9" spans="1:32" ht="15.75" customHeight="1" x14ac:dyDescent="0.15">
      <c r="A9" s="2">
        <f>'Instagram Ads Raw Data'!A9</f>
        <v>45665</v>
      </c>
      <c r="B9" s="3">
        <f t="shared" si="0"/>
        <v>1</v>
      </c>
      <c r="C9" s="3">
        <f>'Instagram Ads Raw Data'!B9</f>
        <v>43071</v>
      </c>
      <c r="D9" s="3">
        <f t="shared" si="1"/>
        <v>8.2654222098395673E-3</v>
      </c>
      <c r="E9" s="3">
        <f>'Instagram Ads Raw Data'!C9</f>
        <v>356</v>
      </c>
      <c r="F9" s="15">
        <f t="shared" si="2"/>
        <v>1.6910112359550562</v>
      </c>
      <c r="G9" s="4">
        <f t="shared" si="3"/>
        <v>13.976921826751179</v>
      </c>
      <c r="H9" s="4">
        <f>'Instagram Ads Raw Data'!D9</f>
        <v>602</v>
      </c>
      <c r="I9" s="3">
        <f t="shared" si="4"/>
        <v>2.5280898876404494E-2</v>
      </c>
      <c r="J9" s="3">
        <f>'Instagram Ads Raw Data'!E9</f>
        <v>9</v>
      </c>
      <c r="K9" s="4">
        <f t="shared" si="5"/>
        <v>155</v>
      </c>
      <c r="L9" s="4">
        <f>'Instagram Ads Raw Data'!F9</f>
        <v>1395</v>
      </c>
      <c r="M9" s="16">
        <f t="shared" si="6"/>
        <v>2.3172757475083055</v>
      </c>
      <c r="N9" s="17">
        <f t="shared" si="7"/>
        <v>66.888888888888886</v>
      </c>
    </row>
    <row r="10" spans="1:32" ht="15.75" customHeight="1" x14ac:dyDescent="0.15">
      <c r="A10" s="2">
        <f>'Instagram Ads Raw Data'!A10</f>
        <v>45666</v>
      </c>
      <c r="B10" s="3">
        <f t="shared" si="0"/>
        <v>1</v>
      </c>
      <c r="C10" s="3">
        <f>'Instagram Ads Raw Data'!B10</f>
        <v>82343</v>
      </c>
      <c r="D10" s="3">
        <f t="shared" si="1"/>
        <v>2.2673451295192062E-2</v>
      </c>
      <c r="E10" s="3">
        <f>'Instagram Ads Raw Data'!C10</f>
        <v>1867</v>
      </c>
      <c r="F10" s="15">
        <f t="shared" si="2"/>
        <v>1.2581681842528121</v>
      </c>
      <c r="G10" s="4">
        <f t="shared" si="3"/>
        <v>28.527015046816363</v>
      </c>
      <c r="H10" s="4">
        <f>'Instagram Ads Raw Data'!D10</f>
        <v>2349</v>
      </c>
      <c r="I10" s="3">
        <f t="shared" si="4"/>
        <v>1.6068559185859668E-2</v>
      </c>
      <c r="J10" s="3">
        <f>'Instagram Ads Raw Data'!E10</f>
        <v>30</v>
      </c>
      <c r="K10" s="4">
        <f t="shared" si="5"/>
        <v>194.5</v>
      </c>
      <c r="L10" s="4">
        <f>'Instagram Ads Raw Data'!F10</f>
        <v>5835</v>
      </c>
      <c r="M10" s="16">
        <f t="shared" si="6"/>
        <v>2.4840357598978287</v>
      </c>
      <c r="N10" s="17">
        <f t="shared" si="7"/>
        <v>78.3</v>
      </c>
    </row>
    <row r="11" spans="1:32" ht="15.75" customHeight="1" x14ac:dyDescent="0.15">
      <c r="A11" s="2">
        <f>'Instagram Ads Raw Data'!A11</f>
        <v>45667</v>
      </c>
      <c r="B11" s="3">
        <f t="shared" si="0"/>
        <v>1</v>
      </c>
      <c r="C11" s="3">
        <f>'Instagram Ads Raw Data'!B11</f>
        <v>76027</v>
      </c>
      <c r="D11" s="3">
        <f t="shared" si="1"/>
        <v>1.6428374130243204E-2</v>
      </c>
      <c r="E11" s="3">
        <f>'Instagram Ads Raw Data'!C11</f>
        <v>1249</v>
      </c>
      <c r="F11" s="15">
        <f t="shared" si="2"/>
        <v>1.9343474779823859</v>
      </c>
      <c r="G11" s="4">
        <f t="shared" si="3"/>
        <v>31.778184066187013</v>
      </c>
      <c r="H11" s="4">
        <f>'Instagram Ads Raw Data'!D11</f>
        <v>2416</v>
      </c>
      <c r="I11" s="3">
        <f t="shared" si="4"/>
        <v>1.2810248198558846E-2</v>
      </c>
      <c r="J11" s="3">
        <f>'Instagram Ads Raw Data'!E11</f>
        <v>16</v>
      </c>
      <c r="K11" s="4">
        <f t="shared" si="5"/>
        <v>192.8125</v>
      </c>
      <c r="L11" s="4">
        <f>'Instagram Ads Raw Data'!F11</f>
        <v>3085</v>
      </c>
      <c r="M11" s="16">
        <f t="shared" si="6"/>
        <v>1.2769039735099337</v>
      </c>
      <c r="N11" s="17">
        <f t="shared" si="7"/>
        <v>151</v>
      </c>
    </row>
    <row r="12" spans="1:32" ht="15.75" customHeight="1" x14ac:dyDescent="0.15">
      <c r="A12" s="2">
        <f>'Instagram Ads Raw Data'!A12</f>
        <v>45668</v>
      </c>
      <c r="B12" s="3">
        <f t="shared" si="0"/>
        <v>1</v>
      </c>
      <c r="C12" s="3">
        <f>'Instagram Ads Raw Data'!B12</f>
        <v>80956</v>
      </c>
      <c r="D12" s="3">
        <f t="shared" si="1"/>
        <v>9.0543011018330948E-3</v>
      </c>
      <c r="E12" s="3">
        <f>'Instagram Ads Raw Data'!C12</f>
        <v>733</v>
      </c>
      <c r="F12" s="15">
        <f t="shared" si="2"/>
        <v>1.7448840381991815</v>
      </c>
      <c r="G12" s="4">
        <f t="shared" si="3"/>
        <v>15.798705469637827</v>
      </c>
      <c r="H12" s="4">
        <f>'Instagram Ads Raw Data'!D12</f>
        <v>1279</v>
      </c>
      <c r="I12" s="3">
        <f t="shared" si="4"/>
        <v>2.4556616643929059E-2</v>
      </c>
      <c r="J12" s="3">
        <f>'Instagram Ads Raw Data'!E12</f>
        <v>18</v>
      </c>
      <c r="K12" s="4">
        <f t="shared" si="5"/>
        <v>161.77777777777777</v>
      </c>
      <c r="L12" s="4">
        <f>'Instagram Ads Raw Data'!F12</f>
        <v>2912</v>
      </c>
      <c r="M12" s="16">
        <f t="shared" si="6"/>
        <v>2.2767787333854574</v>
      </c>
      <c r="N12" s="17">
        <f t="shared" si="7"/>
        <v>71.055555555555557</v>
      </c>
    </row>
    <row r="13" spans="1:32" ht="15.75" customHeight="1" x14ac:dyDescent="0.15">
      <c r="A13" s="2">
        <f>'Instagram Ads Raw Data'!A13</f>
        <v>45669</v>
      </c>
      <c r="B13" s="3">
        <f t="shared" si="0"/>
        <v>1</v>
      </c>
      <c r="C13" s="3">
        <f>'Instagram Ads Raw Data'!B13</f>
        <v>68072</v>
      </c>
      <c r="D13" s="3">
        <f t="shared" si="1"/>
        <v>1.9567516746973792E-2</v>
      </c>
      <c r="E13" s="3">
        <f>'Instagram Ads Raw Data'!C13</f>
        <v>1332</v>
      </c>
      <c r="F13" s="15">
        <f t="shared" si="2"/>
        <v>1.777027027027027</v>
      </c>
      <c r="G13" s="4">
        <f t="shared" si="3"/>
        <v>34.772006111176402</v>
      </c>
      <c r="H13" s="4">
        <f>'Instagram Ads Raw Data'!D13</f>
        <v>2367</v>
      </c>
      <c r="I13" s="3">
        <f t="shared" si="4"/>
        <v>1.1261261261261261E-2</v>
      </c>
      <c r="J13" s="3">
        <f>'Instagram Ads Raw Data'!E13</f>
        <v>15</v>
      </c>
      <c r="K13" s="4">
        <f t="shared" si="5"/>
        <v>215.6</v>
      </c>
      <c r="L13" s="4">
        <f>'Instagram Ads Raw Data'!F13</f>
        <v>3234</v>
      </c>
      <c r="M13" s="16">
        <f t="shared" si="6"/>
        <v>1.3662864385297846</v>
      </c>
      <c r="N13" s="17">
        <f t="shared" si="7"/>
        <v>157.80000000000001</v>
      </c>
    </row>
    <row r="14" spans="1:32" ht="15.75" customHeight="1" x14ac:dyDescent="0.15">
      <c r="A14" s="2">
        <f>'Instagram Ads Raw Data'!A14</f>
        <v>45670</v>
      </c>
      <c r="B14" s="3">
        <f t="shared" si="0"/>
        <v>1</v>
      </c>
      <c r="C14" s="3">
        <f>'Instagram Ads Raw Data'!B14</f>
        <v>97608</v>
      </c>
      <c r="D14" s="3">
        <f t="shared" si="1"/>
        <v>1.9947135480698302E-2</v>
      </c>
      <c r="E14" s="3">
        <f>'Instagram Ads Raw Data'!C14</f>
        <v>1947</v>
      </c>
      <c r="F14" s="15">
        <f t="shared" si="2"/>
        <v>1.0898818695428865</v>
      </c>
      <c r="G14" s="4">
        <f t="shared" si="3"/>
        <v>21.740021309728711</v>
      </c>
      <c r="H14" s="4">
        <f>'Instagram Ads Raw Data'!D14</f>
        <v>2122</v>
      </c>
      <c r="I14" s="3">
        <f t="shared" si="4"/>
        <v>1.4894709809964048E-2</v>
      </c>
      <c r="J14" s="3">
        <f>'Instagram Ads Raw Data'!E14</f>
        <v>29</v>
      </c>
      <c r="K14" s="4">
        <f t="shared" si="5"/>
        <v>117.06896551724138</v>
      </c>
      <c r="L14" s="4">
        <f>'Instagram Ads Raw Data'!F14</f>
        <v>3395</v>
      </c>
      <c r="M14" s="16">
        <f t="shared" si="6"/>
        <v>1.5999057492931197</v>
      </c>
      <c r="N14" s="17">
        <f t="shared" si="7"/>
        <v>73.172413793103445</v>
      </c>
    </row>
    <row r="15" spans="1:32" ht="15.75" customHeight="1" x14ac:dyDescent="0.15">
      <c r="A15" s="2">
        <f>'Instagram Ads Raw Data'!A15</f>
        <v>45671</v>
      </c>
      <c r="B15" s="3">
        <f t="shared" si="0"/>
        <v>1</v>
      </c>
      <c r="C15" s="3">
        <f>'Instagram Ads Raw Data'!B15</f>
        <v>68669</v>
      </c>
      <c r="D15" s="3">
        <f t="shared" si="1"/>
        <v>1.7999388370298096E-2</v>
      </c>
      <c r="E15" s="3">
        <f>'Instagram Ads Raw Data'!C15</f>
        <v>1236</v>
      </c>
      <c r="F15" s="15">
        <f t="shared" si="2"/>
        <v>2.0088996763754046</v>
      </c>
      <c r="G15" s="4">
        <f t="shared" si="3"/>
        <v>36.158965472047065</v>
      </c>
      <c r="H15" s="4">
        <f>'Instagram Ads Raw Data'!D15</f>
        <v>2483</v>
      </c>
      <c r="I15" s="3">
        <f t="shared" si="4"/>
        <v>1.9417475728155338E-2</v>
      </c>
      <c r="J15" s="3">
        <f>'Instagram Ads Raw Data'!E15</f>
        <v>24</v>
      </c>
      <c r="K15" s="4">
        <f t="shared" si="5"/>
        <v>149.375</v>
      </c>
      <c r="L15" s="4">
        <f>'Instagram Ads Raw Data'!F15</f>
        <v>3585</v>
      </c>
      <c r="M15" s="16">
        <f t="shared" si="6"/>
        <v>1.4438179621425695</v>
      </c>
      <c r="N15" s="17">
        <f t="shared" si="7"/>
        <v>103.45833333333333</v>
      </c>
    </row>
    <row r="16" spans="1:32" ht="15.75" customHeight="1" x14ac:dyDescent="0.15">
      <c r="A16" s="2">
        <f>'Instagram Ads Raw Data'!A16</f>
        <v>45672</v>
      </c>
      <c r="B16" s="3">
        <f t="shared" si="0"/>
        <v>1</v>
      </c>
      <c r="C16" s="3">
        <f>'Instagram Ads Raw Data'!B16</f>
        <v>65250</v>
      </c>
      <c r="D16" s="3">
        <f t="shared" si="1"/>
        <v>3.0697318007662837E-2</v>
      </c>
      <c r="E16" s="3">
        <f>'Instagram Ads Raw Data'!C16</f>
        <v>2003</v>
      </c>
      <c r="F16" s="15">
        <f t="shared" si="2"/>
        <v>1.2391412880678982</v>
      </c>
      <c r="G16" s="4">
        <f t="shared" si="3"/>
        <v>38.038314176245208</v>
      </c>
      <c r="H16" s="4">
        <f>'Instagram Ads Raw Data'!D16</f>
        <v>2482</v>
      </c>
      <c r="I16" s="3">
        <f t="shared" si="4"/>
        <v>1.1982026959560658E-2</v>
      </c>
      <c r="J16" s="3">
        <f>'Instagram Ads Raw Data'!E16</f>
        <v>24</v>
      </c>
      <c r="K16" s="4">
        <f t="shared" si="5"/>
        <v>101.5</v>
      </c>
      <c r="L16" s="4">
        <f>'Instagram Ads Raw Data'!F16</f>
        <v>2436</v>
      </c>
      <c r="M16" s="16">
        <f t="shared" si="6"/>
        <v>0.98146655922643034</v>
      </c>
      <c r="N16" s="17">
        <f t="shared" si="7"/>
        <v>103.41666666666667</v>
      </c>
    </row>
    <row r="17" spans="1:14" ht="15.75" customHeight="1" x14ac:dyDescent="0.15">
      <c r="A17" s="2">
        <f>'Instagram Ads Raw Data'!A17</f>
        <v>45673</v>
      </c>
      <c r="B17" s="3">
        <f t="shared" si="0"/>
        <v>1</v>
      </c>
      <c r="C17" s="3">
        <f>'Instagram Ads Raw Data'!B17</f>
        <v>20589</v>
      </c>
      <c r="D17" s="3">
        <f t="shared" si="1"/>
        <v>2.8170382242945262E-2</v>
      </c>
      <c r="E17" s="3">
        <f>'Instagram Ads Raw Data'!C17</f>
        <v>580</v>
      </c>
      <c r="F17" s="15">
        <f t="shared" si="2"/>
        <v>1.9724137931034482</v>
      </c>
      <c r="G17" s="4">
        <f t="shared" si="3"/>
        <v>55.563650492981694</v>
      </c>
      <c r="H17" s="4">
        <f>'Instagram Ads Raw Data'!D17</f>
        <v>1144</v>
      </c>
      <c r="I17" s="3">
        <f t="shared" si="4"/>
        <v>1.7241379310344827E-2</v>
      </c>
      <c r="J17" s="3">
        <f>'Instagram Ads Raw Data'!E17</f>
        <v>10</v>
      </c>
      <c r="K17" s="4">
        <f t="shared" si="5"/>
        <v>151.80000000000001</v>
      </c>
      <c r="L17" s="4">
        <f>'Instagram Ads Raw Data'!F17</f>
        <v>1518</v>
      </c>
      <c r="M17" s="16">
        <f t="shared" si="6"/>
        <v>1.3269230769230769</v>
      </c>
      <c r="N17" s="17">
        <f t="shared" si="7"/>
        <v>114.4</v>
      </c>
    </row>
    <row r="18" spans="1:14" ht="15.75" customHeight="1" x14ac:dyDescent="0.15">
      <c r="A18" s="2">
        <f>'Instagram Ads Raw Data'!A18</f>
        <v>45674</v>
      </c>
      <c r="B18" s="3">
        <f t="shared" si="0"/>
        <v>1</v>
      </c>
      <c r="C18" s="3">
        <f>'Instagram Ads Raw Data'!B18</f>
        <v>92484</v>
      </c>
      <c r="D18" s="3">
        <f t="shared" si="1"/>
        <v>2.3247264391678561E-2</v>
      </c>
      <c r="E18" s="3">
        <f>'Instagram Ads Raw Data'!C18</f>
        <v>2150</v>
      </c>
      <c r="F18" s="15">
        <f t="shared" si="2"/>
        <v>1.6469767441860466</v>
      </c>
      <c r="G18" s="4">
        <f t="shared" si="3"/>
        <v>38.287703819038974</v>
      </c>
      <c r="H18" s="4">
        <f>'Instagram Ads Raw Data'!D18</f>
        <v>3541</v>
      </c>
      <c r="I18" s="3">
        <f t="shared" si="4"/>
        <v>2.6046511627906978E-2</v>
      </c>
      <c r="J18" s="3">
        <f>'Instagram Ads Raw Data'!E18</f>
        <v>56</v>
      </c>
      <c r="K18" s="4">
        <f t="shared" si="5"/>
        <v>165.125</v>
      </c>
      <c r="L18" s="4">
        <f>'Instagram Ads Raw Data'!F18</f>
        <v>9247</v>
      </c>
      <c r="M18" s="16">
        <f t="shared" si="6"/>
        <v>2.611409206438859</v>
      </c>
      <c r="N18" s="17">
        <f t="shared" si="7"/>
        <v>63.232142857142854</v>
      </c>
    </row>
    <row r="19" spans="1:14" ht="15.75" customHeight="1" x14ac:dyDescent="0.15">
      <c r="A19" s="2">
        <f>'Instagram Ads Raw Data'!A19</f>
        <v>45675</v>
      </c>
      <c r="B19" s="3">
        <f t="shared" si="0"/>
        <v>1</v>
      </c>
      <c r="C19" s="3">
        <f>'Instagram Ads Raw Data'!B19</f>
        <v>56463</v>
      </c>
      <c r="D19" s="3">
        <f t="shared" si="1"/>
        <v>2.7646423321467155E-2</v>
      </c>
      <c r="E19" s="3">
        <f>'Instagram Ads Raw Data'!C19</f>
        <v>1561</v>
      </c>
      <c r="F19" s="15">
        <f t="shared" si="2"/>
        <v>1.242152466367713</v>
      </c>
      <c r="G19" s="4">
        <f t="shared" si="3"/>
        <v>34.341072915006286</v>
      </c>
      <c r="H19" s="4">
        <f>'Instagram Ads Raw Data'!D19</f>
        <v>1939</v>
      </c>
      <c r="I19" s="3">
        <f t="shared" si="4"/>
        <v>1.4093529788597053E-2</v>
      </c>
      <c r="J19" s="3">
        <f>'Instagram Ads Raw Data'!E19</f>
        <v>22</v>
      </c>
      <c r="K19" s="4">
        <f t="shared" si="5"/>
        <v>151.27272727272728</v>
      </c>
      <c r="L19" s="4">
        <f>'Instagram Ads Raw Data'!F19</f>
        <v>3328</v>
      </c>
      <c r="M19" s="16">
        <f t="shared" si="6"/>
        <v>1.7163486333161424</v>
      </c>
      <c r="N19" s="17">
        <f t="shared" si="7"/>
        <v>88.13636363636364</v>
      </c>
    </row>
    <row r="20" spans="1:14" ht="15.75" customHeight="1" x14ac:dyDescent="0.15">
      <c r="A20" s="2">
        <f>'Instagram Ads Raw Data'!A20</f>
        <v>45676</v>
      </c>
      <c r="B20" s="3">
        <f t="shared" si="0"/>
        <v>1</v>
      </c>
      <c r="C20" s="3">
        <f>'Instagram Ads Raw Data'!B20</f>
        <v>70426</v>
      </c>
      <c r="D20" s="3">
        <f t="shared" si="1"/>
        <v>1.1018657882032204E-2</v>
      </c>
      <c r="E20" s="3">
        <f>'Instagram Ads Raw Data'!C20</f>
        <v>776</v>
      </c>
      <c r="F20" s="15">
        <f t="shared" si="2"/>
        <v>1.7886597938144331</v>
      </c>
      <c r="G20" s="4">
        <f t="shared" si="3"/>
        <v>19.708630335387497</v>
      </c>
      <c r="H20" s="4">
        <f>'Instagram Ads Raw Data'!D20</f>
        <v>1388</v>
      </c>
      <c r="I20" s="3">
        <f t="shared" si="4"/>
        <v>2.4484536082474227E-2</v>
      </c>
      <c r="J20" s="3">
        <f>'Instagram Ads Raw Data'!E20</f>
        <v>19</v>
      </c>
      <c r="K20" s="4">
        <f t="shared" si="5"/>
        <v>120.78947368421052</v>
      </c>
      <c r="L20" s="4">
        <f>'Instagram Ads Raw Data'!F20</f>
        <v>2295</v>
      </c>
      <c r="M20" s="16">
        <f t="shared" si="6"/>
        <v>1.6534582132564841</v>
      </c>
      <c r="N20" s="17">
        <f t="shared" si="7"/>
        <v>73.05263157894737</v>
      </c>
    </row>
    <row r="21" spans="1:14" ht="15.75" customHeight="1" x14ac:dyDescent="0.15">
      <c r="A21" s="2">
        <f>'Instagram Ads Raw Data'!A21</f>
        <v>45677</v>
      </c>
      <c r="B21" s="3">
        <f t="shared" si="0"/>
        <v>1</v>
      </c>
      <c r="C21" s="3">
        <f>'Instagram Ads Raw Data'!B21</f>
        <v>70773</v>
      </c>
      <c r="D21" s="3">
        <f t="shared" si="1"/>
        <v>1.3451457476721348E-2</v>
      </c>
      <c r="E21" s="3">
        <f>'Instagram Ads Raw Data'!C21</f>
        <v>952</v>
      </c>
      <c r="F21" s="15">
        <f t="shared" si="2"/>
        <v>1.3109243697478992</v>
      </c>
      <c r="G21" s="4">
        <f t="shared" si="3"/>
        <v>17.633843414861602</v>
      </c>
      <c r="H21" s="4">
        <f>'Instagram Ads Raw Data'!D21</f>
        <v>1248</v>
      </c>
      <c r="I21" s="3">
        <f t="shared" si="4"/>
        <v>1.7857142857142856E-2</v>
      </c>
      <c r="J21" s="3">
        <f>'Instagram Ads Raw Data'!E21</f>
        <v>17</v>
      </c>
      <c r="K21" s="4">
        <f t="shared" si="5"/>
        <v>201</v>
      </c>
      <c r="L21" s="4">
        <f>'Instagram Ads Raw Data'!F21</f>
        <v>3417</v>
      </c>
      <c r="M21" s="16">
        <f t="shared" si="6"/>
        <v>2.7379807692307692</v>
      </c>
      <c r="N21" s="17">
        <f t="shared" si="7"/>
        <v>73.411764705882348</v>
      </c>
    </row>
    <row r="22" spans="1:14" ht="15.75" customHeight="1" x14ac:dyDescent="0.15">
      <c r="A22" s="2">
        <f>'Instagram Ads Raw Data'!A22</f>
        <v>45678</v>
      </c>
      <c r="B22" s="3">
        <f t="shared" si="0"/>
        <v>1</v>
      </c>
      <c r="C22" s="3">
        <f>'Instagram Ads Raw Data'!B22</f>
        <v>62871</v>
      </c>
      <c r="D22" s="3">
        <f t="shared" si="1"/>
        <v>2.3126719791318733E-2</v>
      </c>
      <c r="E22" s="3">
        <f>'Instagram Ads Raw Data'!C22</f>
        <v>1454</v>
      </c>
      <c r="F22" s="15">
        <f t="shared" si="2"/>
        <v>1.5226960110041265</v>
      </c>
      <c r="G22" s="4">
        <f t="shared" si="3"/>
        <v>35.214963973851219</v>
      </c>
      <c r="H22" s="4">
        <f>'Instagram Ads Raw Data'!D22</f>
        <v>2214</v>
      </c>
      <c r="I22" s="3">
        <f t="shared" si="4"/>
        <v>1.8569463548830812E-2</v>
      </c>
      <c r="J22" s="3">
        <f>'Instagram Ads Raw Data'!E22</f>
        <v>27</v>
      </c>
      <c r="K22" s="4">
        <f t="shared" si="5"/>
        <v>164.40740740740742</v>
      </c>
      <c r="L22" s="4">
        <f>'Instagram Ads Raw Data'!F22</f>
        <v>4439</v>
      </c>
      <c r="M22" s="16">
        <f t="shared" si="6"/>
        <v>2.0049683830171636</v>
      </c>
      <c r="N22" s="17">
        <f t="shared" si="7"/>
        <v>82</v>
      </c>
    </row>
    <row r="23" spans="1:14" ht="15.75" customHeight="1" x14ac:dyDescent="0.15">
      <c r="A23" s="2">
        <f>'Instagram Ads Raw Data'!A23</f>
        <v>45679</v>
      </c>
      <c r="B23" s="3">
        <f t="shared" si="0"/>
        <v>1</v>
      </c>
      <c r="C23" s="3">
        <f>'Instagram Ads Raw Data'!B23</f>
        <v>37897</v>
      </c>
      <c r="D23" s="3">
        <f t="shared" si="1"/>
        <v>1.2718684856321081E-2</v>
      </c>
      <c r="E23" s="3">
        <f>'Instagram Ads Raw Data'!C23</f>
        <v>482</v>
      </c>
      <c r="F23" s="15">
        <f t="shared" si="2"/>
        <v>1.3672199170124482</v>
      </c>
      <c r="G23" s="4">
        <f t="shared" si="3"/>
        <v>17.389239253766789</v>
      </c>
      <c r="H23" s="4">
        <f>'Instagram Ads Raw Data'!D23</f>
        <v>659</v>
      </c>
      <c r="I23" s="3">
        <f t="shared" si="4"/>
        <v>2.0746887966804978E-2</v>
      </c>
      <c r="J23" s="3">
        <f>'Instagram Ads Raw Data'!E23</f>
        <v>10</v>
      </c>
      <c r="K23" s="4">
        <f t="shared" si="5"/>
        <v>115.6</v>
      </c>
      <c r="L23" s="4">
        <f>'Instagram Ads Raw Data'!F23</f>
        <v>1156</v>
      </c>
      <c r="M23" s="16">
        <f t="shared" si="6"/>
        <v>1.7541729893778453</v>
      </c>
      <c r="N23" s="17">
        <f t="shared" si="7"/>
        <v>65.900000000000006</v>
      </c>
    </row>
    <row r="24" spans="1:14" ht="15.75" customHeight="1" x14ac:dyDescent="0.15">
      <c r="A24" s="2">
        <f>'Instagram Ads Raw Data'!A24</f>
        <v>45680</v>
      </c>
      <c r="B24" s="3">
        <f t="shared" si="0"/>
        <v>1</v>
      </c>
      <c r="C24" s="3">
        <f>'Instagram Ads Raw Data'!B24</f>
        <v>12972</v>
      </c>
      <c r="D24" s="3">
        <f t="shared" si="1"/>
        <v>1.2025901942645698E-2</v>
      </c>
      <c r="E24" s="3">
        <f>'Instagram Ads Raw Data'!C24</f>
        <v>156</v>
      </c>
      <c r="F24" s="15">
        <f t="shared" si="2"/>
        <v>0.9358974358974359</v>
      </c>
      <c r="G24" s="4">
        <f t="shared" si="3"/>
        <v>11.255010792476103</v>
      </c>
      <c r="H24" s="4">
        <f>'Instagram Ads Raw Data'!D24</f>
        <v>146</v>
      </c>
      <c r="I24" s="3">
        <f t="shared" si="4"/>
        <v>1.9230769230769232E-2</v>
      </c>
      <c r="J24" s="3">
        <f>'Instagram Ads Raw Data'!E24</f>
        <v>3</v>
      </c>
      <c r="K24" s="4">
        <f t="shared" si="5"/>
        <v>182</v>
      </c>
      <c r="L24" s="4">
        <f>'Instagram Ads Raw Data'!F24</f>
        <v>546</v>
      </c>
      <c r="M24" s="16">
        <f t="shared" si="6"/>
        <v>3.7397260273972601</v>
      </c>
      <c r="N24" s="17">
        <f t="shared" si="7"/>
        <v>48.666666666666664</v>
      </c>
    </row>
    <row r="25" spans="1:14" ht="15.75" customHeight="1" x14ac:dyDescent="0.15">
      <c r="A25" s="2">
        <f>'Instagram Ads Raw Data'!A25</f>
        <v>45681</v>
      </c>
      <c r="B25" s="3">
        <f t="shared" si="0"/>
        <v>1</v>
      </c>
      <c r="C25" s="3">
        <f>'Instagram Ads Raw Data'!B25</f>
        <v>71010</v>
      </c>
      <c r="D25" s="3">
        <f t="shared" si="1"/>
        <v>1.6406139980284468E-2</v>
      </c>
      <c r="E25" s="3">
        <f>'Instagram Ads Raw Data'!C25</f>
        <v>1165</v>
      </c>
      <c r="F25" s="15">
        <f t="shared" si="2"/>
        <v>1.5708154506437768</v>
      </c>
      <c r="G25" s="4">
        <f t="shared" si="3"/>
        <v>25.771018166455427</v>
      </c>
      <c r="H25" s="4">
        <f>'Instagram Ads Raw Data'!D25</f>
        <v>1830</v>
      </c>
      <c r="I25" s="3">
        <f t="shared" si="4"/>
        <v>2.0600858369098713E-2</v>
      </c>
      <c r="J25" s="3">
        <f>'Instagram Ads Raw Data'!E25</f>
        <v>24</v>
      </c>
      <c r="K25" s="4">
        <f t="shared" si="5"/>
        <v>211.08333333333334</v>
      </c>
      <c r="L25" s="4">
        <f>'Instagram Ads Raw Data'!F25</f>
        <v>5066</v>
      </c>
      <c r="M25" s="16">
        <f t="shared" si="6"/>
        <v>2.7683060109289617</v>
      </c>
      <c r="N25" s="17">
        <f t="shared" si="7"/>
        <v>76.25</v>
      </c>
    </row>
    <row r="26" spans="1:14" ht="15.75" customHeight="1" x14ac:dyDescent="0.15">
      <c r="A26" s="2">
        <f>'Instagram Ads Raw Data'!A26</f>
        <v>45682</v>
      </c>
      <c r="B26" s="3">
        <f t="shared" si="0"/>
        <v>1</v>
      </c>
      <c r="C26" s="3">
        <f>'Instagram Ads Raw Data'!B26</f>
        <v>43205</v>
      </c>
      <c r="D26" s="3">
        <f t="shared" si="1"/>
        <v>3.057516491146858E-2</v>
      </c>
      <c r="E26" s="3">
        <f>'Instagram Ads Raw Data'!C26</f>
        <v>1321</v>
      </c>
      <c r="F26" s="15">
        <f t="shared" si="2"/>
        <v>1.6426949280847842</v>
      </c>
      <c r="G26" s="4">
        <f t="shared" si="3"/>
        <v>50.225668325425303</v>
      </c>
      <c r="H26" s="4">
        <f>'Instagram Ads Raw Data'!D26</f>
        <v>2170</v>
      </c>
      <c r="I26" s="3">
        <f t="shared" si="4"/>
        <v>2.0439061317183951E-2</v>
      </c>
      <c r="J26" s="3">
        <f>'Instagram Ads Raw Data'!E26</f>
        <v>27</v>
      </c>
      <c r="K26" s="4">
        <f t="shared" si="5"/>
        <v>182.74074074074073</v>
      </c>
      <c r="L26" s="4">
        <f>'Instagram Ads Raw Data'!F26</f>
        <v>4934</v>
      </c>
      <c r="M26" s="16">
        <f t="shared" si="6"/>
        <v>2.2737327188940091</v>
      </c>
      <c r="N26" s="17">
        <f t="shared" si="7"/>
        <v>80.370370370370367</v>
      </c>
    </row>
    <row r="27" spans="1:14" ht="15.75" customHeight="1" x14ac:dyDescent="0.15">
      <c r="A27" s="2">
        <f>'Instagram Ads Raw Data'!A27</f>
        <v>45683</v>
      </c>
      <c r="B27" s="3">
        <f t="shared" si="0"/>
        <v>1</v>
      </c>
      <c r="C27" s="3">
        <f>'Instagram Ads Raw Data'!B27</f>
        <v>27299</v>
      </c>
      <c r="D27" s="3">
        <f t="shared" si="1"/>
        <v>1.2894245210447269E-2</v>
      </c>
      <c r="E27" s="3">
        <f>'Instagram Ads Raw Data'!C27</f>
        <v>352</v>
      </c>
      <c r="F27" s="15">
        <f t="shared" si="2"/>
        <v>1.5795454545454546</v>
      </c>
      <c r="G27" s="4">
        <f t="shared" si="3"/>
        <v>20.367046411956483</v>
      </c>
      <c r="H27" s="4">
        <f>'Instagram Ads Raw Data'!D27</f>
        <v>556</v>
      </c>
      <c r="I27" s="3">
        <f t="shared" si="4"/>
        <v>1.7045454545454544E-2</v>
      </c>
      <c r="J27" s="3">
        <f>'Instagram Ads Raw Data'!E27</f>
        <v>6</v>
      </c>
      <c r="K27" s="4">
        <f t="shared" si="5"/>
        <v>176.5</v>
      </c>
      <c r="L27" s="4">
        <f>'Instagram Ads Raw Data'!F27</f>
        <v>1059</v>
      </c>
      <c r="M27" s="16">
        <f t="shared" si="6"/>
        <v>1.9046762589928057</v>
      </c>
      <c r="N27" s="17">
        <f t="shared" si="7"/>
        <v>92.666666666666671</v>
      </c>
    </row>
    <row r="28" spans="1:14" ht="15.75" customHeight="1" x14ac:dyDescent="0.15">
      <c r="A28" s="2">
        <f>'Instagram Ads Raw Data'!A28</f>
        <v>45684</v>
      </c>
      <c r="B28" s="3">
        <f t="shared" si="0"/>
        <v>1</v>
      </c>
      <c r="C28" s="3">
        <f>'Instagram Ads Raw Data'!B28</f>
        <v>25667</v>
      </c>
      <c r="D28" s="3">
        <f t="shared" si="1"/>
        <v>1.4727081466474461E-2</v>
      </c>
      <c r="E28" s="3">
        <f>'Instagram Ads Raw Data'!C28</f>
        <v>378</v>
      </c>
      <c r="F28" s="15">
        <f t="shared" si="2"/>
        <v>1.9285714285714286</v>
      </c>
      <c r="G28" s="4">
        <f t="shared" si="3"/>
        <v>28.402228542486458</v>
      </c>
      <c r="H28" s="4">
        <f>'Instagram Ads Raw Data'!D28</f>
        <v>729</v>
      </c>
      <c r="I28" s="3">
        <f t="shared" si="4"/>
        <v>1.8518518518518517E-2</v>
      </c>
      <c r="J28" s="3">
        <f>'Instagram Ads Raw Data'!E28</f>
        <v>7</v>
      </c>
      <c r="K28" s="4">
        <f t="shared" si="5"/>
        <v>185.57142857142858</v>
      </c>
      <c r="L28" s="4">
        <f>'Instagram Ads Raw Data'!F28</f>
        <v>1299</v>
      </c>
      <c r="M28" s="16">
        <f t="shared" si="6"/>
        <v>1.7818930041152263</v>
      </c>
      <c r="N28" s="17">
        <f t="shared" si="7"/>
        <v>104.14285714285714</v>
      </c>
    </row>
    <row r="29" spans="1:14" ht="15.75" customHeight="1" x14ac:dyDescent="0.15">
      <c r="A29" s="2">
        <f>'Instagram Ads Raw Data'!A29</f>
        <v>45685</v>
      </c>
      <c r="B29" s="3">
        <f t="shared" si="0"/>
        <v>1</v>
      </c>
      <c r="C29" s="3">
        <f>'Instagram Ads Raw Data'!B29</f>
        <v>69148</v>
      </c>
      <c r="D29" s="3">
        <f t="shared" si="1"/>
        <v>9.8195175565453808E-3</v>
      </c>
      <c r="E29" s="3">
        <f>'Instagram Ads Raw Data'!C29</f>
        <v>679</v>
      </c>
      <c r="F29" s="15">
        <f t="shared" si="2"/>
        <v>1.8114874815905744</v>
      </c>
      <c r="G29" s="4">
        <f t="shared" si="3"/>
        <v>17.787933128940825</v>
      </c>
      <c r="H29" s="4">
        <f>'Instagram Ads Raw Data'!D29</f>
        <v>1230</v>
      </c>
      <c r="I29" s="3">
        <f t="shared" si="4"/>
        <v>2.5036818851251842E-2</v>
      </c>
      <c r="J29" s="3">
        <f>'Instagram Ads Raw Data'!E29</f>
        <v>17</v>
      </c>
      <c r="K29" s="4">
        <f t="shared" si="5"/>
        <v>198.41176470588235</v>
      </c>
      <c r="L29" s="4">
        <f>'Instagram Ads Raw Data'!F29</f>
        <v>3373</v>
      </c>
      <c r="M29" s="16">
        <f t="shared" si="6"/>
        <v>2.7422764227642276</v>
      </c>
      <c r="N29" s="17">
        <f t="shared" si="7"/>
        <v>72.352941176470594</v>
      </c>
    </row>
    <row r="30" spans="1:14" ht="15.75" customHeight="1" x14ac:dyDescent="0.15">
      <c r="A30" s="2">
        <f>'Instagram Ads Raw Data'!A30</f>
        <v>45686</v>
      </c>
      <c r="B30" s="3">
        <f t="shared" si="0"/>
        <v>1</v>
      </c>
      <c r="C30" s="3">
        <f>'Instagram Ads Raw Data'!B30</f>
        <v>28266</v>
      </c>
      <c r="D30" s="3">
        <f t="shared" si="1"/>
        <v>2.7630368640769828E-2</v>
      </c>
      <c r="E30" s="3">
        <f>'Instagram Ads Raw Data'!C30</f>
        <v>781</v>
      </c>
      <c r="F30" s="15">
        <f t="shared" si="2"/>
        <v>1.0358514724711907</v>
      </c>
      <c r="G30" s="4">
        <f t="shared" si="3"/>
        <v>28.620958041463243</v>
      </c>
      <c r="H30" s="4">
        <f>'Instagram Ads Raw Data'!D30</f>
        <v>809</v>
      </c>
      <c r="I30" s="3">
        <f t="shared" si="4"/>
        <v>1.5364916773367477E-2</v>
      </c>
      <c r="J30" s="3">
        <f>'Instagram Ads Raw Data'!E30</f>
        <v>12</v>
      </c>
      <c r="K30" s="4">
        <f t="shared" si="5"/>
        <v>204.16666666666666</v>
      </c>
      <c r="L30" s="4">
        <f>'Instagram Ads Raw Data'!F30</f>
        <v>2450</v>
      </c>
      <c r="M30" s="16">
        <f t="shared" si="6"/>
        <v>3.0284301606922126</v>
      </c>
      <c r="N30" s="17">
        <f t="shared" si="7"/>
        <v>67.416666666666671</v>
      </c>
    </row>
    <row r="31" spans="1:14" ht="15.75" customHeight="1" x14ac:dyDescent="0.15">
      <c r="A31" s="2">
        <f>'Instagram Ads Raw Data'!A31</f>
        <v>45687</v>
      </c>
      <c r="B31" s="3">
        <f t="shared" si="0"/>
        <v>1</v>
      </c>
      <c r="C31" s="3">
        <f>'Instagram Ads Raw Data'!B31</f>
        <v>47724</v>
      </c>
      <c r="D31" s="3">
        <f t="shared" si="1"/>
        <v>2.9167714357555947E-2</v>
      </c>
      <c r="E31" s="3">
        <f>'Instagram Ads Raw Data'!C31</f>
        <v>1392</v>
      </c>
      <c r="F31" s="15">
        <f t="shared" si="2"/>
        <v>1.7011494252873562</v>
      </c>
      <c r="G31" s="4">
        <f t="shared" si="3"/>
        <v>49.618640516302072</v>
      </c>
      <c r="H31" s="4">
        <f>'Instagram Ads Raw Data'!D31</f>
        <v>2368</v>
      </c>
      <c r="I31" s="3">
        <f t="shared" si="4"/>
        <v>1.8678160919540231E-2</v>
      </c>
      <c r="J31" s="3">
        <f>'Instagram Ads Raw Data'!E31</f>
        <v>26</v>
      </c>
      <c r="K31" s="4">
        <f t="shared" si="5"/>
        <v>130.61538461538461</v>
      </c>
      <c r="L31" s="4">
        <f>'Instagram Ads Raw Data'!F31</f>
        <v>3396</v>
      </c>
      <c r="M31" s="16">
        <f t="shared" si="6"/>
        <v>1.4341216216216217</v>
      </c>
      <c r="N31" s="17">
        <f t="shared" si="7"/>
        <v>91.07692307692308</v>
      </c>
    </row>
    <row r="32" spans="1:14" ht="15.75" customHeight="1" x14ac:dyDescent="0.15">
      <c r="A32" s="2">
        <f>'Instagram Ads Raw Data'!A32</f>
        <v>45688</v>
      </c>
      <c r="B32" s="3">
        <f t="shared" si="0"/>
        <v>1</v>
      </c>
      <c r="C32" s="3">
        <f>'Instagram Ads Raw Data'!B32</f>
        <v>77744</v>
      </c>
      <c r="D32" s="3">
        <f t="shared" si="1"/>
        <v>1.8496604239555466E-2</v>
      </c>
      <c r="E32" s="3">
        <f>'Instagram Ads Raw Data'!C32</f>
        <v>1438</v>
      </c>
      <c r="F32" s="15">
        <f t="shared" si="2"/>
        <v>1.5931849791376913</v>
      </c>
      <c r="G32" s="4">
        <f t="shared" si="3"/>
        <v>29.468512039514305</v>
      </c>
      <c r="H32" s="4">
        <f>'Instagram Ads Raw Data'!D32</f>
        <v>2291</v>
      </c>
      <c r="I32" s="3">
        <f t="shared" si="4"/>
        <v>2.2253129346314324E-2</v>
      </c>
      <c r="J32" s="3">
        <f>'Instagram Ads Raw Data'!E32</f>
        <v>32</v>
      </c>
      <c r="K32" s="4">
        <f t="shared" si="5"/>
        <v>143.3125</v>
      </c>
      <c r="L32" s="4">
        <f>'Instagram Ads Raw Data'!F32</f>
        <v>4586</v>
      </c>
      <c r="M32" s="16">
        <f t="shared" si="6"/>
        <v>2.0017459624618072</v>
      </c>
      <c r="N32" s="17">
        <f t="shared" si="7"/>
        <v>71.59375</v>
      </c>
    </row>
    <row r="33" spans="1:14" ht="15.75" customHeight="1" x14ac:dyDescent="0.15">
      <c r="A33" s="2">
        <f>'Instagram Ads Raw Data'!A33</f>
        <v>45689</v>
      </c>
      <c r="B33" s="3">
        <f t="shared" si="0"/>
        <v>2</v>
      </c>
      <c r="C33" s="3">
        <f>'Instagram Ads Raw Data'!B33</f>
        <v>99439</v>
      </c>
      <c r="D33" s="3">
        <f t="shared" si="1"/>
        <v>2.6086344392039339E-2</v>
      </c>
      <c r="E33" s="3">
        <f>'Instagram Ads Raw Data'!C33</f>
        <v>2594</v>
      </c>
      <c r="F33" s="15">
        <f t="shared" si="2"/>
        <v>1.0990747879722436</v>
      </c>
      <c r="G33" s="4">
        <f t="shared" si="3"/>
        <v>28.670843431651566</v>
      </c>
      <c r="H33" s="4">
        <f>'Instagram Ads Raw Data'!D33</f>
        <v>2851</v>
      </c>
      <c r="I33" s="3">
        <f t="shared" si="4"/>
        <v>2.1202775636083269E-2</v>
      </c>
      <c r="J33" s="3">
        <f>'Instagram Ads Raw Data'!E33</f>
        <v>55</v>
      </c>
      <c r="K33" s="4">
        <f t="shared" si="5"/>
        <v>133.38181818181818</v>
      </c>
      <c r="L33" s="4">
        <f>'Instagram Ads Raw Data'!F33</f>
        <v>7336</v>
      </c>
      <c r="M33" s="16">
        <f t="shared" si="6"/>
        <v>2.573132234303753</v>
      </c>
      <c r="N33" s="17">
        <f t="shared" si="7"/>
        <v>51.836363636363636</v>
      </c>
    </row>
    <row r="34" spans="1:14" ht="15.75" customHeight="1" x14ac:dyDescent="0.15">
      <c r="A34" s="2">
        <f>'Instagram Ads Raw Data'!A34</f>
        <v>45690</v>
      </c>
      <c r="B34" s="3">
        <f t="shared" si="0"/>
        <v>2</v>
      </c>
      <c r="C34" s="3">
        <f>'Instagram Ads Raw Data'!B34</f>
        <v>29408</v>
      </c>
      <c r="D34" s="3">
        <f t="shared" si="1"/>
        <v>1.404379760609358E-2</v>
      </c>
      <c r="E34" s="3">
        <f>'Instagram Ads Raw Data'!C34</f>
        <v>413</v>
      </c>
      <c r="F34" s="15">
        <f t="shared" si="2"/>
        <v>1.6682808716707023</v>
      </c>
      <c r="G34" s="4">
        <f t="shared" si="3"/>
        <v>23.428998911860717</v>
      </c>
      <c r="H34" s="4">
        <f>'Instagram Ads Raw Data'!D34</f>
        <v>689</v>
      </c>
      <c r="I34" s="3">
        <f t="shared" si="4"/>
        <v>1.9370460048426151E-2</v>
      </c>
      <c r="J34" s="3">
        <f>'Instagram Ads Raw Data'!E34</f>
        <v>8</v>
      </c>
      <c r="K34" s="4">
        <f t="shared" si="5"/>
        <v>176.25</v>
      </c>
      <c r="L34" s="4">
        <f>'Instagram Ads Raw Data'!F34</f>
        <v>1410</v>
      </c>
      <c r="M34" s="16">
        <f t="shared" si="6"/>
        <v>2.0464441219158198</v>
      </c>
      <c r="N34" s="17">
        <f t="shared" si="7"/>
        <v>86.125</v>
      </c>
    </row>
    <row r="35" spans="1:14" ht="15.75" customHeight="1" x14ac:dyDescent="0.15">
      <c r="A35" s="2">
        <f>'Instagram Ads Raw Data'!A35</f>
        <v>45691</v>
      </c>
      <c r="B35" s="3">
        <f t="shared" si="0"/>
        <v>2</v>
      </c>
      <c r="C35" s="3">
        <f>'Instagram Ads Raw Data'!B35</f>
        <v>27715</v>
      </c>
      <c r="D35" s="3">
        <f t="shared" si="1"/>
        <v>2.4066390041493777E-2</v>
      </c>
      <c r="E35" s="3">
        <f>'Instagram Ads Raw Data'!C35</f>
        <v>667</v>
      </c>
      <c r="F35" s="15">
        <f t="shared" si="2"/>
        <v>1.0389805097451275</v>
      </c>
      <c r="G35" s="4">
        <f t="shared" si="3"/>
        <v>25.004510193036261</v>
      </c>
      <c r="H35" s="4">
        <f>'Instagram Ads Raw Data'!D35</f>
        <v>693</v>
      </c>
      <c r="I35" s="3">
        <f t="shared" si="4"/>
        <v>2.0989505247376312E-2</v>
      </c>
      <c r="J35" s="3">
        <f>'Instagram Ads Raw Data'!E35</f>
        <v>14</v>
      </c>
      <c r="K35" s="4">
        <f t="shared" si="5"/>
        <v>164.71428571428572</v>
      </c>
      <c r="L35" s="4">
        <f>'Instagram Ads Raw Data'!F35</f>
        <v>2306</v>
      </c>
      <c r="M35" s="16">
        <f t="shared" si="6"/>
        <v>3.3275613275613276</v>
      </c>
      <c r="N35" s="17">
        <f t="shared" si="7"/>
        <v>49.5</v>
      </c>
    </row>
    <row r="36" spans="1:14" ht="15.75" customHeight="1" x14ac:dyDescent="0.15">
      <c r="A36" s="2">
        <f>'Instagram Ads Raw Data'!A36</f>
        <v>45692</v>
      </c>
      <c r="B36" s="3">
        <f t="shared" si="0"/>
        <v>2</v>
      </c>
      <c r="C36" s="3">
        <f>'Instagram Ads Raw Data'!B36</f>
        <v>15515</v>
      </c>
      <c r="D36" s="3">
        <f t="shared" si="1"/>
        <v>2.5974863035771834E-2</v>
      </c>
      <c r="E36" s="3">
        <f>'Instagram Ads Raw Data'!C36</f>
        <v>403</v>
      </c>
      <c r="F36" s="15">
        <f t="shared" si="2"/>
        <v>1.2009925558312655</v>
      </c>
      <c r="G36" s="4">
        <f t="shared" si="3"/>
        <v>31.195617144698677</v>
      </c>
      <c r="H36" s="4">
        <f>'Instagram Ads Raw Data'!D36</f>
        <v>484</v>
      </c>
      <c r="I36" s="3">
        <f t="shared" si="4"/>
        <v>1.7369727047146403E-2</v>
      </c>
      <c r="J36" s="3">
        <f>'Instagram Ads Raw Data'!E36</f>
        <v>7</v>
      </c>
      <c r="K36" s="4">
        <f t="shared" si="5"/>
        <v>149.85714285714286</v>
      </c>
      <c r="L36" s="4">
        <f>'Instagram Ads Raw Data'!F36</f>
        <v>1049</v>
      </c>
      <c r="M36" s="16">
        <f t="shared" si="6"/>
        <v>2.1673553719008263</v>
      </c>
      <c r="N36" s="17">
        <f t="shared" si="7"/>
        <v>69.142857142857139</v>
      </c>
    </row>
    <row r="37" spans="1:14" ht="15.75" customHeight="1" x14ac:dyDescent="0.15">
      <c r="A37" s="2">
        <f>'Instagram Ads Raw Data'!A37</f>
        <v>45693</v>
      </c>
      <c r="B37" s="3">
        <f t="shared" si="0"/>
        <v>2</v>
      </c>
      <c r="C37" s="3">
        <f>'Instagram Ads Raw Data'!B37</f>
        <v>70280</v>
      </c>
      <c r="D37" s="3">
        <f t="shared" si="1"/>
        <v>2.9553215708594194E-2</v>
      </c>
      <c r="E37" s="3">
        <f>'Instagram Ads Raw Data'!C37</f>
        <v>2077</v>
      </c>
      <c r="F37" s="15">
        <f t="shared" si="2"/>
        <v>1.9090033702455464</v>
      </c>
      <c r="G37" s="4">
        <f t="shared" si="3"/>
        <v>56.417188389299945</v>
      </c>
      <c r="H37" s="4">
        <f>'Instagram Ads Raw Data'!D37</f>
        <v>3965</v>
      </c>
      <c r="I37" s="3">
        <f t="shared" si="4"/>
        <v>1.6369764082811749E-2</v>
      </c>
      <c r="J37" s="3">
        <f>'Instagram Ads Raw Data'!E37</f>
        <v>34</v>
      </c>
      <c r="K37" s="4">
        <f t="shared" si="5"/>
        <v>207.47058823529412</v>
      </c>
      <c r="L37" s="4">
        <f>'Instagram Ads Raw Data'!F37</f>
        <v>7054</v>
      </c>
      <c r="M37" s="16">
        <f t="shared" si="6"/>
        <v>1.7790668348045398</v>
      </c>
      <c r="N37" s="17">
        <f t="shared" si="7"/>
        <v>116.61764705882354</v>
      </c>
    </row>
    <row r="38" spans="1:14" ht="15.75" customHeight="1" x14ac:dyDescent="0.15">
      <c r="A38" s="2">
        <f>'Instagram Ads Raw Data'!A38</f>
        <v>45694</v>
      </c>
      <c r="B38" s="3">
        <f t="shared" si="0"/>
        <v>2</v>
      </c>
      <c r="C38" s="3">
        <f>'Instagram Ads Raw Data'!B38</f>
        <v>81872</v>
      </c>
      <c r="D38" s="3">
        <f t="shared" si="1"/>
        <v>1.1371409028727771E-2</v>
      </c>
      <c r="E38" s="3">
        <f>'Instagram Ads Raw Data'!C38</f>
        <v>931</v>
      </c>
      <c r="F38" s="15">
        <f t="shared" si="2"/>
        <v>1.6283566058002148</v>
      </c>
      <c r="G38" s="4">
        <f t="shared" si="3"/>
        <v>18.516709009185071</v>
      </c>
      <c r="H38" s="4">
        <f>'Instagram Ads Raw Data'!D38</f>
        <v>1516</v>
      </c>
      <c r="I38" s="3">
        <f t="shared" si="4"/>
        <v>2.0408163265306121E-2</v>
      </c>
      <c r="J38" s="3">
        <f>'Instagram Ads Raw Data'!E38</f>
        <v>19</v>
      </c>
      <c r="K38" s="4">
        <f t="shared" si="5"/>
        <v>123.10526315789474</v>
      </c>
      <c r="L38" s="4">
        <f>'Instagram Ads Raw Data'!F38</f>
        <v>2339</v>
      </c>
      <c r="M38" s="16">
        <f t="shared" si="6"/>
        <v>1.5428759894459103</v>
      </c>
      <c r="N38" s="17">
        <f t="shared" si="7"/>
        <v>79.78947368421052</v>
      </c>
    </row>
    <row r="39" spans="1:14" ht="15.75" customHeight="1" x14ac:dyDescent="0.15">
      <c r="A39" s="2">
        <f>'Instagram Ads Raw Data'!A39</f>
        <v>45695</v>
      </c>
      <c r="B39" s="3">
        <f t="shared" si="0"/>
        <v>2</v>
      </c>
      <c r="C39" s="3">
        <f>'Instagram Ads Raw Data'!B39</f>
        <v>81286</v>
      </c>
      <c r="D39" s="3">
        <f t="shared" si="1"/>
        <v>2.7077233471938588E-2</v>
      </c>
      <c r="E39" s="3">
        <f>'Instagram Ads Raw Data'!C39</f>
        <v>2201</v>
      </c>
      <c r="F39" s="15">
        <f t="shared" si="2"/>
        <v>1.587005906406179</v>
      </c>
      <c r="G39" s="4">
        <f t="shared" si="3"/>
        <v>42.971729449105624</v>
      </c>
      <c r="H39" s="4">
        <f>'Instagram Ads Raw Data'!D39</f>
        <v>3493</v>
      </c>
      <c r="I39" s="3">
        <f t="shared" si="4"/>
        <v>1.6810540663334848E-2</v>
      </c>
      <c r="J39" s="3">
        <f>'Instagram Ads Raw Data'!E39</f>
        <v>37</v>
      </c>
      <c r="K39" s="4">
        <f t="shared" si="5"/>
        <v>176.83783783783784</v>
      </c>
      <c r="L39" s="4">
        <f>'Instagram Ads Raw Data'!F39</f>
        <v>6543</v>
      </c>
      <c r="M39" s="16">
        <f t="shared" si="6"/>
        <v>1.8731749212711137</v>
      </c>
      <c r="N39" s="17">
        <f t="shared" si="7"/>
        <v>94.405405405405403</v>
      </c>
    </row>
    <row r="40" spans="1:14" ht="15.75" customHeight="1" x14ac:dyDescent="0.15">
      <c r="A40" s="2">
        <f>'Instagram Ads Raw Data'!A40</f>
        <v>45696</v>
      </c>
      <c r="B40" s="3">
        <f t="shared" si="0"/>
        <v>2</v>
      </c>
      <c r="C40" s="3">
        <f>'Instagram Ads Raw Data'!B40</f>
        <v>77915</v>
      </c>
      <c r="D40" s="3">
        <f t="shared" si="1"/>
        <v>1.1743566707309248E-2</v>
      </c>
      <c r="E40" s="3">
        <f>'Instagram Ads Raw Data'!C40</f>
        <v>915</v>
      </c>
      <c r="F40" s="15">
        <f t="shared" si="2"/>
        <v>1.0098360655737706</v>
      </c>
      <c r="G40" s="4">
        <f t="shared" si="3"/>
        <v>11.859077199512289</v>
      </c>
      <c r="H40" s="4">
        <f>'Instagram Ads Raw Data'!D40</f>
        <v>924</v>
      </c>
      <c r="I40" s="3">
        <f t="shared" si="4"/>
        <v>1.8579234972677595E-2</v>
      </c>
      <c r="J40" s="3">
        <f>'Instagram Ads Raw Data'!E40</f>
        <v>17</v>
      </c>
      <c r="K40" s="4">
        <f t="shared" si="5"/>
        <v>184.76470588235293</v>
      </c>
      <c r="L40" s="4">
        <f>'Instagram Ads Raw Data'!F40</f>
        <v>3141</v>
      </c>
      <c r="M40" s="16">
        <f t="shared" si="6"/>
        <v>3.3993506493506493</v>
      </c>
      <c r="N40" s="17">
        <f t="shared" si="7"/>
        <v>54.352941176470587</v>
      </c>
    </row>
    <row r="41" spans="1:14" ht="15.75" customHeight="1" x14ac:dyDescent="0.15">
      <c r="A41" s="2">
        <f>'Instagram Ads Raw Data'!A41</f>
        <v>45697</v>
      </c>
      <c r="B41" s="3">
        <f t="shared" si="0"/>
        <v>2</v>
      </c>
      <c r="C41" s="3">
        <f>'Instagram Ads Raw Data'!B41</f>
        <v>60396</v>
      </c>
      <c r="D41" s="3">
        <f t="shared" si="1"/>
        <v>2.8097887277303134E-2</v>
      </c>
      <c r="E41" s="3">
        <f>'Instagram Ads Raw Data'!C41</f>
        <v>1697</v>
      </c>
      <c r="F41" s="15">
        <f t="shared" si="2"/>
        <v>1.9345904537418974</v>
      </c>
      <c r="G41" s="4">
        <f t="shared" si="3"/>
        <v>54.357904496986556</v>
      </c>
      <c r="H41" s="4">
        <f>'Instagram Ads Raw Data'!D41</f>
        <v>3283</v>
      </c>
      <c r="I41" s="3">
        <f t="shared" si="4"/>
        <v>1.1785503830288745E-2</v>
      </c>
      <c r="J41" s="3">
        <f>'Instagram Ads Raw Data'!E41</f>
        <v>20</v>
      </c>
      <c r="K41" s="4">
        <f t="shared" si="5"/>
        <v>131.35</v>
      </c>
      <c r="L41" s="4">
        <f>'Instagram Ads Raw Data'!F41</f>
        <v>2627</v>
      </c>
      <c r="M41" s="16">
        <f t="shared" si="6"/>
        <v>0.80018275967103258</v>
      </c>
      <c r="N41" s="17">
        <f t="shared" si="7"/>
        <v>164.15</v>
      </c>
    </row>
    <row r="42" spans="1:14" ht="15.75" customHeight="1" x14ac:dyDescent="0.15">
      <c r="A42" s="2">
        <f>'Instagram Ads Raw Data'!A42</f>
        <v>45698</v>
      </c>
      <c r="B42" s="3">
        <f t="shared" si="0"/>
        <v>2</v>
      </c>
      <c r="C42" s="3">
        <f>'Instagram Ads Raw Data'!B42</f>
        <v>43446</v>
      </c>
      <c r="D42" s="3">
        <f t="shared" si="1"/>
        <v>2.6354555079869262E-2</v>
      </c>
      <c r="E42" s="3">
        <f>'Instagram Ads Raw Data'!C42</f>
        <v>1145</v>
      </c>
      <c r="F42" s="15">
        <f t="shared" si="2"/>
        <v>1.1406113537117903</v>
      </c>
      <c r="G42" s="4">
        <f t="shared" si="3"/>
        <v>30.060304746121624</v>
      </c>
      <c r="H42" s="4">
        <f>'Instagram Ads Raw Data'!D42</f>
        <v>1306</v>
      </c>
      <c r="I42" s="3">
        <f t="shared" si="4"/>
        <v>2.6200873362445413E-2</v>
      </c>
      <c r="J42" s="3">
        <f>'Instagram Ads Raw Data'!E42</f>
        <v>30</v>
      </c>
      <c r="K42" s="4">
        <f t="shared" si="5"/>
        <v>199.23333333333332</v>
      </c>
      <c r="L42" s="4">
        <f>'Instagram Ads Raw Data'!F42</f>
        <v>5977</v>
      </c>
      <c r="M42" s="16">
        <f t="shared" si="6"/>
        <v>4.5765696784073508</v>
      </c>
      <c r="N42" s="17">
        <f t="shared" si="7"/>
        <v>43.533333333333331</v>
      </c>
    </row>
    <row r="43" spans="1:14" ht="15.75" customHeight="1" x14ac:dyDescent="0.15">
      <c r="A43" s="2">
        <f>'Instagram Ads Raw Data'!A43</f>
        <v>45699</v>
      </c>
      <c r="B43" s="3">
        <f t="shared" si="0"/>
        <v>2</v>
      </c>
      <c r="C43" s="3">
        <f>'Instagram Ads Raw Data'!B43</f>
        <v>70724</v>
      </c>
      <c r="D43" s="3">
        <f t="shared" si="1"/>
        <v>2.6935693682484021E-2</v>
      </c>
      <c r="E43" s="3">
        <f>'Instagram Ads Raw Data'!C43</f>
        <v>1905</v>
      </c>
      <c r="F43" s="15">
        <f t="shared" si="2"/>
        <v>1.1679790026246719</v>
      </c>
      <c r="G43" s="4">
        <f t="shared" si="3"/>
        <v>31.460324642271363</v>
      </c>
      <c r="H43" s="4">
        <f>'Instagram Ads Raw Data'!D43</f>
        <v>2225</v>
      </c>
      <c r="I43" s="3">
        <f t="shared" si="4"/>
        <v>1.3123359580052493E-2</v>
      </c>
      <c r="J43" s="3">
        <f>'Instagram Ads Raw Data'!E43</f>
        <v>25</v>
      </c>
      <c r="K43" s="4">
        <f t="shared" si="5"/>
        <v>213.16</v>
      </c>
      <c r="L43" s="4">
        <f>'Instagram Ads Raw Data'!F43</f>
        <v>5329</v>
      </c>
      <c r="M43" s="16">
        <f t="shared" si="6"/>
        <v>2.3950561797752807</v>
      </c>
      <c r="N43" s="17">
        <f t="shared" si="7"/>
        <v>89</v>
      </c>
    </row>
    <row r="44" spans="1:14" ht="15.75" customHeight="1" x14ac:dyDescent="0.15">
      <c r="A44" s="2">
        <f>'Instagram Ads Raw Data'!A44</f>
        <v>45700</v>
      </c>
      <c r="B44" s="3">
        <f t="shared" si="0"/>
        <v>2</v>
      </c>
      <c r="C44" s="3">
        <f>'Instagram Ads Raw Data'!B44</f>
        <v>85306</v>
      </c>
      <c r="D44" s="3">
        <f t="shared" si="1"/>
        <v>1.9588305629146836E-2</v>
      </c>
      <c r="E44" s="3">
        <f>'Instagram Ads Raw Data'!C44</f>
        <v>1671</v>
      </c>
      <c r="F44" s="15">
        <f t="shared" si="2"/>
        <v>0.98384201077199285</v>
      </c>
      <c r="G44" s="4">
        <f t="shared" si="3"/>
        <v>19.27179799779617</v>
      </c>
      <c r="H44" s="4">
        <f>'Instagram Ads Raw Data'!D44</f>
        <v>1644</v>
      </c>
      <c r="I44" s="3">
        <f t="shared" si="4"/>
        <v>1.5559545182525433E-2</v>
      </c>
      <c r="J44" s="3">
        <f>'Instagram Ads Raw Data'!E44</f>
        <v>26</v>
      </c>
      <c r="K44" s="4">
        <f t="shared" si="5"/>
        <v>182.15384615384616</v>
      </c>
      <c r="L44" s="4">
        <f>'Instagram Ads Raw Data'!F44</f>
        <v>4736</v>
      </c>
      <c r="M44" s="16">
        <f t="shared" si="6"/>
        <v>2.8807785888077859</v>
      </c>
      <c r="N44" s="17">
        <f t="shared" si="7"/>
        <v>63.230769230769234</v>
      </c>
    </row>
    <row r="45" spans="1:14" ht="13" x14ac:dyDescent="0.15">
      <c r="A45" s="2">
        <f>'Instagram Ads Raw Data'!A45</f>
        <v>45701</v>
      </c>
      <c r="B45" s="3">
        <f t="shared" si="0"/>
        <v>2</v>
      </c>
      <c r="C45" s="3">
        <f>'Instagram Ads Raw Data'!B45</f>
        <v>23751</v>
      </c>
      <c r="D45" s="3">
        <f t="shared" si="1"/>
        <v>2.2483263862574206E-2</v>
      </c>
      <c r="E45" s="3">
        <f>'Instagram Ads Raw Data'!C45</f>
        <v>534</v>
      </c>
      <c r="F45" s="15">
        <f t="shared" si="2"/>
        <v>1.3932584269662922</v>
      </c>
      <c r="G45" s="4">
        <f t="shared" si="3"/>
        <v>31.324996842238221</v>
      </c>
      <c r="H45" s="4">
        <f>'Instagram Ads Raw Data'!D45</f>
        <v>744</v>
      </c>
      <c r="I45" s="3">
        <f t="shared" si="4"/>
        <v>2.0599250936329586E-2</v>
      </c>
      <c r="J45" s="3">
        <f>'Instagram Ads Raw Data'!E45</f>
        <v>11</v>
      </c>
      <c r="K45" s="4">
        <f t="shared" si="5"/>
        <v>165.36363636363637</v>
      </c>
      <c r="L45" s="4">
        <f>'Instagram Ads Raw Data'!F45</f>
        <v>1819</v>
      </c>
      <c r="M45" s="16">
        <f t="shared" si="6"/>
        <v>2.4448924731182795</v>
      </c>
      <c r="N45" s="17">
        <f t="shared" si="7"/>
        <v>67.63636363636364</v>
      </c>
    </row>
    <row r="46" spans="1:14" ht="13" x14ac:dyDescent="0.15">
      <c r="A46" s="2">
        <f>'Instagram Ads Raw Data'!A46</f>
        <v>45702</v>
      </c>
      <c r="B46" s="3">
        <f t="shared" si="0"/>
        <v>2</v>
      </c>
      <c r="C46" s="3">
        <f>'Instagram Ads Raw Data'!B46</f>
        <v>82792</v>
      </c>
      <c r="D46" s="3">
        <f t="shared" si="1"/>
        <v>2.3528843366508841E-2</v>
      </c>
      <c r="E46" s="3">
        <f>'Instagram Ads Raw Data'!C46</f>
        <v>1948</v>
      </c>
      <c r="F46" s="15">
        <f t="shared" si="2"/>
        <v>1.3069815195071868</v>
      </c>
      <c r="G46" s="4">
        <f t="shared" si="3"/>
        <v>30.751763455406319</v>
      </c>
      <c r="H46" s="4">
        <f>'Instagram Ads Raw Data'!D46</f>
        <v>2546</v>
      </c>
      <c r="I46" s="3">
        <f t="shared" si="4"/>
        <v>1.8993839835728953E-2</v>
      </c>
      <c r="J46" s="3">
        <f>'Instagram Ads Raw Data'!E46</f>
        <v>37</v>
      </c>
      <c r="K46" s="4">
        <f t="shared" si="5"/>
        <v>182.64864864864865</v>
      </c>
      <c r="L46" s="4">
        <f>'Instagram Ads Raw Data'!F46</f>
        <v>6758</v>
      </c>
      <c r="M46" s="16">
        <f t="shared" si="6"/>
        <v>2.6543597800471326</v>
      </c>
      <c r="N46" s="17">
        <f t="shared" si="7"/>
        <v>68.810810810810807</v>
      </c>
    </row>
    <row r="47" spans="1:14" ht="13" x14ac:dyDescent="0.15">
      <c r="A47" s="2">
        <f>'Instagram Ads Raw Data'!A47</f>
        <v>45703</v>
      </c>
      <c r="B47" s="3">
        <f t="shared" si="0"/>
        <v>2</v>
      </c>
      <c r="C47" s="3">
        <f>'Instagram Ads Raw Data'!B47</f>
        <v>68924</v>
      </c>
      <c r="D47" s="3">
        <f t="shared" si="1"/>
        <v>2.7697173698566536E-2</v>
      </c>
      <c r="E47" s="3">
        <f>'Instagram Ads Raw Data'!C47</f>
        <v>1909</v>
      </c>
      <c r="F47" s="15">
        <f t="shared" si="2"/>
        <v>1.7647983237297014</v>
      </c>
      <c r="G47" s="4">
        <f t="shared" si="3"/>
        <v>48.879925715280592</v>
      </c>
      <c r="H47" s="4">
        <f>'Instagram Ads Raw Data'!D47</f>
        <v>3369</v>
      </c>
      <c r="I47" s="3">
        <f t="shared" si="4"/>
        <v>1.2048192771084338E-2</v>
      </c>
      <c r="J47" s="3">
        <f>'Instagram Ads Raw Data'!E47</f>
        <v>23</v>
      </c>
      <c r="K47" s="4">
        <f t="shared" si="5"/>
        <v>199.39130434782609</v>
      </c>
      <c r="L47" s="4">
        <f>'Instagram Ads Raw Data'!F47</f>
        <v>4586</v>
      </c>
      <c r="M47" s="16">
        <f t="shared" si="6"/>
        <v>1.3612347877708519</v>
      </c>
      <c r="N47" s="17">
        <f t="shared" si="7"/>
        <v>146.47826086956522</v>
      </c>
    </row>
    <row r="48" spans="1:14" ht="13" x14ac:dyDescent="0.15">
      <c r="A48" s="2">
        <f>'Instagram Ads Raw Data'!A48</f>
        <v>45704</v>
      </c>
      <c r="B48" s="3">
        <f t="shared" si="0"/>
        <v>2</v>
      </c>
      <c r="C48" s="3">
        <f>'Instagram Ads Raw Data'!B48</f>
        <v>13626</v>
      </c>
      <c r="D48" s="3">
        <f t="shared" si="1"/>
        <v>1.4384265375018346E-2</v>
      </c>
      <c r="E48" s="3">
        <f>'Instagram Ads Raw Data'!C48</f>
        <v>196</v>
      </c>
      <c r="F48" s="15">
        <f t="shared" si="2"/>
        <v>1.8979591836734695</v>
      </c>
      <c r="G48" s="4">
        <f t="shared" si="3"/>
        <v>27.300748568912375</v>
      </c>
      <c r="H48" s="4">
        <f>'Instagram Ads Raw Data'!D48</f>
        <v>372</v>
      </c>
      <c r="I48" s="3">
        <f t="shared" si="4"/>
        <v>2.0408163265306121E-2</v>
      </c>
      <c r="J48" s="3">
        <f>'Instagram Ads Raw Data'!E48</f>
        <v>4</v>
      </c>
      <c r="K48" s="4">
        <f t="shared" si="5"/>
        <v>194</v>
      </c>
      <c r="L48" s="4">
        <f>'Instagram Ads Raw Data'!F48</f>
        <v>776</v>
      </c>
      <c r="M48" s="16">
        <f t="shared" si="6"/>
        <v>2.086021505376344</v>
      </c>
      <c r="N48" s="17">
        <f t="shared" si="7"/>
        <v>93</v>
      </c>
    </row>
    <row r="49" spans="1:14" ht="13" x14ac:dyDescent="0.15">
      <c r="A49" s="2">
        <f>'Instagram Ads Raw Data'!A49</f>
        <v>45705</v>
      </c>
      <c r="B49" s="3">
        <f t="shared" si="0"/>
        <v>2</v>
      </c>
      <c r="C49" s="3">
        <f>'Instagram Ads Raw Data'!B49</f>
        <v>10725</v>
      </c>
      <c r="D49" s="3">
        <f t="shared" si="1"/>
        <v>1.6317016317016316E-2</v>
      </c>
      <c r="E49" s="3">
        <f>'Instagram Ads Raw Data'!C49</f>
        <v>175</v>
      </c>
      <c r="F49" s="15">
        <f t="shared" si="2"/>
        <v>2.0514285714285716</v>
      </c>
      <c r="G49" s="4">
        <f t="shared" si="3"/>
        <v>33.473193473193476</v>
      </c>
      <c r="H49" s="4">
        <f>'Instagram Ads Raw Data'!D49</f>
        <v>359</v>
      </c>
      <c r="I49" s="3">
        <f t="shared" si="4"/>
        <v>1.7142857142857144E-2</v>
      </c>
      <c r="J49" s="3">
        <f>'Instagram Ads Raw Data'!E49</f>
        <v>3</v>
      </c>
      <c r="K49" s="4">
        <f t="shared" si="5"/>
        <v>249.66666666666666</v>
      </c>
      <c r="L49" s="4">
        <f>'Instagram Ads Raw Data'!F49</f>
        <v>749</v>
      </c>
      <c r="M49" s="16">
        <f t="shared" si="6"/>
        <v>2.0863509749303621</v>
      </c>
      <c r="N49" s="17">
        <f t="shared" si="7"/>
        <v>119.66666666666667</v>
      </c>
    </row>
    <row r="50" spans="1:14" ht="13" x14ac:dyDescent="0.15">
      <c r="A50" s="2">
        <f>'Instagram Ads Raw Data'!A50</f>
        <v>45706</v>
      </c>
      <c r="B50" s="3">
        <f t="shared" si="0"/>
        <v>2</v>
      </c>
      <c r="C50" s="3">
        <f>'Instagram Ads Raw Data'!B50</f>
        <v>50562</v>
      </c>
      <c r="D50" s="3">
        <f t="shared" si="1"/>
        <v>1.3527945888216448E-2</v>
      </c>
      <c r="E50" s="3">
        <f>'Instagram Ads Raw Data'!C50</f>
        <v>684</v>
      </c>
      <c r="F50" s="15">
        <f t="shared" si="2"/>
        <v>2.1257309941520468</v>
      </c>
      <c r="G50" s="4">
        <f t="shared" si="3"/>
        <v>28.756773861793445</v>
      </c>
      <c r="H50" s="4">
        <f>'Instagram Ads Raw Data'!D50</f>
        <v>1454</v>
      </c>
      <c r="I50" s="3">
        <f t="shared" si="4"/>
        <v>1.3157894736842105E-2</v>
      </c>
      <c r="J50" s="3">
        <f>'Instagram Ads Raw Data'!E50</f>
        <v>9</v>
      </c>
      <c r="K50" s="4">
        <f t="shared" si="5"/>
        <v>191</v>
      </c>
      <c r="L50" s="4">
        <f>'Instagram Ads Raw Data'!F50</f>
        <v>1719</v>
      </c>
      <c r="M50" s="16">
        <f t="shared" si="6"/>
        <v>1.1822558459422283</v>
      </c>
      <c r="N50" s="17">
        <f t="shared" si="7"/>
        <v>161.55555555555554</v>
      </c>
    </row>
    <row r="51" spans="1:14" ht="13" x14ac:dyDescent="0.15">
      <c r="A51" s="2">
        <f>'Instagram Ads Raw Data'!A51</f>
        <v>45707</v>
      </c>
      <c r="B51" s="3">
        <f t="shared" si="0"/>
        <v>2</v>
      </c>
      <c r="C51" s="3">
        <f>'Instagram Ads Raw Data'!B51</f>
        <v>27479</v>
      </c>
      <c r="D51" s="3">
        <f t="shared" si="1"/>
        <v>2.3181338476654899E-2</v>
      </c>
      <c r="E51" s="3">
        <f>'Instagram Ads Raw Data'!C51</f>
        <v>637</v>
      </c>
      <c r="F51" s="15">
        <f t="shared" si="2"/>
        <v>1.957613814756672</v>
      </c>
      <c r="G51" s="4">
        <f t="shared" si="3"/>
        <v>45.380108446450016</v>
      </c>
      <c r="H51" s="4">
        <f>'Instagram Ads Raw Data'!D51</f>
        <v>1247</v>
      </c>
      <c r="I51" s="3">
        <f t="shared" si="4"/>
        <v>1.8838304552590265E-2</v>
      </c>
      <c r="J51" s="3">
        <f>'Instagram Ads Raw Data'!E51</f>
        <v>12</v>
      </c>
      <c r="K51" s="4">
        <f t="shared" si="5"/>
        <v>121</v>
      </c>
      <c r="L51" s="4">
        <f>'Instagram Ads Raw Data'!F51</f>
        <v>1452</v>
      </c>
      <c r="M51" s="16">
        <f t="shared" si="6"/>
        <v>1.1643945469125903</v>
      </c>
      <c r="N51" s="17">
        <f t="shared" si="7"/>
        <v>103.91666666666667</v>
      </c>
    </row>
    <row r="52" spans="1:14" ht="13" x14ac:dyDescent="0.15">
      <c r="A52" s="2">
        <f>'Instagram Ads Raw Data'!A52</f>
        <v>45708</v>
      </c>
      <c r="B52" s="3">
        <f t="shared" si="0"/>
        <v>2</v>
      </c>
      <c r="C52" s="3">
        <f>'Instagram Ads Raw Data'!B52</f>
        <v>75592</v>
      </c>
      <c r="D52" s="3">
        <f t="shared" si="1"/>
        <v>1.5649804212085935E-2</v>
      </c>
      <c r="E52" s="3">
        <f>'Instagram Ads Raw Data'!C52</f>
        <v>1183</v>
      </c>
      <c r="F52" s="15">
        <f t="shared" si="2"/>
        <v>1.8672865595942518</v>
      </c>
      <c r="G52" s="4">
        <f t="shared" si="3"/>
        <v>29.222669065509578</v>
      </c>
      <c r="H52" s="4">
        <f>'Instagram Ads Raw Data'!D52</f>
        <v>2209</v>
      </c>
      <c r="I52" s="3">
        <f t="shared" si="4"/>
        <v>2.3668639053254437E-2</v>
      </c>
      <c r="J52" s="3">
        <f>'Instagram Ads Raw Data'!E52</f>
        <v>28</v>
      </c>
      <c r="K52" s="4">
        <f t="shared" si="5"/>
        <v>164.07142857142858</v>
      </c>
      <c r="L52" s="4">
        <f>'Instagram Ads Raw Data'!F52</f>
        <v>4594</v>
      </c>
      <c r="M52" s="16">
        <f t="shared" si="6"/>
        <v>2.0796740606609325</v>
      </c>
      <c r="N52" s="17">
        <f t="shared" si="7"/>
        <v>78.892857142857139</v>
      </c>
    </row>
    <row r="53" spans="1:14" ht="13" x14ac:dyDescent="0.15">
      <c r="A53" s="2">
        <f>'Instagram Ads Raw Data'!A53</f>
        <v>45709</v>
      </c>
      <c r="B53" s="3">
        <f t="shared" si="0"/>
        <v>2</v>
      </c>
      <c r="C53" s="3">
        <f>'Instagram Ads Raw Data'!B53</f>
        <v>91898</v>
      </c>
      <c r="D53" s="3">
        <f t="shared" si="1"/>
        <v>1.0598707262399617E-2</v>
      </c>
      <c r="E53" s="3">
        <f>'Instagram Ads Raw Data'!C53</f>
        <v>974</v>
      </c>
      <c r="F53" s="15">
        <f t="shared" si="2"/>
        <v>1.7535934291581108</v>
      </c>
      <c r="G53" s="4">
        <f t="shared" si="3"/>
        <v>18.585823412914319</v>
      </c>
      <c r="H53" s="4">
        <f>'Instagram Ads Raw Data'!D53</f>
        <v>1708</v>
      </c>
      <c r="I53" s="3">
        <f t="shared" si="4"/>
        <v>1.3347022587268994E-2</v>
      </c>
      <c r="J53" s="3">
        <f>'Instagram Ads Raw Data'!E53</f>
        <v>13</v>
      </c>
      <c r="K53" s="4">
        <f t="shared" si="5"/>
        <v>118.53846153846153</v>
      </c>
      <c r="L53" s="4">
        <f>'Instagram Ads Raw Data'!F53</f>
        <v>1541</v>
      </c>
      <c r="M53" s="16">
        <f t="shared" si="6"/>
        <v>0.90222482435597184</v>
      </c>
      <c r="N53" s="17">
        <f t="shared" si="7"/>
        <v>131.38461538461539</v>
      </c>
    </row>
    <row r="54" spans="1:14" ht="13" x14ac:dyDescent="0.15">
      <c r="A54" s="2">
        <f>'Instagram Ads Raw Data'!A54</f>
        <v>45710</v>
      </c>
      <c r="B54" s="3">
        <f t="shared" si="0"/>
        <v>2</v>
      </c>
      <c r="C54" s="3">
        <f>'Instagram Ads Raw Data'!B54</f>
        <v>61770</v>
      </c>
      <c r="D54" s="3">
        <f t="shared" si="1"/>
        <v>1.342075441152663E-2</v>
      </c>
      <c r="E54" s="3">
        <f>'Instagram Ads Raw Data'!C54</f>
        <v>829</v>
      </c>
      <c r="F54" s="15">
        <f t="shared" si="2"/>
        <v>1.985524728588661</v>
      </c>
      <c r="G54" s="4">
        <f t="shared" si="3"/>
        <v>26.647239760401487</v>
      </c>
      <c r="H54" s="4">
        <f>'Instagram Ads Raw Data'!D54</f>
        <v>1646</v>
      </c>
      <c r="I54" s="3">
        <f t="shared" si="4"/>
        <v>1.8094089264173704E-2</v>
      </c>
      <c r="J54" s="3">
        <f>'Instagram Ads Raw Data'!E54</f>
        <v>15</v>
      </c>
      <c r="K54" s="4">
        <f t="shared" si="5"/>
        <v>152.33333333333334</v>
      </c>
      <c r="L54" s="4">
        <f>'Instagram Ads Raw Data'!F54</f>
        <v>2285</v>
      </c>
      <c r="M54" s="16">
        <f t="shared" si="6"/>
        <v>1.388213851761847</v>
      </c>
      <c r="N54" s="17">
        <f t="shared" si="7"/>
        <v>109.73333333333333</v>
      </c>
    </row>
    <row r="55" spans="1:14" ht="13" x14ac:dyDescent="0.15">
      <c r="A55" s="2">
        <f>'Instagram Ads Raw Data'!A55</f>
        <v>45711</v>
      </c>
      <c r="B55" s="3">
        <f t="shared" si="0"/>
        <v>2</v>
      </c>
      <c r="C55" s="3">
        <f>'Instagram Ads Raw Data'!B55</f>
        <v>82545</v>
      </c>
      <c r="D55" s="3">
        <f t="shared" si="1"/>
        <v>1.1448300926767218E-2</v>
      </c>
      <c r="E55" s="3">
        <f>'Instagram Ads Raw Data'!C55</f>
        <v>945</v>
      </c>
      <c r="F55" s="15">
        <f t="shared" si="2"/>
        <v>1.7206349206349207</v>
      </c>
      <c r="G55" s="4">
        <f t="shared" si="3"/>
        <v>19.698346356532799</v>
      </c>
      <c r="H55" s="4">
        <f>'Instagram Ads Raw Data'!D55</f>
        <v>1626</v>
      </c>
      <c r="I55" s="3">
        <f t="shared" si="4"/>
        <v>2.328042328042328E-2</v>
      </c>
      <c r="J55" s="3">
        <f>'Instagram Ads Raw Data'!E55</f>
        <v>22</v>
      </c>
      <c r="K55" s="4">
        <f t="shared" si="5"/>
        <v>205</v>
      </c>
      <c r="L55" s="4">
        <f>'Instagram Ads Raw Data'!F55</f>
        <v>4510</v>
      </c>
      <c r="M55" s="16">
        <f t="shared" si="6"/>
        <v>2.7736777367773677</v>
      </c>
      <c r="N55" s="17">
        <f t="shared" si="7"/>
        <v>73.909090909090907</v>
      </c>
    </row>
    <row r="56" spans="1:14" ht="13" x14ac:dyDescent="0.15">
      <c r="A56" s="2">
        <f>'Instagram Ads Raw Data'!A56</f>
        <v>45712</v>
      </c>
      <c r="B56" s="3">
        <f t="shared" si="0"/>
        <v>2</v>
      </c>
      <c r="C56" s="3">
        <f>'Instagram Ads Raw Data'!B56</f>
        <v>16999</v>
      </c>
      <c r="D56" s="3">
        <f t="shared" si="1"/>
        <v>2.6589799399964704E-2</v>
      </c>
      <c r="E56" s="3">
        <f>'Instagram Ads Raw Data'!C56</f>
        <v>452</v>
      </c>
      <c r="F56" s="15">
        <f t="shared" si="2"/>
        <v>1.2743362831858407</v>
      </c>
      <c r="G56" s="4">
        <f t="shared" si="3"/>
        <v>33.884346138008119</v>
      </c>
      <c r="H56" s="4">
        <f>'Instagram Ads Raw Data'!D56</f>
        <v>576</v>
      </c>
      <c r="I56" s="3">
        <f t="shared" si="4"/>
        <v>1.3274336283185841E-2</v>
      </c>
      <c r="J56" s="3">
        <f>'Instagram Ads Raw Data'!E56</f>
        <v>6</v>
      </c>
      <c r="K56" s="4">
        <f t="shared" si="5"/>
        <v>118.5</v>
      </c>
      <c r="L56" s="4">
        <f>'Instagram Ads Raw Data'!F56</f>
        <v>711</v>
      </c>
      <c r="M56" s="16">
        <f t="shared" si="6"/>
        <v>1.234375</v>
      </c>
      <c r="N56" s="17">
        <f t="shared" si="7"/>
        <v>96</v>
      </c>
    </row>
    <row r="57" spans="1:14" ht="13" x14ac:dyDescent="0.15">
      <c r="A57" s="2">
        <f>'Instagram Ads Raw Data'!A57</f>
        <v>45713</v>
      </c>
      <c r="B57" s="3">
        <f t="shared" si="0"/>
        <v>2</v>
      </c>
      <c r="C57" s="3">
        <f>'Instagram Ads Raw Data'!B57</f>
        <v>61190</v>
      </c>
      <c r="D57" s="3">
        <f t="shared" si="1"/>
        <v>1.3270142180094787E-2</v>
      </c>
      <c r="E57" s="3">
        <f>'Instagram Ads Raw Data'!C57</f>
        <v>812</v>
      </c>
      <c r="F57" s="15">
        <f t="shared" si="2"/>
        <v>1.2487684729064039</v>
      </c>
      <c r="G57" s="4">
        <f t="shared" si="3"/>
        <v>16.571335185487825</v>
      </c>
      <c r="H57" s="4">
        <f>'Instagram Ads Raw Data'!D57</f>
        <v>1014</v>
      </c>
      <c r="I57" s="3">
        <f t="shared" si="4"/>
        <v>1.8472906403940888E-2</v>
      </c>
      <c r="J57" s="3">
        <f>'Instagram Ads Raw Data'!E57</f>
        <v>15</v>
      </c>
      <c r="K57" s="4">
        <f t="shared" si="5"/>
        <v>122.4</v>
      </c>
      <c r="L57" s="4">
        <f>'Instagram Ads Raw Data'!F57</f>
        <v>1836</v>
      </c>
      <c r="M57" s="16">
        <f t="shared" si="6"/>
        <v>1.8106508875739644</v>
      </c>
      <c r="N57" s="17">
        <f t="shared" si="7"/>
        <v>67.599999999999994</v>
      </c>
    </row>
    <row r="58" spans="1:14" ht="13" x14ac:dyDescent="0.15">
      <c r="A58" s="2">
        <f>'Instagram Ads Raw Data'!A58</f>
        <v>45714</v>
      </c>
      <c r="B58" s="3">
        <f t="shared" si="0"/>
        <v>2</v>
      </c>
      <c r="C58" s="3">
        <f>'Instagram Ads Raw Data'!B58</f>
        <v>89019</v>
      </c>
      <c r="D58" s="3">
        <f t="shared" si="1"/>
        <v>2.4388051988901246E-2</v>
      </c>
      <c r="E58" s="3">
        <f>'Instagram Ads Raw Data'!C58</f>
        <v>2171</v>
      </c>
      <c r="F58" s="15">
        <f t="shared" si="2"/>
        <v>1.4440350069092585</v>
      </c>
      <c r="G58" s="4">
        <f t="shared" si="3"/>
        <v>35.217200822296363</v>
      </c>
      <c r="H58" s="4">
        <f>'Instagram Ads Raw Data'!D58</f>
        <v>3135</v>
      </c>
      <c r="I58" s="3">
        <f t="shared" si="4"/>
        <v>1.704283740211884E-2</v>
      </c>
      <c r="J58" s="3">
        <f>'Instagram Ads Raw Data'!E58</f>
        <v>37</v>
      </c>
      <c r="K58" s="4">
        <f t="shared" si="5"/>
        <v>162.29729729729729</v>
      </c>
      <c r="L58" s="4">
        <f>'Instagram Ads Raw Data'!F58</f>
        <v>6005</v>
      </c>
      <c r="M58" s="16">
        <f t="shared" si="6"/>
        <v>1.9154704944178629</v>
      </c>
      <c r="N58" s="17">
        <f t="shared" si="7"/>
        <v>84.729729729729726</v>
      </c>
    </row>
    <row r="59" spans="1:14" ht="13" x14ac:dyDescent="0.15">
      <c r="A59" s="2">
        <f>'Instagram Ads Raw Data'!A59</f>
        <v>45715</v>
      </c>
      <c r="B59" s="3">
        <f t="shared" si="0"/>
        <v>2</v>
      </c>
      <c r="C59" s="3">
        <f>'Instagram Ads Raw Data'!B59</f>
        <v>42261</v>
      </c>
      <c r="D59" s="3">
        <f t="shared" si="1"/>
        <v>3.0027685099737345E-2</v>
      </c>
      <c r="E59" s="3">
        <f>'Instagram Ads Raw Data'!C59</f>
        <v>1269</v>
      </c>
      <c r="F59" s="15">
        <f t="shared" si="2"/>
        <v>1.6201733648542158</v>
      </c>
      <c r="G59" s="4">
        <f t="shared" si="3"/>
        <v>48.650055606824253</v>
      </c>
      <c r="H59" s="4">
        <f>'Instagram Ads Raw Data'!D59</f>
        <v>2056</v>
      </c>
      <c r="I59" s="3">
        <f t="shared" si="4"/>
        <v>1.3396375098502758E-2</v>
      </c>
      <c r="J59" s="3">
        <f>'Instagram Ads Raw Data'!E59</f>
        <v>17</v>
      </c>
      <c r="K59" s="4">
        <f t="shared" si="5"/>
        <v>190.29411764705881</v>
      </c>
      <c r="L59" s="4">
        <f>'Instagram Ads Raw Data'!F59</f>
        <v>3235</v>
      </c>
      <c r="M59" s="16">
        <f t="shared" si="6"/>
        <v>1.5734435797665369</v>
      </c>
      <c r="N59" s="17">
        <f t="shared" si="7"/>
        <v>120.94117647058823</v>
      </c>
    </row>
    <row r="60" spans="1:14" ht="13" x14ac:dyDescent="0.15">
      <c r="A60" s="2">
        <f>'Instagram Ads Raw Data'!A60</f>
        <v>45716</v>
      </c>
      <c r="B60" s="3">
        <f t="shared" si="0"/>
        <v>2</v>
      </c>
      <c r="C60" s="3">
        <f>'Instagram Ads Raw Data'!B60</f>
        <v>14686</v>
      </c>
      <c r="D60" s="3">
        <f t="shared" si="1"/>
        <v>1.1235189976848699E-2</v>
      </c>
      <c r="E60" s="3">
        <f>'Instagram Ads Raw Data'!C60</f>
        <v>165</v>
      </c>
      <c r="F60" s="15">
        <f t="shared" si="2"/>
        <v>1.6484848484848484</v>
      </c>
      <c r="G60" s="4">
        <f t="shared" si="3"/>
        <v>18.521040446683916</v>
      </c>
      <c r="H60" s="4">
        <f>'Instagram Ads Raw Data'!D60</f>
        <v>272</v>
      </c>
      <c r="I60" s="3">
        <f t="shared" si="4"/>
        <v>1.2121212121212121E-2</v>
      </c>
      <c r="J60" s="3">
        <f>'Instagram Ads Raw Data'!E60</f>
        <v>2</v>
      </c>
      <c r="K60" s="4">
        <f t="shared" si="5"/>
        <v>172</v>
      </c>
      <c r="L60" s="4">
        <f>'Instagram Ads Raw Data'!F60</f>
        <v>344</v>
      </c>
      <c r="M60" s="16">
        <f t="shared" si="6"/>
        <v>1.2647058823529411</v>
      </c>
      <c r="N60" s="17">
        <f t="shared" si="7"/>
        <v>136</v>
      </c>
    </row>
    <row r="61" spans="1:14" ht="13" x14ac:dyDescent="0.15">
      <c r="A61" s="2">
        <f>'Instagram Ads Raw Data'!A61</f>
        <v>45717</v>
      </c>
      <c r="B61" s="3">
        <f t="shared" si="0"/>
        <v>3</v>
      </c>
      <c r="C61" s="3">
        <f>'Instagram Ads Raw Data'!B61</f>
        <v>74275</v>
      </c>
      <c r="D61" s="3">
        <f t="shared" si="1"/>
        <v>1.6560080780881857E-2</v>
      </c>
      <c r="E61" s="3">
        <f>'Instagram Ads Raw Data'!C61</f>
        <v>1230</v>
      </c>
      <c r="F61" s="15">
        <f t="shared" si="2"/>
        <v>1.2910569105691057</v>
      </c>
      <c r="G61" s="4">
        <f t="shared" si="3"/>
        <v>21.380006731740153</v>
      </c>
      <c r="H61" s="4">
        <f>'Instagram Ads Raw Data'!D61</f>
        <v>1588</v>
      </c>
      <c r="I61" s="3">
        <f t="shared" si="4"/>
        <v>2.5203252032520326E-2</v>
      </c>
      <c r="J61" s="3">
        <f>'Instagram Ads Raw Data'!E61</f>
        <v>31</v>
      </c>
      <c r="K61" s="4">
        <f t="shared" si="5"/>
        <v>130.2258064516129</v>
      </c>
      <c r="L61" s="4">
        <f>'Instagram Ads Raw Data'!F61</f>
        <v>4037</v>
      </c>
      <c r="M61" s="16">
        <f t="shared" si="6"/>
        <v>2.5421914357682618</v>
      </c>
      <c r="N61" s="17">
        <f t="shared" si="7"/>
        <v>51.225806451612904</v>
      </c>
    </row>
    <row r="62" spans="1:14" ht="13" x14ac:dyDescent="0.15">
      <c r="A62" s="2">
        <f>'Instagram Ads Raw Data'!A62</f>
        <v>45718</v>
      </c>
      <c r="B62" s="3">
        <f t="shared" si="0"/>
        <v>3</v>
      </c>
      <c r="C62" s="3">
        <f>'Instagram Ads Raw Data'!B62</f>
        <v>43481</v>
      </c>
      <c r="D62" s="3">
        <f t="shared" si="1"/>
        <v>3.2450955589797846E-2</v>
      </c>
      <c r="E62" s="3">
        <f>'Instagram Ads Raw Data'!C62</f>
        <v>1411</v>
      </c>
      <c r="F62" s="15">
        <f t="shared" si="2"/>
        <v>1.5237420269312545</v>
      </c>
      <c r="G62" s="4">
        <f t="shared" si="3"/>
        <v>49.446884846254683</v>
      </c>
      <c r="H62" s="4">
        <f>'Instagram Ads Raw Data'!D62</f>
        <v>2150</v>
      </c>
      <c r="I62" s="3">
        <f t="shared" si="4"/>
        <v>1.7009213323883769E-2</v>
      </c>
      <c r="J62" s="3">
        <f>'Instagram Ads Raw Data'!E62</f>
        <v>24</v>
      </c>
      <c r="K62" s="4">
        <f t="shared" si="5"/>
        <v>143.25</v>
      </c>
      <c r="L62" s="4">
        <f>'Instagram Ads Raw Data'!F62</f>
        <v>3438</v>
      </c>
      <c r="M62" s="16">
        <f t="shared" si="6"/>
        <v>1.5990697674418604</v>
      </c>
      <c r="N62" s="17">
        <f t="shared" si="7"/>
        <v>89.583333333333329</v>
      </c>
    </row>
    <row r="63" spans="1:14" ht="13" x14ac:dyDescent="0.15">
      <c r="A63" s="2">
        <f>'Instagram Ads Raw Data'!A63</f>
        <v>45719</v>
      </c>
      <c r="B63" s="3">
        <f t="shared" si="0"/>
        <v>3</v>
      </c>
      <c r="C63" s="3">
        <f>'Instagram Ads Raw Data'!B63</f>
        <v>24107</v>
      </c>
      <c r="D63" s="3">
        <f t="shared" si="1"/>
        <v>2.5594225743559962E-2</v>
      </c>
      <c r="E63" s="3">
        <f>'Instagram Ads Raw Data'!C63</f>
        <v>617</v>
      </c>
      <c r="F63" s="15">
        <f t="shared" si="2"/>
        <v>1.0777957860615883</v>
      </c>
      <c r="G63" s="4">
        <f t="shared" si="3"/>
        <v>27.585348653917951</v>
      </c>
      <c r="H63" s="4">
        <f>'Instagram Ads Raw Data'!D63</f>
        <v>665</v>
      </c>
      <c r="I63" s="3">
        <f t="shared" si="4"/>
        <v>2.2690437601296597E-2</v>
      </c>
      <c r="J63" s="3">
        <f>'Instagram Ads Raw Data'!E63</f>
        <v>14</v>
      </c>
      <c r="K63" s="4">
        <f t="shared" si="5"/>
        <v>192</v>
      </c>
      <c r="L63" s="4">
        <f>'Instagram Ads Raw Data'!F63</f>
        <v>2688</v>
      </c>
      <c r="M63" s="16">
        <f t="shared" si="6"/>
        <v>4.0421052631578949</v>
      </c>
      <c r="N63" s="17">
        <f t="shared" si="7"/>
        <v>47.5</v>
      </c>
    </row>
    <row r="64" spans="1:14" ht="13" x14ac:dyDescent="0.15">
      <c r="A64" s="2">
        <f>'Instagram Ads Raw Data'!A64</f>
        <v>45720</v>
      </c>
      <c r="B64" s="3">
        <f t="shared" si="0"/>
        <v>3</v>
      </c>
      <c r="C64" s="3">
        <f>'Instagram Ads Raw Data'!B64</f>
        <v>34969</v>
      </c>
      <c r="D64" s="3">
        <f t="shared" si="1"/>
        <v>1.4841716949297949E-2</v>
      </c>
      <c r="E64" s="3">
        <f>'Instagram Ads Raw Data'!C64</f>
        <v>519</v>
      </c>
      <c r="F64" s="15">
        <f t="shared" si="2"/>
        <v>1.6589595375722543</v>
      </c>
      <c r="G64" s="4">
        <f t="shared" si="3"/>
        <v>24.621807886985614</v>
      </c>
      <c r="H64" s="4">
        <f>'Instagram Ads Raw Data'!D64</f>
        <v>861</v>
      </c>
      <c r="I64" s="3">
        <f t="shared" si="4"/>
        <v>1.7341040462427744E-2</v>
      </c>
      <c r="J64" s="3">
        <f>'Instagram Ads Raw Data'!E64</f>
        <v>9</v>
      </c>
      <c r="K64" s="4">
        <f t="shared" si="5"/>
        <v>228.66666666666666</v>
      </c>
      <c r="L64" s="4">
        <f>'Instagram Ads Raw Data'!F64</f>
        <v>2058</v>
      </c>
      <c r="M64" s="16">
        <f t="shared" si="6"/>
        <v>2.3902439024390243</v>
      </c>
      <c r="N64" s="17">
        <f t="shared" si="7"/>
        <v>95.666666666666671</v>
      </c>
    </row>
    <row r="65" spans="1:14" ht="13" x14ac:dyDescent="0.15">
      <c r="A65" s="2">
        <f>'Instagram Ads Raw Data'!A65</f>
        <v>45721</v>
      </c>
      <c r="B65" s="3">
        <f t="shared" si="0"/>
        <v>3</v>
      </c>
      <c r="C65" s="3">
        <f>'Instagram Ads Raw Data'!B65</f>
        <v>56378</v>
      </c>
      <c r="D65" s="3">
        <f t="shared" si="1"/>
        <v>2.3856823583667388E-2</v>
      </c>
      <c r="E65" s="3">
        <f>'Instagram Ads Raw Data'!C65</f>
        <v>1345</v>
      </c>
      <c r="F65" s="15">
        <f t="shared" si="2"/>
        <v>1.7591078066914498</v>
      </c>
      <c r="G65" s="4">
        <f t="shared" si="3"/>
        <v>41.96672460888999</v>
      </c>
      <c r="H65" s="4">
        <f>'Instagram Ads Raw Data'!D65</f>
        <v>2366</v>
      </c>
      <c r="I65" s="3">
        <f t="shared" si="4"/>
        <v>2.3048327137546468E-2</v>
      </c>
      <c r="J65" s="3">
        <f>'Instagram Ads Raw Data'!E65</f>
        <v>31</v>
      </c>
      <c r="K65" s="4">
        <f t="shared" si="5"/>
        <v>109.25806451612904</v>
      </c>
      <c r="L65" s="4">
        <f>'Instagram Ads Raw Data'!F65</f>
        <v>3387</v>
      </c>
      <c r="M65" s="16">
        <f t="shared" si="6"/>
        <v>1.4315300084530853</v>
      </c>
      <c r="N65" s="17">
        <f t="shared" si="7"/>
        <v>76.322580645161295</v>
      </c>
    </row>
    <row r="66" spans="1:14" ht="13" x14ac:dyDescent="0.15">
      <c r="A66" s="2">
        <f>'Instagram Ads Raw Data'!A66</f>
        <v>45722</v>
      </c>
      <c r="B66" s="3">
        <f t="shared" si="0"/>
        <v>3</v>
      </c>
      <c r="C66" s="3">
        <f>'Instagram Ads Raw Data'!B66</f>
        <v>57170</v>
      </c>
      <c r="D66" s="3">
        <f t="shared" si="1"/>
        <v>2.4051075739023965E-2</v>
      </c>
      <c r="E66" s="3">
        <f>'Instagram Ads Raw Data'!C66</f>
        <v>1375</v>
      </c>
      <c r="F66" s="15">
        <f t="shared" si="2"/>
        <v>1.2421818181818183</v>
      </c>
      <c r="G66" s="4">
        <f t="shared" si="3"/>
        <v>29.875808990729404</v>
      </c>
      <c r="H66" s="4">
        <f>'Instagram Ads Raw Data'!D66</f>
        <v>1708</v>
      </c>
      <c r="I66" s="3">
        <f t="shared" si="4"/>
        <v>1.3818181818181818E-2</v>
      </c>
      <c r="J66" s="3">
        <f>'Instagram Ads Raw Data'!E66</f>
        <v>19</v>
      </c>
      <c r="K66" s="4">
        <f t="shared" si="5"/>
        <v>221.26315789473685</v>
      </c>
      <c r="L66" s="4">
        <f>'Instagram Ads Raw Data'!F66</f>
        <v>4204</v>
      </c>
      <c r="M66" s="16">
        <f t="shared" si="6"/>
        <v>2.4613583138173301</v>
      </c>
      <c r="N66" s="17">
        <f t="shared" si="7"/>
        <v>89.89473684210526</v>
      </c>
    </row>
    <row r="67" spans="1:14" ht="13" x14ac:dyDescent="0.15">
      <c r="A67" s="2">
        <f>'Instagram Ads Raw Data'!A67</f>
        <v>45723</v>
      </c>
      <c r="B67" s="3">
        <f t="shared" si="0"/>
        <v>3</v>
      </c>
      <c r="C67" s="3">
        <f>'Instagram Ads Raw Data'!B67</f>
        <v>26837</v>
      </c>
      <c r="D67" s="3">
        <f t="shared" si="1"/>
        <v>2.2021835525580357E-2</v>
      </c>
      <c r="E67" s="3">
        <f>'Instagram Ads Raw Data'!C67</f>
        <v>591</v>
      </c>
      <c r="F67" s="15">
        <f t="shared" si="2"/>
        <v>1</v>
      </c>
      <c r="G67" s="4">
        <f t="shared" si="3"/>
        <v>22.021835525580357</v>
      </c>
      <c r="H67" s="4">
        <f>'Instagram Ads Raw Data'!D67</f>
        <v>591</v>
      </c>
      <c r="I67" s="3">
        <f t="shared" si="4"/>
        <v>1.8612521150592216E-2</v>
      </c>
      <c r="J67" s="3">
        <f>'Instagram Ads Raw Data'!E67</f>
        <v>11</v>
      </c>
      <c r="K67" s="4">
        <f t="shared" si="5"/>
        <v>94.63636363636364</v>
      </c>
      <c r="L67" s="4">
        <f>'Instagram Ads Raw Data'!F67</f>
        <v>1041</v>
      </c>
      <c r="M67" s="16">
        <f t="shared" si="6"/>
        <v>1.7614213197969544</v>
      </c>
      <c r="N67" s="17">
        <f t="shared" si="7"/>
        <v>53.727272727272727</v>
      </c>
    </row>
    <row r="68" spans="1:14" ht="13" x14ac:dyDescent="0.15">
      <c r="A68" s="2">
        <f>'Instagram Ads Raw Data'!A68</f>
        <v>45724</v>
      </c>
      <c r="B68" s="3">
        <f t="shared" si="0"/>
        <v>3</v>
      </c>
      <c r="C68" s="3">
        <f>'Instagram Ads Raw Data'!B68</f>
        <v>81804</v>
      </c>
      <c r="D68" s="3">
        <f t="shared" si="1"/>
        <v>2.211383306439783E-2</v>
      </c>
      <c r="E68" s="3">
        <f>'Instagram Ads Raw Data'!C68</f>
        <v>1809</v>
      </c>
      <c r="F68" s="15">
        <f t="shared" si="2"/>
        <v>1.1420674405749032</v>
      </c>
      <c r="G68" s="4">
        <f t="shared" si="3"/>
        <v>25.255488729157499</v>
      </c>
      <c r="H68" s="4">
        <f>'Instagram Ads Raw Data'!D68</f>
        <v>2066</v>
      </c>
      <c r="I68" s="3">
        <f t="shared" si="4"/>
        <v>2.4322830292979547E-2</v>
      </c>
      <c r="J68" s="3">
        <f>'Instagram Ads Raw Data'!E68</f>
        <v>44</v>
      </c>
      <c r="K68" s="4">
        <f t="shared" si="5"/>
        <v>114.75</v>
      </c>
      <c r="L68" s="4">
        <f>'Instagram Ads Raw Data'!F68</f>
        <v>5049</v>
      </c>
      <c r="M68" s="16">
        <f t="shared" si="6"/>
        <v>2.4438528557599226</v>
      </c>
      <c r="N68" s="17">
        <f t="shared" si="7"/>
        <v>46.954545454545453</v>
      </c>
    </row>
    <row r="69" spans="1:14" ht="13" x14ac:dyDescent="0.15">
      <c r="A69" s="2">
        <f>'Instagram Ads Raw Data'!A69</f>
        <v>45725</v>
      </c>
      <c r="B69" s="3">
        <f t="shared" si="0"/>
        <v>3</v>
      </c>
      <c r="C69" s="3">
        <f>'Instagram Ads Raw Data'!B69</f>
        <v>69650</v>
      </c>
      <c r="D69" s="3">
        <f t="shared" si="1"/>
        <v>3.1299353912419239E-2</v>
      </c>
      <c r="E69" s="3">
        <f>'Instagram Ads Raw Data'!C69</f>
        <v>2180</v>
      </c>
      <c r="F69" s="15">
        <f t="shared" si="2"/>
        <v>1.1614678899082569</v>
      </c>
      <c r="G69" s="4">
        <f t="shared" si="3"/>
        <v>36.353194544149318</v>
      </c>
      <c r="H69" s="4">
        <f>'Instagram Ads Raw Data'!D69</f>
        <v>2532</v>
      </c>
      <c r="I69" s="3">
        <f t="shared" si="4"/>
        <v>2.0642201834862386E-2</v>
      </c>
      <c r="J69" s="3">
        <f>'Instagram Ads Raw Data'!E69</f>
        <v>45</v>
      </c>
      <c r="K69" s="4">
        <f t="shared" si="5"/>
        <v>164.2</v>
      </c>
      <c r="L69" s="4">
        <f>'Instagram Ads Raw Data'!F69</f>
        <v>7389</v>
      </c>
      <c r="M69" s="16">
        <f t="shared" si="6"/>
        <v>2.9182464454976302</v>
      </c>
      <c r="N69" s="17">
        <f t="shared" si="7"/>
        <v>56.266666666666666</v>
      </c>
    </row>
    <row r="70" spans="1:14" ht="13" x14ac:dyDescent="0.15">
      <c r="A70" s="2">
        <f>'Instagram Ads Raw Data'!A70</f>
        <v>45726</v>
      </c>
      <c r="B70" s="3">
        <f t="shared" si="0"/>
        <v>3</v>
      </c>
      <c r="C70" s="3">
        <f>'Instagram Ads Raw Data'!B70</f>
        <v>88162</v>
      </c>
      <c r="D70" s="3">
        <f t="shared" si="1"/>
        <v>2.1902860642907376E-2</v>
      </c>
      <c r="E70" s="3">
        <f>'Instagram Ads Raw Data'!C70</f>
        <v>1931</v>
      </c>
      <c r="F70" s="15">
        <f t="shared" si="2"/>
        <v>1.5914034179181771</v>
      </c>
      <c r="G70" s="4">
        <f t="shared" si="3"/>
        <v>34.85628728930832</v>
      </c>
      <c r="H70" s="4">
        <f>'Instagram Ads Raw Data'!D70</f>
        <v>3073</v>
      </c>
      <c r="I70" s="3">
        <f t="shared" si="4"/>
        <v>2.1232522009321596E-2</v>
      </c>
      <c r="J70" s="3">
        <f>'Instagram Ads Raw Data'!E70</f>
        <v>41</v>
      </c>
      <c r="K70" s="4">
        <f t="shared" si="5"/>
        <v>172.95121951219511</v>
      </c>
      <c r="L70" s="4">
        <f>'Instagram Ads Raw Data'!F70</f>
        <v>7091</v>
      </c>
      <c r="M70" s="16">
        <f t="shared" si="6"/>
        <v>2.3075170842824599</v>
      </c>
      <c r="N70" s="17">
        <f t="shared" si="7"/>
        <v>74.951219512195124</v>
      </c>
    </row>
    <row r="71" spans="1:14" ht="13" x14ac:dyDescent="0.15">
      <c r="A71" s="2">
        <f>'Instagram Ads Raw Data'!A71</f>
        <v>45727</v>
      </c>
      <c r="B71" s="3">
        <f t="shared" si="0"/>
        <v>3</v>
      </c>
      <c r="C71" s="3">
        <f>'Instagram Ads Raw Data'!B71</f>
        <v>35355</v>
      </c>
      <c r="D71" s="3">
        <f t="shared" si="1"/>
        <v>2.0817423278178475E-2</v>
      </c>
      <c r="E71" s="3">
        <f>'Instagram Ads Raw Data'!C71</f>
        <v>736</v>
      </c>
      <c r="F71" s="15">
        <f t="shared" si="2"/>
        <v>1.3016304347826086</v>
      </c>
      <c r="G71" s="4">
        <f t="shared" si="3"/>
        <v>27.096591712629049</v>
      </c>
      <c r="H71" s="4">
        <f>'Instagram Ads Raw Data'!D71</f>
        <v>958</v>
      </c>
      <c r="I71" s="3">
        <f t="shared" si="4"/>
        <v>1.2228260869565218E-2</v>
      </c>
      <c r="J71" s="3">
        <f>'Instagram Ads Raw Data'!E71</f>
        <v>9</v>
      </c>
      <c r="K71" s="4">
        <f t="shared" si="5"/>
        <v>190.33333333333334</v>
      </c>
      <c r="L71" s="4">
        <f>'Instagram Ads Raw Data'!F71</f>
        <v>1713</v>
      </c>
      <c r="M71" s="16">
        <f t="shared" si="6"/>
        <v>1.7881002087682671</v>
      </c>
      <c r="N71" s="17">
        <f t="shared" si="7"/>
        <v>106.44444444444444</v>
      </c>
    </row>
    <row r="72" spans="1:14" ht="13" x14ac:dyDescent="0.15">
      <c r="A72" s="2">
        <f>'Instagram Ads Raw Data'!A72</f>
        <v>45728</v>
      </c>
      <c r="B72" s="3">
        <f t="shared" si="0"/>
        <v>3</v>
      </c>
      <c r="C72" s="3">
        <f>'Instagram Ads Raw Data'!B72</f>
        <v>90027</v>
      </c>
      <c r="D72" s="3">
        <f t="shared" si="1"/>
        <v>1.5706399191353707E-2</v>
      </c>
      <c r="E72" s="3">
        <f>'Instagram Ads Raw Data'!C72</f>
        <v>1414</v>
      </c>
      <c r="F72" s="15">
        <f t="shared" si="2"/>
        <v>1.4632248939179633</v>
      </c>
      <c r="G72" s="4">
        <f t="shared" si="3"/>
        <v>22.981994290601708</v>
      </c>
      <c r="H72" s="4">
        <f>'Instagram Ads Raw Data'!D72</f>
        <v>2069</v>
      </c>
      <c r="I72" s="3">
        <f t="shared" si="4"/>
        <v>1.768033946251768E-2</v>
      </c>
      <c r="J72" s="3">
        <f>'Instagram Ads Raw Data'!E72</f>
        <v>25</v>
      </c>
      <c r="K72" s="4">
        <f t="shared" si="5"/>
        <v>208.68</v>
      </c>
      <c r="L72" s="4">
        <f>'Instagram Ads Raw Data'!F72</f>
        <v>5217</v>
      </c>
      <c r="M72" s="16">
        <f t="shared" si="6"/>
        <v>2.5215079748670854</v>
      </c>
      <c r="N72" s="17">
        <f t="shared" si="7"/>
        <v>82.76</v>
      </c>
    </row>
    <row r="73" spans="1:14" ht="13" x14ac:dyDescent="0.15">
      <c r="A73" s="2">
        <f>'Instagram Ads Raw Data'!A73</f>
        <v>45729</v>
      </c>
      <c r="B73" s="3">
        <f t="shared" si="0"/>
        <v>3</v>
      </c>
      <c r="C73" s="3">
        <f>'Instagram Ads Raw Data'!B73</f>
        <v>25328</v>
      </c>
      <c r="D73" s="3">
        <f t="shared" si="1"/>
        <v>1.8714466203411245E-2</v>
      </c>
      <c r="E73" s="3">
        <f>'Instagram Ads Raw Data'!C73</f>
        <v>474</v>
      </c>
      <c r="F73" s="15">
        <f t="shared" si="2"/>
        <v>1.5021097046413503</v>
      </c>
      <c r="G73" s="4">
        <f t="shared" si="3"/>
        <v>28.111181301326596</v>
      </c>
      <c r="H73" s="4">
        <f>'Instagram Ads Raw Data'!D73</f>
        <v>712</v>
      </c>
      <c r="I73" s="3">
        <f t="shared" si="4"/>
        <v>2.1097046413502109E-2</v>
      </c>
      <c r="J73" s="3">
        <f>'Instagram Ads Raw Data'!E73</f>
        <v>10</v>
      </c>
      <c r="K73" s="4">
        <f t="shared" si="5"/>
        <v>139.19999999999999</v>
      </c>
      <c r="L73" s="4">
        <f>'Instagram Ads Raw Data'!F73</f>
        <v>1392</v>
      </c>
      <c r="M73" s="16">
        <f t="shared" si="6"/>
        <v>1.9550561797752808</v>
      </c>
      <c r="N73" s="17">
        <f t="shared" si="7"/>
        <v>71.2</v>
      </c>
    </row>
    <row r="74" spans="1:14" ht="13" x14ac:dyDescent="0.15">
      <c r="A74" s="2">
        <f>'Instagram Ads Raw Data'!A74</f>
        <v>45730</v>
      </c>
      <c r="B74" s="3">
        <f t="shared" si="0"/>
        <v>3</v>
      </c>
      <c r="C74" s="3">
        <f>'Instagram Ads Raw Data'!B74</f>
        <v>59348</v>
      </c>
      <c r="D74" s="3">
        <f t="shared" si="1"/>
        <v>1.1120846532317853E-2</v>
      </c>
      <c r="E74" s="3">
        <f>'Instagram Ads Raw Data'!C74</f>
        <v>660</v>
      </c>
      <c r="F74" s="15">
        <f t="shared" si="2"/>
        <v>1.5969696969696969</v>
      </c>
      <c r="G74" s="4">
        <f t="shared" si="3"/>
        <v>17.759654916762148</v>
      </c>
      <c r="H74" s="4">
        <f>'Instagram Ads Raw Data'!D74</f>
        <v>1054</v>
      </c>
      <c r="I74" s="3">
        <f t="shared" si="4"/>
        <v>1.0606060606060607E-2</v>
      </c>
      <c r="J74" s="3">
        <f>'Instagram Ads Raw Data'!E74</f>
        <v>7</v>
      </c>
      <c r="K74" s="4">
        <f t="shared" si="5"/>
        <v>136.85714285714286</v>
      </c>
      <c r="L74" s="4">
        <f>'Instagram Ads Raw Data'!F74</f>
        <v>958</v>
      </c>
      <c r="M74" s="16">
        <f t="shared" si="6"/>
        <v>0.90891840607210628</v>
      </c>
      <c r="N74" s="17">
        <f t="shared" si="7"/>
        <v>150.57142857142858</v>
      </c>
    </row>
    <row r="75" spans="1:14" ht="13" x14ac:dyDescent="0.15">
      <c r="A75" s="2">
        <f>'Instagram Ads Raw Data'!A75</f>
        <v>45731</v>
      </c>
      <c r="B75" s="3">
        <f t="shared" si="0"/>
        <v>3</v>
      </c>
      <c r="C75" s="3">
        <f>'Instagram Ads Raw Data'!B75</f>
        <v>24427</v>
      </c>
      <c r="D75" s="3">
        <f t="shared" si="1"/>
        <v>1.3264011135219224E-2</v>
      </c>
      <c r="E75" s="3">
        <f>'Instagram Ads Raw Data'!C75</f>
        <v>324</v>
      </c>
      <c r="F75" s="15">
        <f t="shared" si="2"/>
        <v>1.0802469135802468</v>
      </c>
      <c r="G75" s="4">
        <f t="shared" si="3"/>
        <v>14.328407090514595</v>
      </c>
      <c r="H75" s="4">
        <f>'Instagram Ads Raw Data'!D75</f>
        <v>350</v>
      </c>
      <c r="I75" s="3">
        <f t="shared" si="4"/>
        <v>1.5432098765432098E-2</v>
      </c>
      <c r="J75" s="3">
        <f>'Instagram Ads Raw Data'!E75</f>
        <v>5</v>
      </c>
      <c r="K75" s="4">
        <f t="shared" si="5"/>
        <v>190.2</v>
      </c>
      <c r="L75" s="4">
        <f>'Instagram Ads Raw Data'!F75</f>
        <v>951</v>
      </c>
      <c r="M75" s="16">
        <f t="shared" si="6"/>
        <v>2.7171428571428571</v>
      </c>
      <c r="N75" s="17">
        <f t="shared" si="7"/>
        <v>70</v>
      </c>
    </row>
    <row r="76" spans="1:14" ht="13" x14ac:dyDescent="0.15">
      <c r="A76" s="2">
        <f>'Instagram Ads Raw Data'!A76</f>
        <v>45732</v>
      </c>
      <c r="B76" s="3">
        <f t="shared" si="0"/>
        <v>3</v>
      </c>
      <c r="C76" s="3">
        <f>'Instagram Ads Raw Data'!B76</f>
        <v>23408</v>
      </c>
      <c r="D76" s="3">
        <f t="shared" si="1"/>
        <v>2.1445659603554341E-2</v>
      </c>
      <c r="E76" s="3">
        <f>'Instagram Ads Raw Data'!C76</f>
        <v>502</v>
      </c>
      <c r="F76" s="15">
        <f t="shared" si="2"/>
        <v>1.6573705179282869</v>
      </c>
      <c r="G76" s="4">
        <f t="shared" si="3"/>
        <v>35.543403964456594</v>
      </c>
      <c r="H76" s="4">
        <f>'Instagram Ads Raw Data'!D76</f>
        <v>832</v>
      </c>
      <c r="I76" s="3">
        <f t="shared" si="4"/>
        <v>1.7928286852589643E-2</v>
      </c>
      <c r="J76" s="3">
        <f>'Instagram Ads Raw Data'!E76</f>
        <v>9</v>
      </c>
      <c r="K76" s="4">
        <f t="shared" si="5"/>
        <v>109</v>
      </c>
      <c r="L76" s="4">
        <f>'Instagram Ads Raw Data'!F76</f>
        <v>981</v>
      </c>
      <c r="M76" s="16">
        <f t="shared" si="6"/>
        <v>1.1790865384615385</v>
      </c>
      <c r="N76" s="17">
        <f t="shared" si="7"/>
        <v>92.444444444444443</v>
      </c>
    </row>
    <row r="77" spans="1:14" ht="13" x14ac:dyDescent="0.15">
      <c r="A77" s="2">
        <f>'Instagram Ads Raw Data'!A77</f>
        <v>45733</v>
      </c>
      <c r="B77" s="3">
        <f t="shared" si="0"/>
        <v>3</v>
      </c>
      <c r="C77" s="3">
        <f>'Instagram Ads Raw Data'!B77</f>
        <v>48565</v>
      </c>
      <c r="D77" s="3">
        <f t="shared" si="1"/>
        <v>3.1504169669515081E-2</v>
      </c>
      <c r="E77" s="3">
        <f>'Instagram Ads Raw Data'!C77</f>
        <v>1530</v>
      </c>
      <c r="F77" s="15">
        <f t="shared" si="2"/>
        <v>1.7490196078431373</v>
      </c>
      <c r="G77" s="4">
        <f t="shared" si="3"/>
        <v>55.101410480798933</v>
      </c>
      <c r="H77" s="4">
        <f>'Instagram Ads Raw Data'!D77</f>
        <v>2676</v>
      </c>
      <c r="I77" s="3">
        <f t="shared" si="4"/>
        <v>2.5490196078431372E-2</v>
      </c>
      <c r="J77" s="3">
        <f>'Instagram Ads Raw Data'!E77</f>
        <v>39</v>
      </c>
      <c r="K77" s="4">
        <f t="shared" si="5"/>
        <v>175.05128205128204</v>
      </c>
      <c r="L77" s="4">
        <f>'Instagram Ads Raw Data'!F77</f>
        <v>6827</v>
      </c>
      <c r="M77" s="16">
        <f t="shared" si="6"/>
        <v>2.5511958146487292</v>
      </c>
      <c r="N77" s="17">
        <f t="shared" si="7"/>
        <v>68.615384615384613</v>
      </c>
    </row>
    <row r="78" spans="1:14" ht="13" x14ac:dyDescent="0.15">
      <c r="A78" s="2">
        <f>'Instagram Ads Raw Data'!A78</f>
        <v>45734</v>
      </c>
      <c r="B78" s="3">
        <f t="shared" si="0"/>
        <v>3</v>
      </c>
      <c r="C78" s="3">
        <f>'Instagram Ads Raw Data'!B78</f>
        <v>37692</v>
      </c>
      <c r="D78" s="3">
        <f t="shared" si="1"/>
        <v>1.7457285365594821E-2</v>
      </c>
      <c r="E78" s="3">
        <f>'Instagram Ads Raw Data'!C78</f>
        <v>658</v>
      </c>
      <c r="F78" s="15">
        <f t="shared" si="2"/>
        <v>1.4376899696048633</v>
      </c>
      <c r="G78" s="4">
        <f t="shared" si="3"/>
        <v>25.098164066645442</v>
      </c>
      <c r="H78" s="4">
        <f>'Instagram Ads Raw Data'!D78</f>
        <v>946</v>
      </c>
      <c r="I78" s="3">
        <f t="shared" si="4"/>
        <v>1.3677811550151976E-2</v>
      </c>
      <c r="J78" s="3">
        <f>'Instagram Ads Raw Data'!E78</f>
        <v>9</v>
      </c>
      <c r="K78" s="4">
        <f t="shared" si="5"/>
        <v>107.66666666666667</v>
      </c>
      <c r="L78" s="4">
        <f>'Instagram Ads Raw Data'!F78</f>
        <v>969</v>
      </c>
      <c r="M78" s="16">
        <f t="shared" si="6"/>
        <v>1.0243128964059196</v>
      </c>
      <c r="N78" s="17">
        <f t="shared" si="7"/>
        <v>105.11111111111111</v>
      </c>
    </row>
    <row r="79" spans="1:14" ht="13" x14ac:dyDescent="0.15">
      <c r="A79" s="2">
        <f>'Instagram Ads Raw Data'!A79</f>
        <v>45735</v>
      </c>
      <c r="B79" s="3">
        <f t="shared" si="0"/>
        <v>3</v>
      </c>
      <c r="C79" s="3">
        <f>'Instagram Ads Raw Data'!B79</f>
        <v>29345</v>
      </c>
      <c r="D79" s="3">
        <f t="shared" si="1"/>
        <v>2.0310103935934572E-2</v>
      </c>
      <c r="E79" s="3">
        <f>'Instagram Ads Raw Data'!C79</f>
        <v>596</v>
      </c>
      <c r="F79" s="15">
        <f t="shared" si="2"/>
        <v>1.4144295302013423</v>
      </c>
      <c r="G79" s="4">
        <f t="shared" si="3"/>
        <v>28.727210768444369</v>
      </c>
      <c r="H79" s="4">
        <f>'Instagram Ads Raw Data'!D79</f>
        <v>843</v>
      </c>
      <c r="I79" s="3">
        <f t="shared" si="4"/>
        <v>2.0134228187919462E-2</v>
      </c>
      <c r="J79" s="3">
        <f>'Instagram Ads Raw Data'!E79</f>
        <v>12</v>
      </c>
      <c r="K79" s="4">
        <f t="shared" si="5"/>
        <v>195.75</v>
      </c>
      <c r="L79" s="4">
        <f>'Instagram Ads Raw Data'!F79</f>
        <v>2349</v>
      </c>
      <c r="M79" s="16">
        <f t="shared" si="6"/>
        <v>2.7864768683274019</v>
      </c>
      <c r="N79" s="17">
        <f t="shared" si="7"/>
        <v>70.25</v>
      </c>
    </row>
    <row r="80" spans="1:14" ht="13" x14ac:dyDescent="0.15">
      <c r="A80" s="2">
        <f>'Instagram Ads Raw Data'!A80</f>
        <v>45736</v>
      </c>
      <c r="B80" s="3">
        <f t="shared" si="0"/>
        <v>3</v>
      </c>
      <c r="C80" s="3">
        <f>'Instagram Ads Raw Data'!B80</f>
        <v>86428</v>
      </c>
      <c r="D80" s="3">
        <f t="shared" si="1"/>
        <v>1.0216596473365112E-2</v>
      </c>
      <c r="E80" s="3">
        <f>'Instagram Ads Raw Data'!C80</f>
        <v>883</v>
      </c>
      <c r="F80" s="15">
        <f t="shared" si="2"/>
        <v>1.6976217440543602</v>
      </c>
      <c r="G80" s="4">
        <f t="shared" si="3"/>
        <v>17.343916323413708</v>
      </c>
      <c r="H80" s="4">
        <f>'Instagram Ads Raw Data'!D80</f>
        <v>1499</v>
      </c>
      <c r="I80" s="3">
        <f t="shared" si="4"/>
        <v>2.7180067950169876E-2</v>
      </c>
      <c r="J80" s="3">
        <f>'Instagram Ads Raw Data'!E80</f>
        <v>24</v>
      </c>
      <c r="K80" s="4">
        <f t="shared" si="5"/>
        <v>155.91666666666666</v>
      </c>
      <c r="L80" s="4">
        <f>'Instagram Ads Raw Data'!F80</f>
        <v>3742</v>
      </c>
      <c r="M80" s="16">
        <f t="shared" si="6"/>
        <v>2.4963308872581722</v>
      </c>
      <c r="N80" s="17">
        <f t="shared" si="7"/>
        <v>62.458333333333336</v>
      </c>
    </row>
    <row r="81" spans="1:14" ht="13" x14ac:dyDescent="0.15">
      <c r="A81" s="2">
        <f>'Instagram Ads Raw Data'!A81</f>
        <v>45737</v>
      </c>
      <c r="B81" s="3">
        <f t="shared" si="0"/>
        <v>3</v>
      </c>
      <c r="C81" s="3">
        <f>'Instagram Ads Raw Data'!B81</f>
        <v>29192</v>
      </c>
      <c r="D81" s="3">
        <f t="shared" si="1"/>
        <v>2.5657714442312962E-2</v>
      </c>
      <c r="E81" s="3">
        <f>'Instagram Ads Raw Data'!C81</f>
        <v>749</v>
      </c>
      <c r="F81" s="15">
        <f t="shared" si="2"/>
        <v>1.7449933244325768</v>
      </c>
      <c r="G81" s="4">
        <f t="shared" si="3"/>
        <v>44.772540422033437</v>
      </c>
      <c r="H81" s="4">
        <f>'Instagram Ads Raw Data'!D81</f>
        <v>1307</v>
      </c>
      <c r="I81" s="3">
        <f t="shared" si="4"/>
        <v>2.0026702269692925E-2</v>
      </c>
      <c r="J81" s="3">
        <f>'Instagram Ads Raw Data'!E81</f>
        <v>15</v>
      </c>
      <c r="K81" s="4">
        <f t="shared" si="5"/>
        <v>108.26666666666667</v>
      </c>
      <c r="L81" s="4">
        <f>'Instagram Ads Raw Data'!F81</f>
        <v>1624</v>
      </c>
      <c r="M81" s="16">
        <f t="shared" si="6"/>
        <v>1.2425401683244071</v>
      </c>
      <c r="N81" s="17">
        <f t="shared" si="7"/>
        <v>87.13333333333334</v>
      </c>
    </row>
    <row r="82" spans="1:14" ht="13" x14ac:dyDescent="0.15">
      <c r="A82" s="2">
        <f>'Instagram Ads Raw Data'!A82</f>
        <v>45738</v>
      </c>
      <c r="B82" s="3">
        <f t="shared" si="0"/>
        <v>3</v>
      </c>
      <c r="C82" s="3">
        <f>'Instagram Ads Raw Data'!B82</f>
        <v>35448</v>
      </c>
      <c r="D82" s="3">
        <f t="shared" si="1"/>
        <v>2.7364026179192057E-2</v>
      </c>
      <c r="E82" s="3">
        <f>'Instagram Ads Raw Data'!C82</f>
        <v>970</v>
      </c>
      <c r="F82" s="15">
        <f t="shared" si="2"/>
        <v>1.1329896907216495</v>
      </c>
      <c r="G82" s="4">
        <f t="shared" si="3"/>
        <v>31.003159557661927</v>
      </c>
      <c r="H82" s="4">
        <f>'Instagram Ads Raw Data'!D82</f>
        <v>1099</v>
      </c>
      <c r="I82" s="3">
        <f t="shared" si="4"/>
        <v>1.443298969072165E-2</v>
      </c>
      <c r="J82" s="3">
        <f>'Instagram Ads Raw Data'!E82</f>
        <v>14</v>
      </c>
      <c r="K82" s="4">
        <f t="shared" si="5"/>
        <v>158.71428571428572</v>
      </c>
      <c r="L82" s="4">
        <f>'Instagram Ads Raw Data'!F82</f>
        <v>2222</v>
      </c>
      <c r="M82" s="16">
        <f t="shared" si="6"/>
        <v>2.0218380345768883</v>
      </c>
      <c r="N82" s="17">
        <f t="shared" si="7"/>
        <v>78.5</v>
      </c>
    </row>
    <row r="83" spans="1:14" ht="13" x14ac:dyDescent="0.15">
      <c r="A83" s="2">
        <f>'Instagram Ads Raw Data'!A83</f>
        <v>45739</v>
      </c>
      <c r="B83" s="3">
        <f t="shared" si="0"/>
        <v>3</v>
      </c>
      <c r="C83" s="3">
        <f>'Instagram Ads Raw Data'!B83</f>
        <v>101862</v>
      </c>
      <c r="D83" s="3">
        <f t="shared" si="1"/>
        <v>1.7091751585478394E-2</v>
      </c>
      <c r="E83" s="3">
        <f>'Instagram Ads Raw Data'!C83</f>
        <v>1741</v>
      </c>
      <c r="F83" s="15">
        <f t="shared" si="2"/>
        <v>1.2377943710511201</v>
      </c>
      <c r="G83" s="4">
        <f t="shared" si="3"/>
        <v>21.15607390390921</v>
      </c>
      <c r="H83" s="4">
        <f>'Instagram Ads Raw Data'!D83</f>
        <v>2155</v>
      </c>
      <c r="I83" s="3">
        <f t="shared" si="4"/>
        <v>1.6082711085582999E-2</v>
      </c>
      <c r="J83" s="3">
        <f>'Instagram Ads Raw Data'!E83</f>
        <v>28</v>
      </c>
      <c r="K83" s="4">
        <f t="shared" si="5"/>
        <v>131.71428571428572</v>
      </c>
      <c r="L83" s="4">
        <f>'Instagram Ads Raw Data'!F83</f>
        <v>3688</v>
      </c>
      <c r="M83" s="16">
        <f t="shared" si="6"/>
        <v>1.7113689095127611</v>
      </c>
      <c r="N83" s="17">
        <f t="shared" si="7"/>
        <v>76.964285714285708</v>
      </c>
    </row>
    <row r="84" spans="1:14" ht="13" x14ac:dyDescent="0.15">
      <c r="A84" s="2">
        <f>'Instagram Ads Raw Data'!A84</f>
        <v>45740</v>
      </c>
      <c r="B84" s="3">
        <f t="shared" si="0"/>
        <v>3</v>
      </c>
      <c r="C84" s="3">
        <f>'Instagram Ads Raw Data'!B84</f>
        <v>10360</v>
      </c>
      <c r="D84" s="3">
        <f t="shared" si="1"/>
        <v>1.3030888030888031E-2</v>
      </c>
      <c r="E84" s="3">
        <f>'Instagram Ads Raw Data'!C84</f>
        <v>135</v>
      </c>
      <c r="F84" s="15">
        <f t="shared" si="2"/>
        <v>1.3555555555555556</v>
      </c>
      <c r="G84" s="4">
        <f t="shared" si="3"/>
        <v>17.664092664092664</v>
      </c>
      <c r="H84" s="4">
        <f>'Instagram Ads Raw Data'!D84</f>
        <v>183</v>
      </c>
      <c r="I84" s="3">
        <f t="shared" si="4"/>
        <v>7.4074074074074077E-3</v>
      </c>
      <c r="J84" s="3">
        <f>'Instagram Ads Raw Data'!E84</f>
        <v>1</v>
      </c>
      <c r="K84" s="4">
        <f t="shared" si="5"/>
        <v>204</v>
      </c>
      <c r="L84" s="4">
        <f>'Instagram Ads Raw Data'!F84</f>
        <v>204</v>
      </c>
      <c r="M84" s="16">
        <f t="shared" si="6"/>
        <v>1.1147540983606556</v>
      </c>
      <c r="N84" s="17">
        <f t="shared" si="7"/>
        <v>183</v>
      </c>
    </row>
    <row r="85" spans="1:14" ht="13" x14ac:dyDescent="0.15">
      <c r="A85" s="2">
        <f>'Instagram Ads Raw Data'!A85</f>
        <v>45741</v>
      </c>
      <c r="B85" s="3">
        <f t="shared" si="0"/>
        <v>3</v>
      </c>
      <c r="C85" s="3">
        <f>'Instagram Ads Raw Data'!B85</f>
        <v>74045</v>
      </c>
      <c r="D85" s="3">
        <f t="shared" si="1"/>
        <v>2.5119859544871361E-2</v>
      </c>
      <c r="E85" s="3">
        <f>'Instagram Ads Raw Data'!C85</f>
        <v>1860</v>
      </c>
      <c r="F85" s="15">
        <f t="shared" si="2"/>
        <v>1.7279569892473119</v>
      </c>
      <c r="G85" s="4">
        <f t="shared" si="3"/>
        <v>43.406036869471265</v>
      </c>
      <c r="H85" s="4">
        <f>'Instagram Ads Raw Data'!D85</f>
        <v>3214</v>
      </c>
      <c r="I85" s="3">
        <f t="shared" si="4"/>
        <v>1.8279569892473119E-2</v>
      </c>
      <c r="J85" s="3">
        <f>'Instagram Ads Raw Data'!E85</f>
        <v>34</v>
      </c>
      <c r="K85" s="4">
        <f t="shared" si="5"/>
        <v>113.38235294117646</v>
      </c>
      <c r="L85" s="4">
        <f>'Instagram Ads Raw Data'!F85</f>
        <v>3855</v>
      </c>
      <c r="M85" s="16">
        <f t="shared" si="6"/>
        <v>1.199439950217797</v>
      </c>
      <c r="N85" s="17">
        <f t="shared" si="7"/>
        <v>94.529411764705884</v>
      </c>
    </row>
    <row r="86" spans="1:14" ht="13" x14ac:dyDescent="0.15">
      <c r="A86" s="2">
        <f>'Instagram Ads Raw Data'!A86</f>
        <v>45742</v>
      </c>
      <c r="B86" s="3">
        <f t="shared" si="0"/>
        <v>3</v>
      </c>
      <c r="C86" s="3">
        <f>'Instagram Ads Raw Data'!B86</f>
        <v>24404</v>
      </c>
      <c r="D86" s="3">
        <f t="shared" si="1"/>
        <v>2.3151942304540239E-2</v>
      </c>
      <c r="E86" s="3">
        <f>'Instagram Ads Raw Data'!C86</f>
        <v>565</v>
      </c>
      <c r="F86" s="15">
        <f t="shared" si="2"/>
        <v>1.0884955752212389</v>
      </c>
      <c r="G86" s="4">
        <f t="shared" si="3"/>
        <v>25.200786756269466</v>
      </c>
      <c r="H86" s="4">
        <f>'Instagram Ads Raw Data'!D86</f>
        <v>615</v>
      </c>
      <c r="I86" s="3">
        <f t="shared" si="4"/>
        <v>2.3008849557522124E-2</v>
      </c>
      <c r="J86" s="3">
        <f>'Instagram Ads Raw Data'!E86</f>
        <v>13</v>
      </c>
      <c r="K86" s="4">
        <f t="shared" si="5"/>
        <v>116.69230769230769</v>
      </c>
      <c r="L86" s="4">
        <f>'Instagram Ads Raw Data'!F86</f>
        <v>1517</v>
      </c>
      <c r="M86" s="16">
        <f t="shared" si="6"/>
        <v>2.4666666666666668</v>
      </c>
      <c r="N86" s="17">
        <f t="shared" si="7"/>
        <v>47.307692307692307</v>
      </c>
    </row>
    <row r="87" spans="1:14" ht="13" x14ac:dyDescent="0.15">
      <c r="A87" s="2">
        <f>'Instagram Ads Raw Data'!A87</f>
        <v>45743</v>
      </c>
      <c r="B87" s="3">
        <f t="shared" si="0"/>
        <v>3</v>
      </c>
      <c r="C87" s="3">
        <f>'Instagram Ads Raw Data'!B87</f>
        <v>77058</v>
      </c>
      <c r="D87" s="3">
        <f t="shared" si="1"/>
        <v>1.3690986010537518E-2</v>
      </c>
      <c r="E87" s="3">
        <f>'Instagram Ads Raw Data'!C87</f>
        <v>1055</v>
      </c>
      <c r="F87" s="15">
        <f t="shared" si="2"/>
        <v>1.2047393364928909</v>
      </c>
      <c r="G87" s="4">
        <f t="shared" si="3"/>
        <v>16.494069402268419</v>
      </c>
      <c r="H87" s="4">
        <f>'Instagram Ads Raw Data'!D87</f>
        <v>1271</v>
      </c>
      <c r="I87" s="3">
        <f t="shared" si="4"/>
        <v>2.0853080568720379E-2</v>
      </c>
      <c r="J87" s="3">
        <f>'Instagram Ads Raw Data'!E87</f>
        <v>22</v>
      </c>
      <c r="K87" s="4">
        <f t="shared" si="5"/>
        <v>118.27272727272727</v>
      </c>
      <c r="L87" s="4">
        <f>'Instagram Ads Raw Data'!F87</f>
        <v>2602</v>
      </c>
      <c r="M87" s="16">
        <f t="shared" si="6"/>
        <v>2.0472069236821402</v>
      </c>
      <c r="N87" s="17">
        <f t="shared" si="7"/>
        <v>57.772727272727273</v>
      </c>
    </row>
    <row r="88" spans="1:14" ht="13" x14ac:dyDescent="0.15">
      <c r="A88" s="2">
        <f>'Instagram Ads Raw Data'!A88</f>
        <v>45744</v>
      </c>
      <c r="B88" s="3">
        <f t="shared" si="0"/>
        <v>3</v>
      </c>
      <c r="C88" s="3">
        <f>'Instagram Ads Raw Data'!B88</f>
        <v>14522</v>
      </c>
      <c r="D88" s="3">
        <f t="shared" si="1"/>
        <v>1.990084010466878E-2</v>
      </c>
      <c r="E88" s="3">
        <f>'Instagram Ads Raw Data'!C88</f>
        <v>289</v>
      </c>
      <c r="F88" s="15">
        <f t="shared" si="2"/>
        <v>1.3771626297577855</v>
      </c>
      <c r="G88" s="4">
        <f t="shared" si="3"/>
        <v>27.406693292934857</v>
      </c>
      <c r="H88" s="4">
        <f>'Instagram Ads Raw Data'!D88</f>
        <v>398</v>
      </c>
      <c r="I88" s="3">
        <f t="shared" si="4"/>
        <v>1.7301038062283738E-2</v>
      </c>
      <c r="J88" s="3">
        <f>'Instagram Ads Raw Data'!E88</f>
        <v>5</v>
      </c>
      <c r="K88" s="4">
        <f t="shared" si="5"/>
        <v>206.2</v>
      </c>
      <c r="L88" s="4">
        <f>'Instagram Ads Raw Data'!F88</f>
        <v>1031</v>
      </c>
      <c r="M88" s="16">
        <f t="shared" si="6"/>
        <v>2.5904522613065328</v>
      </c>
      <c r="N88" s="17">
        <f t="shared" si="7"/>
        <v>79.599999999999994</v>
      </c>
    </row>
    <row r="89" spans="1:14" ht="13" x14ac:dyDescent="0.15">
      <c r="A89" s="2">
        <f>'Instagram Ads Raw Data'!A89</f>
        <v>45745</v>
      </c>
      <c r="B89" s="3">
        <f t="shared" si="0"/>
        <v>3</v>
      </c>
      <c r="C89" s="3">
        <f>'Instagram Ads Raw Data'!B89</f>
        <v>76056</v>
      </c>
      <c r="D89" s="3">
        <f t="shared" si="1"/>
        <v>2.9530871989060691E-2</v>
      </c>
      <c r="E89" s="3">
        <f>'Instagram Ads Raw Data'!C89</f>
        <v>2246</v>
      </c>
      <c r="F89" s="15">
        <f t="shared" si="2"/>
        <v>1.5992876224398931</v>
      </c>
      <c r="G89" s="4">
        <f t="shared" si="3"/>
        <v>47.228358051961713</v>
      </c>
      <c r="H89" s="4">
        <f>'Instagram Ads Raw Data'!D89</f>
        <v>3592</v>
      </c>
      <c r="I89" s="3">
        <f t="shared" si="4"/>
        <v>1.5138023152270703E-2</v>
      </c>
      <c r="J89" s="3">
        <f>'Instagram Ads Raw Data'!E89</f>
        <v>34</v>
      </c>
      <c r="K89" s="4">
        <f t="shared" si="5"/>
        <v>177.6764705882353</v>
      </c>
      <c r="L89" s="4">
        <f>'Instagram Ads Raw Data'!F89</f>
        <v>6041</v>
      </c>
      <c r="M89" s="16">
        <f t="shared" si="6"/>
        <v>1.681792873051225</v>
      </c>
      <c r="N89" s="17">
        <f t="shared" si="7"/>
        <v>105.64705882352941</v>
      </c>
    </row>
    <row r="90" spans="1:14" ht="13" x14ac:dyDescent="0.15">
      <c r="A90" s="2">
        <f>'Instagram Ads Raw Data'!A90</f>
        <v>45746</v>
      </c>
      <c r="B90" s="3">
        <f t="shared" si="0"/>
        <v>3</v>
      </c>
      <c r="C90" s="3">
        <f>'Instagram Ads Raw Data'!B90</f>
        <v>62405</v>
      </c>
      <c r="D90" s="3">
        <f t="shared" si="1"/>
        <v>1.3220094543706434E-2</v>
      </c>
      <c r="E90" s="3">
        <f>'Instagram Ads Raw Data'!C90</f>
        <v>825</v>
      </c>
      <c r="F90" s="15">
        <f t="shared" si="2"/>
        <v>1.1309090909090909</v>
      </c>
      <c r="G90" s="4">
        <f t="shared" si="3"/>
        <v>14.950725102155277</v>
      </c>
      <c r="H90" s="4">
        <f>'Instagram Ads Raw Data'!D90</f>
        <v>933</v>
      </c>
      <c r="I90" s="3">
        <f t="shared" si="4"/>
        <v>1.5757575757575758E-2</v>
      </c>
      <c r="J90" s="3">
        <f>'Instagram Ads Raw Data'!E90</f>
        <v>13</v>
      </c>
      <c r="K90" s="4">
        <f t="shared" si="5"/>
        <v>94.07692307692308</v>
      </c>
      <c r="L90" s="4">
        <f>'Instagram Ads Raw Data'!F90</f>
        <v>1223</v>
      </c>
      <c r="M90" s="16">
        <f t="shared" si="6"/>
        <v>1.3108252947481243</v>
      </c>
      <c r="N90" s="17">
        <f t="shared" si="7"/>
        <v>71.769230769230774</v>
      </c>
    </row>
    <row r="91" spans="1:14" ht="13" x14ac:dyDescent="0.15">
      <c r="A91" s="2">
        <f>'Instagram Ads Raw Data'!A91</f>
        <v>45747</v>
      </c>
      <c r="B91" s="3">
        <f t="shared" si="0"/>
        <v>3</v>
      </c>
      <c r="C91" s="3">
        <f>'Instagram Ads Raw Data'!B91</f>
        <v>48371</v>
      </c>
      <c r="D91" s="3">
        <f t="shared" si="1"/>
        <v>1.4822931095077629E-2</v>
      </c>
      <c r="E91" s="3">
        <f>'Instagram Ads Raw Data'!C91</f>
        <v>717</v>
      </c>
      <c r="F91" s="15">
        <f t="shared" si="2"/>
        <v>1.2747559274755929</v>
      </c>
      <c r="G91" s="4">
        <f t="shared" si="3"/>
        <v>18.895619276012486</v>
      </c>
      <c r="H91" s="4">
        <f>'Instagram Ads Raw Data'!D91</f>
        <v>914</v>
      </c>
      <c r="I91" s="3">
        <f t="shared" si="4"/>
        <v>1.813110181311018E-2</v>
      </c>
      <c r="J91" s="3">
        <f>'Instagram Ads Raw Data'!E91</f>
        <v>13</v>
      </c>
      <c r="K91" s="4">
        <f t="shared" si="5"/>
        <v>135.69230769230768</v>
      </c>
      <c r="L91" s="4">
        <f>'Instagram Ads Raw Data'!F91</f>
        <v>1764</v>
      </c>
      <c r="M91" s="16">
        <f t="shared" si="6"/>
        <v>1.9299781181619255</v>
      </c>
      <c r="N91" s="17">
        <f t="shared" si="7"/>
        <v>70.307692307692307</v>
      </c>
    </row>
    <row r="92" spans="1:14" ht="13" x14ac:dyDescent="0.15">
      <c r="A92" s="2">
        <f>'Instagram Ads Raw Data'!A92</f>
        <v>45748</v>
      </c>
      <c r="B92" s="3">
        <f t="shared" si="0"/>
        <v>4</v>
      </c>
      <c r="C92" s="3">
        <f>'Instagram Ads Raw Data'!B92</f>
        <v>66192</v>
      </c>
      <c r="D92" s="3">
        <f t="shared" si="1"/>
        <v>1.6482354363065024E-2</v>
      </c>
      <c r="E92" s="3">
        <f>'Instagram Ads Raw Data'!C92</f>
        <v>1091</v>
      </c>
      <c r="F92" s="15">
        <f t="shared" si="2"/>
        <v>1.7085242896425299</v>
      </c>
      <c r="G92" s="4">
        <f t="shared" si="3"/>
        <v>28.160502779792122</v>
      </c>
      <c r="H92" s="4">
        <f>'Instagram Ads Raw Data'!D92</f>
        <v>1864</v>
      </c>
      <c r="I92" s="3">
        <f t="shared" si="4"/>
        <v>2.1081576535288724E-2</v>
      </c>
      <c r="J92" s="3">
        <f>'Instagram Ads Raw Data'!E92</f>
        <v>23</v>
      </c>
      <c r="K92" s="4">
        <f t="shared" si="5"/>
        <v>124.17391304347827</v>
      </c>
      <c r="L92" s="4">
        <f>'Instagram Ads Raw Data'!F92</f>
        <v>2856</v>
      </c>
      <c r="M92" s="16">
        <f t="shared" si="6"/>
        <v>1.5321888412017168</v>
      </c>
      <c r="N92" s="17">
        <f t="shared" si="7"/>
        <v>81.043478260869563</v>
      </c>
    </row>
    <row r="93" spans="1:14" ht="13" x14ac:dyDescent="0.15">
      <c r="A93" s="2">
        <f>'Instagram Ads Raw Data'!A93</f>
        <v>45749</v>
      </c>
      <c r="B93" s="3">
        <f t="shared" si="0"/>
        <v>4</v>
      </c>
      <c r="C93" s="3">
        <f>'Instagram Ads Raw Data'!B93</f>
        <v>89399</v>
      </c>
      <c r="D93" s="3">
        <f t="shared" si="1"/>
        <v>1.9754135952303718E-2</v>
      </c>
      <c r="E93" s="3">
        <f>'Instagram Ads Raw Data'!C93</f>
        <v>1766</v>
      </c>
      <c r="F93" s="15">
        <f t="shared" si="2"/>
        <v>1.7327293318233297</v>
      </c>
      <c r="G93" s="4">
        <f t="shared" si="3"/>
        <v>34.228570789382431</v>
      </c>
      <c r="H93" s="4">
        <f>'Instagram Ads Raw Data'!D93</f>
        <v>3060</v>
      </c>
      <c r="I93" s="3">
        <f t="shared" si="4"/>
        <v>2.3782559456398639E-2</v>
      </c>
      <c r="J93" s="3">
        <f>'Instagram Ads Raw Data'!E93</f>
        <v>42</v>
      </c>
      <c r="K93" s="4">
        <f t="shared" si="5"/>
        <v>110.14285714285714</v>
      </c>
      <c r="L93" s="4">
        <f>'Instagram Ads Raw Data'!F93</f>
        <v>4626</v>
      </c>
      <c r="M93" s="16">
        <f t="shared" si="6"/>
        <v>1.5117647058823529</v>
      </c>
      <c r="N93" s="17">
        <f t="shared" si="7"/>
        <v>72.857142857142861</v>
      </c>
    </row>
    <row r="94" spans="1:14" ht="13" x14ac:dyDescent="0.15">
      <c r="A94" s="2">
        <f>'Instagram Ads Raw Data'!A94</f>
        <v>45750</v>
      </c>
      <c r="B94" s="3">
        <f t="shared" si="0"/>
        <v>4</v>
      </c>
      <c r="C94" s="3">
        <f>'Instagram Ads Raw Data'!B94</f>
        <v>25304</v>
      </c>
      <c r="D94" s="3">
        <f t="shared" si="1"/>
        <v>1.2251027505532723E-2</v>
      </c>
      <c r="E94" s="3">
        <f>'Instagram Ads Raw Data'!C94</f>
        <v>310</v>
      </c>
      <c r="F94" s="15">
        <f t="shared" si="2"/>
        <v>1.5935483870967742</v>
      </c>
      <c r="G94" s="4">
        <f t="shared" si="3"/>
        <v>19.522605121719888</v>
      </c>
      <c r="H94" s="4">
        <f>'Instagram Ads Raw Data'!D94</f>
        <v>494</v>
      </c>
      <c r="I94" s="3">
        <f t="shared" si="4"/>
        <v>2.2580645161290321E-2</v>
      </c>
      <c r="J94" s="3">
        <f>'Instagram Ads Raw Data'!E94</f>
        <v>7</v>
      </c>
      <c r="K94" s="4">
        <f t="shared" si="5"/>
        <v>109.42857142857143</v>
      </c>
      <c r="L94" s="4">
        <f>'Instagram Ads Raw Data'!F94</f>
        <v>766</v>
      </c>
      <c r="M94" s="16">
        <f t="shared" si="6"/>
        <v>1.5506072874493928</v>
      </c>
      <c r="N94" s="17">
        <f t="shared" si="7"/>
        <v>70.571428571428569</v>
      </c>
    </row>
    <row r="95" spans="1:14" ht="13" x14ac:dyDescent="0.15">
      <c r="A95" s="2">
        <f>'Instagram Ads Raw Data'!A95</f>
        <v>45751</v>
      </c>
      <c r="B95" s="3">
        <f t="shared" si="0"/>
        <v>4</v>
      </c>
      <c r="C95" s="3">
        <f>'Instagram Ads Raw Data'!B95</f>
        <v>65507</v>
      </c>
      <c r="D95" s="3">
        <f t="shared" si="1"/>
        <v>3.1614941914604545E-2</v>
      </c>
      <c r="E95" s="3">
        <f>'Instagram Ads Raw Data'!C95</f>
        <v>2071</v>
      </c>
      <c r="F95" s="15">
        <f t="shared" si="2"/>
        <v>1.5543215837759536</v>
      </c>
      <c r="G95" s="4">
        <f t="shared" si="3"/>
        <v>49.139786587692917</v>
      </c>
      <c r="H95" s="4">
        <f>'Instagram Ads Raw Data'!D95</f>
        <v>3219</v>
      </c>
      <c r="I95" s="3">
        <f t="shared" si="4"/>
        <v>2.4142926122646065E-2</v>
      </c>
      <c r="J95" s="3">
        <f>'Instagram Ads Raw Data'!E95</f>
        <v>50</v>
      </c>
      <c r="K95" s="4">
        <f t="shared" si="5"/>
        <v>126.5</v>
      </c>
      <c r="L95" s="4">
        <f>'Instagram Ads Raw Data'!F95</f>
        <v>6325</v>
      </c>
      <c r="M95" s="16">
        <f t="shared" si="6"/>
        <v>1.9648959304131719</v>
      </c>
      <c r="N95" s="17">
        <f t="shared" si="7"/>
        <v>64.38</v>
      </c>
    </row>
    <row r="96" spans="1:14" ht="13" x14ac:dyDescent="0.15">
      <c r="A96" s="2">
        <f>'Instagram Ads Raw Data'!A96</f>
        <v>45752</v>
      </c>
      <c r="B96" s="3">
        <f t="shared" si="0"/>
        <v>4</v>
      </c>
      <c r="C96" s="3">
        <f>'Instagram Ads Raw Data'!B96</f>
        <v>19085</v>
      </c>
      <c r="D96" s="3">
        <f t="shared" si="1"/>
        <v>2.3369138066544407E-2</v>
      </c>
      <c r="E96" s="3">
        <f>'Instagram Ads Raw Data'!C96</f>
        <v>446</v>
      </c>
      <c r="F96" s="15">
        <f t="shared" si="2"/>
        <v>1.7197309417040358</v>
      </c>
      <c r="G96" s="4">
        <f t="shared" si="3"/>
        <v>40.18862981399004</v>
      </c>
      <c r="H96" s="4">
        <f>'Instagram Ads Raw Data'!D96</f>
        <v>767</v>
      </c>
      <c r="I96" s="3">
        <f t="shared" si="4"/>
        <v>1.5695067264573991E-2</v>
      </c>
      <c r="J96" s="3">
        <f>'Instagram Ads Raw Data'!E96</f>
        <v>7</v>
      </c>
      <c r="K96" s="4">
        <f t="shared" si="5"/>
        <v>99.571428571428569</v>
      </c>
      <c r="L96" s="4">
        <f>'Instagram Ads Raw Data'!F96</f>
        <v>697</v>
      </c>
      <c r="M96" s="16">
        <f t="shared" si="6"/>
        <v>0.90873533246414606</v>
      </c>
      <c r="N96" s="17">
        <f t="shared" si="7"/>
        <v>109.57142857142857</v>
      </c>
    </row>
    <row r="97" spans="1:14" ht="13" x14ac:dyDescent="0.15">
      <c r="A97" s="2">
        <f>'Instagram Ads Raw Data'!A97</f>
        <v>45753</v>
      </c>
      <c r="B97" s="3">
        <f t="shared" si="0"/>
        <v>4</v>
      </c>
      <c r="C97" s="3">
        <f>'Instagram Ads Raw Data'!B97</f>
        <v>93702</v>
      </c>
      <c r="D97" s="3">
        <f t="shared" si="1"/>
        <v>1.8846982988623508E-2</v>
      </c>
      <c r="E97" s="3">
        <f>'Instagram Ads Raw Data'!C97</f>
        <v>1766</v>
      </c>
      <c r="F97" s="15">
        <f t="shared" si="2"/>
        <v>1.7355605889014722</v>
      </c>
      <c r="G97" s="4">
        <f t="shared" si="3"/>
        <v>32.710080894751449</v>
      </c>
      <c r="H97" s="4">
        <f>'Instagram Ads Raw Data'!D97</f>
        <v>3065</v>
      </c>
      <c r="I97" s="3">
        <f t="shared" si="4"/>
        <v>1.9252548131370329E-2</v>
      </c>
      <c r="J97" s="3">
        <f>'Instagram Ads Raw Data'!E97</f>
        <v>34</v>
      </c>
      <c r="K97" s="4">
        <f t="shared" si="5"/>
        <v>132.94117647058823</v>
      </c>
      <c r="L97" s="4">
        <f>'Instagram Ads Raw Data'!F97</f>
        <v>4520</v>
      </c>
      <c r="M97" s="16">
        <f t="shared" si="6"/>
        <v>1.4747145187601958</v>
      </c>
      <c r="N97" s="17">
        <f t="shared" si="7"/>
        <v>90.147058823529406</v>
      </c>
    </row>
    <row r="98" spans="1:14" ht="13" x14ac:dyDescent="0.15">
      <c r="A98" s="2">
        <f>'Instagram Ads Raw Data'!A98</f>
        <v>45754</v>
      </c>
      <c r="B98" s="3">
        <f t="shared" si="0"/>
        <v>4</v>
      </c>
      <c r="C98" s="3">
        <f>'Instagram Ads Raw Data'!B98</f>
        <v>77462</v>
      </c>
      <c r="D98" s="3">
        <f t="shared" si="1"/>
        <v>2.9549972889933128E-2</v>
      </c>
      <c r="E98" s="3">
        <f>'Instagram Ads Raw Data'!C98</f>
        <v>2289</v>
      </c>
      <c r="F98" s="15">
        <f t="shared" si="2"/>
        <v>1.6574923547400611</v>
      </c>
      <c r="G98" s="4">
        <f t="shared" si="3"/>
        <v>48.978854147840231</v>
      </c>
      <c r="H98" s="4">
        <f>'Instagram Ads Raw Data'!D98</f>
        <v>3794</v>
      </c>
      <c r="I98" s="3">
        <f t="shared" si="4"/>
        <v>1.7038007863695939E-2</v>
      </c>
      <c r="J98" s="3">
        <f>'Instagram Ads Raw Data'!E98</f>
        <v>39</v>
      </c>
      <c r="K98" s="4">
        <f t="shared" si="5"/>
        <v>155.87179487179486</v>
      </c>
      <c r="L98" s="4">
        <f>'Instagram Ads Raw Data'!F98</f>
        <v>6079</v>
      </c>
      <c r="M98" s="16">
        <f t="shared" si="6"/>
        <v>1.6022667369530839</v>
      </c>
      <c r="N98" s="17">
        <f t="shared" si="7"/>
        <v>97.282051282051285</v>
      </c>
    </row>
    <row r="99" spans="1:14" ht="13" x14ac:dyDescent="0.15">
      <c r="A99" s="2">
        <f>'Instagram Ads Raw Data'!A99</f>
        <v>45755</v>
      </c>
      <c r="B99" s="3">
        <f t="shared" si="0"/>
        <v>4</v>
      </c>
      <c r="C99" s="3">
        <f>'Instagram Ads Raw Data'!B99</f>
        <v>88889</v>
      </c>
      <c r="D99" s="3">
        <f t="shared" si="1"/>
        <v>2.3039971200036001E-2</v>
      </c>
      <c r="E99" s="3">
        <f>'Instagram Ads Raw Data'!C99</f>
        <v>2048</v>
      </c>
      <c r="F99" s="15">
        <f t="shared" si="2"/>
        <v>1.7353515625</v>
      </c>
      <c r="G99" s="4">
        <f t="shared" si="3"/>
        <v>39.982450021937474</v>
      </c>
      <c r="H99" s="4">
        <f>'Instagram Ads Raw Data'!D99</f>
        <v>3554</v>
      </c>
      <c r="I99" s="3">
        <f t="shared" si="4"/>
        <v>1.3671875E-2</v>
      </c>
      <c r="J99" s="3">
        <f>'Instagram Ads Raw Data'!E99</f>
        <v>28</v>
      </c>
      <c r="K99" s="4">
        <f t="shared" si="5"/>
        <v>209</v>
      </c>
      <c r="L99" s="4">
        <f>'Instagram Ads Raw Data'!F99</f>
        <v>5852</v>
      </c>
      <c r="M99" s="16">
        <f t="shared" si="6"/>
        <v>1.6465953854811479</v>
      </c>
      <c r="N99" s="17">
        <f t="shared" si="7"/>
        <v>126.92857142857143</v>
      </c>
    </row>
    <row r="100" spans="1:14" ht="13" x14ac:dyDescent="0.15">
      <c r="A100" s="2">
        <f>'Instagram Ads Raw Data'!A100</f>
        <v>45756</v>
      </c>
      <c r="B100" s="3">
        <f t="shared" si="0"/>
        <v>4</v>
      </c>
      <c r="C100" s="3">
        <f>'Instagram Ads Raw Data'!B100</f>
        <v>52248</v>
      </c>
      <c r="D100" s="3">
        <f t="shared" si="1"/>
        <v>1.1483693155718878E-2</v>
      </c>
      <c r="E100" s="3">
        <f>'Instagram Ads Raw Data'!C100</f>
        <v>600</v>
      </c>
      <c r="F100" s="15">
        <f t="shared" si="2"/>
        <v>1.4016666666666666</v>
      </c>
      <c r="G100" s="4">
        <f t="shared" si="3"/>
        <v>16.096309906599295</v>
      </c>
      <c r="H100" s="4">
        <f>'Instagram Ads Raw Data'!D100</f>
        <v>841</v>
      </c>
      <c r="I100" s="3">
        <f t="shared" si="4"/>
        <v>1.8333333333333333E-2</v>
      </c>
      <c r="J100" s="3">
        <f>'Instagram Ads Raw Data'!E100</f>
        <v>11</v>
      </c>
      <c r="K100" s="4">
        <f t="shared" si="5"/>
        <v>119</v>
      </c>
      <c r="L100" s="4">
        <f>'Instagram Ads Raw Data'!F100</f>
        <v>1309</v>
      </c>
      <c r="M100" s="16">
        <f t="shared" si="6"/>
        <v>1.5564803804994054</v>
      </c>
      <c r="N100" s="17">
        <f t="shared" si="7"/>
        <v>76.454545454545453</v>
      </c>
    </row>
    <row r="101" spans="1:14" ht="13" x14ac:dyDescent="0.15">
      <c r="A101" s="2">
        <f>'Instagram Ads Raw Data'!A101</f>
        <v>45757</v>
      </c>
      <c r="B101" s="3">
        <f t="shared" si="0"/>
        <v>4</v>
      </c>
      <c r="C101" s="3">
        <f>'Instagram Ads Raw Data'!B101</f>
        <v>50253</v>
      </c>
      <c r="D101" s="3">
        <f t="shared" si="1"/>
        <v>1.6755218593914791E-2</v>
      </c>
      <c r="E101" s="3">
        <f>'Instagram Ads Raw Data'!C101</f>
        <v>842</v>
      </c>
      <c r="F101" s="15">
        <f t="shared" si="2"/>
        <v>1.2672209026128265</v>
      </c>
      <c r="G101" s="4">
        <f t="shared" si="3"/>
        <v>21.232563230055916</v>
      </c>
      <c r="H101" s="4">
        <f>'Instagram Ads Raw Data'!D101</f>
        <v>1067</v>
      </c>
      <c r="I101" s="3">
        <f t="shared" si="4"/>
        <v>1.3064133016627079E-2</v>
      </c>
      <c r="J101" s="3">
        <f>'Instagram Ads Raw Data'!E101</f>
        <v>11</v>
      </c>
      <c r="K101" s="4">
        <f t="shared" si="5"/>
        <v>145.09090909090909</v>
      </c>
      <c r="L101" s="4">
        <f>'Instagram Ads Raw Data'!F101</f>
        <v>1596</v>
      </c>
      <c r="M101" s="16">
        <f t="shared" si="6"/>
        <v>1.4957825679475163</v>
      </c>
      <c r="N101" s="17">
        <f t="shared" si="7"/>
        <v>97</v>
      </c>
    </row>
    <row r="102" spans="1:14" ht="13" x14ac:dyDescent="0.15">
      <c r="A102" s="2">
        <f>'Instagram Ads Raw Data'!A102</f>
        <v>45758</v>
      </c>
      <c r="B102" s="3">
        <f t="shared" si="0"/>
        <v>4</v>
      </c>
      <c r="C102" s="3">
        <f>'Instagram Ads Raw Data'!B102</f>
        <v>69120</v>
      </c>
      <c r="D102" s="3">
        <f t="shared" si="1"/>
        <v>3.0107060185185185E-2</v>
      </c>
      <c r="E102" s="3">
        <f>'Instagram Ads Raw Data'!C102</f>
        <v>2081</v>
      </c>
      <c r="F102" s="15">
        <f t="shared" si="2"/>
        <v>1.2023065833733781</v>
      </c>
      <c r="G102" s="4">
        <f t="shared" si="3"/>
        <v>36.197916666666664</v>
      </c>
      <c r="H102" s="4">
        <f>'Instagram Ads Raw Data'!D102</f>
        <v>2502</v>
      </c>
      <c r="I102" s="3">
        <f t="shared" si="4"/>
        <v>1.7299375300336376E-2</v>
      </c>
      <c r="J102" s="3">
        <f>'Instagram Ads Raw Data'!E102</f>
        <v>36</v>
      </c>
      <c r="K102" s="4">
        <f t="shared" si="5"/>
        <v>209.36111111111111</v>
      </c>
      <c r="L102" s="4">
        <f>'Instagram Ads Raw Data'!F102</f>
        <v>7537</v>
      </c>
      <c r="M102" s="16">
        <f t="shared" si="6"/>
        <v>3.0123900879296563</v>
      </c>
      <c r="N102" s="17">
        <f t="shared" si="7"/>
        <v>69.5</v>
      </c>
    </row>
    <row r="103" spans="1:14" ht="13" x14ac:dyDescent="0.15">
      <c r="A103" s="2">
        <f>'Instagram Ads Raw Data'!A103</f>
        <v>45759</v>
      </c>
      <c r="B103" s="3">
        <f t="shared" si="0"/>
        <v>4</v>
      </c>
      <c r="C103" s="3">
        <f>'Instagram Ads Raw Data'!B103</f>
        <v>89518</v>
      </c>
      <c r="D103" s="3">
        <f t="shared" si="1"/>
        <v>1.9437431578006658E-2</v>
      </c>
      <c r="E103" s="3">
        <f>'Instagram Ads Raw Data'!C103</f>
        <v>1740</v>
      </c>
      <c r="F103" s="15">
        <f t="shared" si="2"/>
        <v>1.2919540229885058</v>
      </c>
      <c r="G103" s="4">
        <f t="shared" si="3"/>
        <v>25.112267923769522</v>
      </c>
      <c r="H103" s="4">
        <f>'Instagram Ads Raw Data'!D103</f>
        <v>2248</v>
      </c>
      <c r="I103" s="3">
        <f t="shared" si="4"/>
        <v>1.1494252873563218E-2</v>
      </c>
      <c r="J103" s="3">
        <f>'Instagram Ads Raw Data'!E103</f>
        <v>20</v>
      </c>
      <c r="K103" s="4">
        <f t="shared" si="5"/>
        <v>112.25</v>
      </c>
      <c r="L103" s="4">
        <f>'Instagram Ads Raw Data'!F103</f>
        <v>2245</v>
      </c>
      <c r="M103" s="16">
        <f t="shared" si="6"/>
        <v>0.99866548042704628</v>
      </c>
      <c r="N103" s="17">
        <f t="shared" si="7"/>
        <v>112.4</v>
      </c>
    </row>
    <row r="104" spans="1:14" ht="13" x14ac:dyDescent="0.15">
      <c r="A104" s="2">
        <f>'Instagram Ads Raw Data'!A104</f>
        <v>45760</v>
      </c>
      <c r="B104" s="3">
        <f t="shared" si="0"/>
        <v>4</v>
      </c>
      <c r="C104" s="3">
        <f>'Instagram Ads Raw Data'!B104</f>
        <v>22275</v>
      </c>
      <c r="D104" s="3">
        <f t="shared" si="1"/>
        <v>1.9618406285072953E-2</v>
      </c>
      <c r="E104" s="3">
        <f>'Instagram Ads Raw Data'!C104</f>
        <v>437</v>
      </c>
      <c r="F104" s="15">
        <f t="shared" si="2"/>
        <v>1.6979405034324944</v>
      </c>
      <c r="G104" s="4">
        <f t="shared" si="3"/>
        <v>33.310886644219977</v>
      </c>
      <c r="H104" s="4">
        <f>'Instagram Ads Raw Data'!D104</f>
        <v>742</v>
      </c>
      <c r="I104" s="3">
        <f t="shared" si="4"/>
        <v>1.3729977116704805E-2</v>
      </c>
      <c r="J104" s="3">
        <f>'Instagram Ads Raw Data'!E104</f>
        <v>6</v>
      </c>
      <c r="K104" s="4">
        <f t="shared" si="5"/>
        <v>158.33333333333334</v>
      </c>
      <c r="L104" s="4">
        <f>'Instagram Ads Raw Data'!F104</f>
        <v>950</v>
      </c>
      <c r="M104" s="16">
        <f t="shared" si="6"/>
        <v>1.2803234501347709</v>
      </c>
      <c r="N104" s="17">
        <f t="shared" si="7"/>
        <v>123.66666666666667</v>
      </c>
    </row>
    <row r="105" spans="1:14" ht="13" x14ac:dyDescent="0.15">
      <c r="A105" s="2">
        <f>'Instagram Ads Raw Data'!A105</f>
        <v>45761</v>
      </c>
      <c r="B105" s="3">
        <f t="shared" si="0"/>
        <v>4</v>
      </c>
      <c r="C105" s="3">
        <f>'Instagram Ads Raw Data'!B105</f>
        <v>81832</v>
      </c>
      <c r="D105" s="3">
        <f t="shared" si="1"/>
        <v>1.3393293577084759E-2</v>
      </c>
      <c r="E105" s="3">
        <f>'Instagram Ads Raw Data'!C105</f>
        <v>1096</v>
      </c>
      <c r="F105" s="15">
        <f t="shared" si="2"/>
        <v>1.333941605839416</v>
      </c>
      <c r="G105" s="4">
        <f t="shared" si="3"/>
        <v>17.865871541695181</v>
      </c>
      <c r="H105" s="4">
        <f>'Instagram Ads Raw Data'!D105</f>
        <v>1462</v>
      </c>
      <c r="I105" s="3">
        <f t="shared" si="4"/>
        <v>1.916058394160584E-2</v>
      </c>
      <c r="J105" s="3">
        <f>'Instagram Ads Raw Data'!E105</f>
        <v>21</v>
      </c>
      <c r="K105" s="4">
        <f t="shared" si="5"/>
        <v>142.57142857142858</v>
      </c>
      <c r="L105" s="4">
        <f>'Instagram Ads Raw Data'!F105</f>
        <v>2994</v>
      </c>
      <c r="M105" s="16">
        <f t="shared" si="6"/>
        <v>2.0478796169630642</v>
      </c>
      <c r="N105" s="17">
        <f t="shared" si="7"/>
        <v>69.61904761904762</v>
      </c>
    </row>
    <row r="106" spans="1:14" ht="13" x14ac:dyDescent="0.15">
      <c r="A106" s="2">
        <f>'Instagram Ads Raw Data'!A106</f>
        <v>45762</v>
      </c>
      <c r="B106" s="3">
        <f t="shared" si="0"/>
        <v>4</v>
      </c>
      <c r="C106" s="3">
        <f>'Instagram Ads Raw Data'!B106</f>
        <v>93408</v>
      </c>
      <c r="D106" s="3">
        <f t="shared" si="1"/>
        <v>1.9709232613908872E-2</v>
      </c>
      <c r="E106" s="3">
        <f>'Instagram Ads Raw Data'!C106</f>
        <v>1841</v>
      </c>
      <c r="F106" s="15">
        <f t="shared" si="2"/>
        <v>2.0429114611624115</v>
      </c>
      <c r="G106" s="4">
        <f t="shared" si="3"/>
        <v>40.264217197670433</v>
      </c>
      <c r="H106" s="4">
        <f>'Instagram Ads Raw Data'!D106</f>
        <v>3761</v>
      </c>
      <c r="I106" s="3">
        <f t="shared" si="4"/>
        <v>2.0640956002172733E-2</v>
      </c>
      <c r="J106" s="3">
        <f>'Instagram Ads Raw Data'!E106</f>
        <v>38</v>
      </c>
      <c r="K106" s="4">
        <f t="shared" si="5"/>
        <v>173.36842105263159</v>
      </c>
      <c r="L106" s="4">
        <f>'Instagram Ads Raw Data'!F106</f>
        <v>6588</v>
      </c>
      <c r="M106" s="16">
        <f t="shared" si="6"/>
        <v>1.7516617920765754</v>
      </c>
      <c r="N106" s="17">
        <f t="shared" si="7"/>
        <v>98.973684210526315</v>
      </c>
    </row>
    <row r="107" spans="1:14" ht="13" x14ac:dyDescent="0.15">
      <c r="A107" s="2">
        <f>'Instagram Ads Raw Data'!A107</f>
        <v>45763</v>
      </c>
      <c r="B107" s="3">
        <f t="shared" si="0"/>
        <v>4</v>
      </c>
      <c r="C107" s="3">
        <f>'Instagram Ads Raw Data'!B107</f>
        <v>23712</v>
      </c>
      <c r="D107" s="3">
        <f t="shared" si="1"/>
        <v>1.4423076923076924E-2</v>
      </c>
      <c r="E107" s="3">
        <f>'Instagram Ads Raw Data'!C107</f>
        <v>342</v>
      </c>
      <c r="F107" s="15">
        <f t="shared" si="2"/>
        <v>1.1783625730994152</v>
      </c>
      <c r="G107" s="4">
        <f t="shared" si="3"/>
        <v>16.995614035087719</v>
      </c>
      <c r="H107" s="4">
        <f>'Instagram Ads Raw Data'!D107</f>
        <v>403</v>
      </c>
      <c r="I107" s="3">
        <f t="shared" si="4"/>
        <v>2.3391812865497075E-2</v>
      </c>
      <c r="J107" s="3">
        <f>'Instagram Ads Raw Data'!E107</f>
        <v>8</v>
      </c>
      <c r="K107" s="4">
        <f t="shared" si="5"/>
        <v>148.5</v>
      </c>
      <c r="L107" s="4">
        <f>'Instagram Ads Raw Data'!F107</f>
        <v>1188</v>
      </c>
      <c r="M107" s="16">
        <f t="shared" si="6"/>
        <v>2.9478908188585606</v>
      </c>
      <c r="N107" s="17">
        <f t="shared" si="7"/>
        <v>50.375</v>
      </c>
    </row>
    <row r="108" spans="1:14" ht="13" x14ac:dyDescent="0.15">
      <c r="A108" s="2">
        <f>'Instagram Ads Raw Data'!A108</f>
        <v>45764</v>
      </c>
      <c r="B108" s="3">
        <f t="shared" si="0"/>
        <v>4</v>
      </c>
      <c r="C108" s="3">
        <f>'Instagram Ads Raw Data'!B108</f>
        <v>82162</v>
      </c>
      <c r="D108" s="3">
        <f t="shared" si="1"/>
        <v>1.2256274190014849E-2</v>
      </c>
      <c r="E108" s="3">
        <f>'Instagram Ads Raw Data'!C108</f>
        <v>1007</v>
      </c>
      <c r="F108" s="15">
        <f t="shared" si="2"/>
        <v>1.7745779543197617</v>
      </c>
      <c r="G108" s="4">
        <f t="shared" si="3"/>
        <v>21.749713979698644</v>
      </c>
      <c r="H108" s="4">
        <f>'Instagram Ads Raw Data'!D108</f>
        <v>1787</v>
      </c>
      <c r="I108" s="3">
        <f t="shared" si="4"/>
        <v>1.9860973187686197E-2</v>
      </c>
      <c r="J108" s="3">
        <f>'Instagram Ads Raw Data'!E108</f>
        <v>20</v>
      </c>
      <c r="K108" s="4">
        <f t="shared" si="5"/>
        <v>171.65</v>
      </c>
      <c r="L108" s="4">
        <f>'Instagram Ads Raw Data'!F108</f>
        <v>3433</v>
      </c>
      <c r="M108" s="16">
        <f t="shared" si="6"/>
        <v>1.9210968102965864</v>
      </c>
      <c r="N108" s="17">
        <f t="shared" si="7"/>
        <v>89.35</v>
      </c>
    </row>
    <row r="109" spans="1:14" ht="13" x14ac:dyDescent="0.15">
      <c r="A109" s="2">
        <f>'Instagram Ads Raw Data'!A109</f>
        <v>45765</v>
      </c>
      <c r="B109" s="3">
        <f t="shared" si="0"/>
        <v>4</v>
      </c>
      <c r="C109" s="3">
        <f>'Instagram Ads Raw Data'!B109</f>
        <v>100916</v>
      </c>
      <c r="D109" s="3">
        <f t="shared" si="1"/>
        <v>1.9541004399698761E-2</v>
      </c>
      <c r="E109" s="3">
        <f>'Instagram Ads Raw Data'!C109</f>
        <v>1972</v>
      </c>
      <c r="F109" s="15">
        <f t="shared" si="2"/>
        <v>1.3671399594320486</v>
      </c>
      <c r="G109" s="4">
        <f t="shared" si="3"/>
        <v>26.715287962265649</v>
      </c>
      <c r="H109" s="4">
        <f>'Instagram Ads Raw Data'!D109</f>
        <v>2696</v>
      </c>
      <c r="I109" s="3">
        <f t="shared" si="4"/>
        <v>2.383367139959432E-2</v>
      </c>
      <c r="J109" s="3">
        <f>'Instagram Ads Raw Data'!E109</f>
        <v>47</v>
      </c>
      <c r="K109" s="4">
        <f t="shared" si="5"/>
        <v>124.25531914893617</v>
      </c>
      <c r="L109" s="4">
        <f>'Instagram Ads Raw Data'!F109</f>
        <v>5840</v>
      </c>
      <c r="M109" s="16">
        <f t="shared" si="6"/>
        <v>2.1661721068249258</v>
      </c>
      <c r="N109" s="17">
        <f t="shared" si="7"/>
        <v>57.361702127659576</v>
      </c>
    </row>
    <row r="110" spans="1:14" ht="13" x14ac:dyDescent="0.15">
      <c r="A110" s="2">
        <f>'Instagram Ads Raw Data'!A110</f>
        <v>45766</v>
      </c>
      <c r="B110" s="3">
        <f t="shared" si="0"/>
        <v>4</v>
      </c>
      <c r="C110" s="3">
        <f>'Instagram Ads Raw Data'!B110</f>
        <v>20494</v>
      </c>
      <c r="D110" s="3">
        <f t="shared" si="1"/>
        <v>2.0054650141504832E-2</v>
      </c>
      <c r="E110" s="3">
        <f>'Instagram Ads Raw Data'!C110</f>
        <v>411</v>
      </c>
      <c r="F110" s="15">
        <f t="shared" si="2"/>
        <v>1.7858880778588808</v>
      </c>
      <c r="G110" s="4">
        <f t="shared" si="3"/>
        <v>35.815360593344394</v>
      </c>
      <c r="H110" s="4">
        <f>'Instagram Ads Raw Data'!D110</f>
        <v>734</v>
      </c>
      <c r="I110" s="3">
        <f t="shared" si="4"/>
        <v>9.7323600973236012E-3</v>
      </c>
      <c r="J110" s="3">
        <f>'Instagram Ads Raw Data'!E110</f>
        <v>4</v>
      </c>
      <c r="K110" s="4">
        <f t="shared" si="5"/>
        <v>167.25</v>
      </c>
      <c r="L110" s="4">
        <f>'Instagram Ads Raw Data'!F110</f>
        <v>669</v>
      </c>
      <c r="M110" s="16">
        <f t="shared" si="6"/>
        <v>0.91144414168937327</v>
      </c>
      <c r="N110" s="17">
        <f t="shared" si="7"/>
        <v>183.5</v>
      </c>
    </row>
    <row r="111" spans="1:14" ht="13" x14ac:dyDescent="0.15">
      <c r="A111" s="2">
        <f>'Instagram Ads Raw Data'!A111</f>
        <v>45767</v>
      </c>
      <c r="B111" s="3">
        <f t="shared" si="0"/>
        <v>4</v>
      </c>
      <c r="C111" s="3">
        <f>'Instagram Ads Raw Data'!B111</f>
        <v>47284</v>
      </c>
      <c r="D111" s="3">
        <f t="shared" si="1"/>
        <v>1.4952203705270282E-2</v>
      </c>
      <c r="E111" s="3">
        <f>'Instagram Ads Raw Data'!C111</f>
        <v>707</v>
      </c>
      <c r="F111" s="15">
        <f t="shared" si="2"/>
        <v>1.8260254596888261</v>
      </c>
      <c r="G111" s="4">
        <f t="shared" si="3"/>
        <v>27.303104644277134</v>
      </c>
      <c r="H111" s="4">
        <f>'Instagram Ads Raw Data'!D111</f>
        <v>1291</v>
      </c>
      <c r="I111" s="3">
        <f t="shared" si="4"/>
        <v>2.2630834512022632E-2</v>
      </c>
      <c r="J111" s="3">
        <f>'Instagram Ads Raw Data'!E111</f>
        <v>16</v>
      </c>
      <c r="K111" s="4">
        <f t="shared" si="5"/>
        <v>225</v>
      </c>
      <c r="L111" s="4">
        <f>'Instagram Ads Raw Data'!F111</f>
        <v>3600</v>
      </c>
      <c r="M111" s="16">
        <f t="shared" si="6"/>
        <v>2.7885360185902401</v>
      </c>
      <c r="N111" s="17">
        <f t="shared" si="7"/>
        <v>80.6875</v>
      </c>
    </row>
    <row r="112" spans="1:14" ht="13" x14ac:dyDescent="0.15">
      <c r="A112" s="2">
        <f>'Instagram Ads Raw Data'!A112</f>
        <v>45768</v>
      </c>
      <c r="B112" s="3">
        <f t="shared" si="0"/>
        <v>4</v>
      </c>
      <c r="C112" s="3">
        <f>'Instagram Ads Raw Data'!B112</f>
        <v>78176</v>
      </c>
      <c r="D112" s="3">
        <f t="shared" si="1"/>
        <v>2.892191977077364E-2</v>
      </c>
      <c r="E112" s="3">
        <f>'Instagram Ads Raw Data'!C112</f>
        <v>2261</v>
      </c>
      <c r="F112" s="15">
        <f t="shared" si="2"/>
        <v>1.442282176028306</v>
      </c>
      <c r="G112" s="4">
        <f t="shared" si="3"/>
        <v>41.71356938190749</v>
      </c>
      <c r="H112" s="4">
        <f>'Instagram Ads Raw Data'!D112</f>
        <v>3261</v>
      </c>
      <c r="I112" s="3">
        <f t="shared" si="4"/>
        <v>2.4767801857585141E-2</v>
      </c>
      <c r="J112" s="3">
        <f>'Instagram Ads Raw Data'!E112</f>
        <v>56</v>
      </c>
      <c r="K112" s="4">
        <f t="shared" si="5"/>
        <v>195.60714285714286</v>
      </c>
      <c r="L112" s="4">
        <f>'Instagram Ads Raw Data'!F112</f>
        <v>10954</v>
      </c>
      <c r="M112" s="16">
        <f t="shared" si="6"/>
        <v>3.3590923029745476</v>
      </c>
      <c r="N112" s="17">
        <f t="shared" si="7"/>
        <v>58.232142857142854</v>
      </c>
    </row>
    <row r="113" spans="1:14" ht="13" x14ac:dyDescent="0.15">
      <c r="A113" s="2">
        <f>'Instagram Ads Raw Data'!A113</f>
        <v>45769</v>
      </c>
      <c r="B113" s="3">
        <f t="shared" si="0"/>
        <v>4</v>
      </c>
      <c r="C113" s="3">
        <f>'Instagram Ads Raw Data'!B113</f>
        <v>89388</v>
      </c>
      <c r="D113" s="3">
        <f t="shared" si="1"/>
        <v>2.1457018839217794E-2</v>
      </c>
      <c r="E113" s="3">
        <f>'Instagram Ads Raw Data'!C113</f>
        <v>1918</v>
      </c>
      <c r="F113" s="15">
        <f t="shared" si="2"/>
        <v>1.8086548488008343</v>
      </c>
      <c r="G113" s="4">
        <f t="shared" si="3"/>
        <v>38.808341164362105</v>
      </c>
      <c r="H113" s="4">
        <f>'Instagram Ads Raw Data'!D113</f>
        <v>3469</v>
      </c>
      <c r="I113" s="3">
        <f t="shared" si="4"/>
        <v>1.4598540145985401E-2</v>
      </c>
      <c r="J113" s="3">
        <f>'Instagram Ads Raw Data'!E113</f>
        <v>28</v>
      </c>
      <c r="K113" s="4">
        <f t="shared" si="5"/>
        <v>156.10714285714286</v>
      </c>
      <c r="L113" s="4">
        <f>'Instagram Ads Raw Data'!F113</f>
        <v>4371</v>
      </c>
      <c r="M113" s="16">
        <f t="shared" si="6"/>
        <v>1.260017296050735</v>
      </c>
      <c r="N113" s="17">
        <f t="shared" si="7"/>
        <v>123.89285714285714</v>
      </c>
    </row>
    <row r="114" spans="1:14" ht="13" x14ac:dyDescent="0.15">
      <c r="A114" s="2">
        <f>'Instagram Ads Raw Data'!A114</f>
        <v>45770</v>
      </c>
      <c r="B114" s="3">
        <f t="shared" si="0"/>
        <v>4</v>
      </c>
      <c r="C114" s="3">
        <f>'Instagram Ads Raw Data'!B114</f>
        <v>77748</v>
      </c>
      <c r="D114" s="3">
        <f t="shared" si="1"/>
        <v>2.6933168698873283E-2</v>
      </c>
      <c r="E114" s="3">
        <f>'Instagram Ads Raw Data'!C114</f>
        <v>2094</v>
      </c>
      <c r="F114" s="15">
        <f t="shared" si="2"/>
        <v>1.0649474689589302</v>
      </c>
      <c r="G114" s="4">
        <f t="shared" si="3"/>
        <v>28.682409836908985</v>
      </c>
      <c r="H114" s="4">
        <f>'Instagram Ads Raw Data'!D114</f>
        <v>2230</v>
      </c>
      <c r="I114" s="3">
        <f t="shared" si="4"/>
        <v>1.7191977077363897E-2</v>
      </c>
      <c r="J114" s="3">
        <f>'Instagram Ads Raw Data'!E114</f>
        <v>36</v>
      </c>
      <c r="K114" s="4">
        <f t="shared" si="5"/>
        <v>180.58333333333334</v>
      </c>
      <c r="L114" s="4">
        <f>'Instagram Ads Raw Data'!F114</f>
        <v>6501</v>
      </c>
      <c r="M114" s="16">
        <f t="shared" si="6"/>
        <v>2.9152466367713004</v>
      </c>
      <c r="N114" s="17">
        <f t="shared" si="7"/>
        <v>61.944444444444443</v>
      </c>
    </row>
    <row r="115" spans="1:14" ht="13" x14ac:dyDescent="0.15">
      <c r="A115" s="2">
        <f>'Instagram Ads Raw Data'!A115</f>
        <v>45771</v>
      </c>
      <c r="B115" s="3">
        <f t="shared" si="0"/>
        <v>4</v>
      </c>
      <c r="C115" s="3">
        <f>'Instagram Ads Raw Data'!B115</f>
        <v>94167</v>
      </c>
      <c r="D115" s="3">
        <f t="shared" si="1"/>
        <v>1.123535845890811E-2</v>
      </c>
      <c r="E115" s="3">
        <f>'Instagram Ads Raw Data'!C115</f>
        <v>1058</v>
      </c>
      <c r="F115" s="15">
        <f t="shared" si="2"/>
        <v>1.8894139886578449</v>
      </c>
      <c r="G115" s="4">
        <f t="shared" si="3"/>
        <v>21.228243439846231</v>
      </c>
      <c r="H115" s="4">
        <f>'Instagram Ads Raw Data'!D115</f>
        <v>1999</v>
      </c>
      <c r="I115" s="3">
        <f t="shared" si="4"/>
        <v>2.2684310018903593E-2</v>
      </c>
      <c r="J115" s="3">
        <f>'Instagram Ads Raw Data'!E115</f>
        <v>24</v>
      </c>
      <c r="K115" s="4">
        <f t="shared" si="5"/>
        <v>177.79166666666666</v>
      </c>
      <c r="L115" s="4">
        <f>'Instagram Ads Raw Data'!F115</f>
        <v>4267</v>
      </c>
      <c r="M115" s="16">
        <f t="shared" si="6"/>
        <v>2.1345672836418208</v>
      </c>
      <c r="N115" s="17">
        <f t="shared" si="7"/>
        <v>83.291666666666671</v>
      </c>
    </row>
    <row r="116" spans="1:14" ht="13" x14ac:dyDescent="0.15">
      <c r="A116" s="2">
        <f>'Instagram Ads Raw Data'!A116</f>
        <v>45772</v>
      </c>
      <c r="B116" s="3">
        <f t="shared" si="0"/>
        <v>4</v>
      </c>
      <c r="C116" s="3">
        <f>'Instagram Ads Raw Data'!B116</f>
        <v>47093</v>
      </c>
      <c r="D116" s="3">
        <f t="shared" si="1"/>
        <v>2.2827171766504575E-2</v>
      </c>
      <c r="E116" s="3">
        <f>'Instagram Ads Raw Data'!C116</f>
        <v>1075</v>
      </c>
      <c r="F116" s="15">
        <f t="shared" si="2"/>
        <v>1.9106976744186046</v>
      </c>
      <c r="G116" s="4">
        <f t="shared" si="3"/>
        <v>43.615824007814325</v>
      </c>
      <c r="H116" s="4">
        <f>'Instagram Ads Raw Data'!D116</f>
        <v>2054</v>
      </c>
      <c r="I116" s="3">
        <f t="shared" si="4"/>
        <v>2.2325581395348838E-2</v>
      </c>
      <c r="J116" s="3">
        <f>'Instagram Ads Raw Data'!E116</f>
        <v>24</v>
      </c>
      <c r="K116" s="4">
        <f t="shared" si="5"/>
        <v>189.125</v>
      </c>
      <c r="L116" s="4">
        <f>'Instagram Ads Raw Data'!F116</f>
        <v>4539</v>
      </c>
      <c r="M116" s="16">
        <f t="shared" si="6"/>
        <v>2.2098344693281402</v>
      </c>
      <c r="N116" s="17">
        <f t="shared" si="7"/>
        <v>85.583333333333329</v>
      </c>
    </row>
    <row r="117" spans="1:14" ht="13" x14ac:dyDescent="0.15">
      <c r="A117" s="2">
        <f>'Instagram Ads Raw Data'!A117</f>
        <v>45773</v>
      </c>
      <c r="B117" s="3">
        <f t="shared" si="0"/>
        <v>4</v>
      </c>
      <c r="C117" s="3">
        <f>'Instagram Ads Raw Data'!B117</f>
        <v>74564</v>
      </c>
      <c r="D117" s="3">
        <f t="shared" si="1"/>
        <v>1.2915079663108203E-2</v>
      </c>
      <c r="E117" s="3">
        <f>'Instagram Ads Raw Data'!C117</f>
        <v>963</v>
      </c>
      <c r="F117" s="15">
        <f t="shared" si="2"/>
        <v>1.8047767393561787</v>
      </c>
      <c r="G117" s="4">
        <f t="shared" si="3"/>
        <v>23.308835362909718</v>
      </c>
      <c r="H117" s="4">
        <f>'Instagram Ads Raw Data'!D117</f>
        <v>1738</v>
      </c>
      <c r="I117" s="3">
        <f t="shared" si="4"/>
        <v>1.9730010384215992E-2</v>
      </c>
      <c r="J117" s="3">
        <f>'Instagram Ads Raw Data'!E117</f>
        <v>19</v>
      </c>
      <c r="K117" s="4">
        <f t="shared" si="5"/>
        <v>189.78947368421052</v>
      </c>
      <c r="L117" s="4">
        <f>'Instagram Ads Raw Data'!F117</f>
        <v>3606</v>
      </c>
      <c r="M117" s="16">
        <f t="shared" si="6"/>
        <v>2.0747986191024164</v>
      </c>
      <c r="N117" s="17">
        <f t="shared" si="7"/>
        <v>91.473684210526315</v>
      </c>
    </row>
    <row r="118" spans="1:14" ht="13" x14ac:dyDescent="0.15">
      <c r="A118" s="2">
        <f>'Instagram Ads Raw Data'!A118</f>
        <v>45774</v>
      </c>
      <c r="B118" s="3">
        <f t="shared" si="0"/>
        <v>4</v>
      </c>
      <c r="C118" s="3">
        <f>'Instagram Ads Raw Data'!B118</f>
        <v>24692</v>
      </c>
      <c r="D118" s="3">
        <f t="shared" si="1"/>
        <v>2.1464441924509962E-2</v>
      </c>
      <c r="E118" s="3">
        <f>'Instagram Ads Raw Data'!C118</f>
        <v>530</v>
      </c>
      <c r="F118" s="15">
        <f t="shared" si="2"/>
        <v>2.0641509433962266</v>
      </c>
      <c r="G118" s="4">
        <f t="shared" si="3"/>
        <v>44.305848047950754</v>
      </c>
      <c r="H118" s="4">
        <f>'Instagram Ads Raw Data'!D118</f>
        <v>1094</v>
      </c>
      <c r="I118" s="3">
        <f t="shared" si="4"/>
        <v>1.6981132075471698E-2</v>
      </c>
      <c r="J118" s="3">
        <f>'Instagram Ads Raw Data'!E118</f>
        <v>9</v>
      </c>
      <c r="K118" s="4">
        <f t="shared" si="5"/>
        <v>136.88888888888889</v>
      </c>
      <c r="L118" s="4">
        <f>'Instagram Ads Raw Data'!F118</f>
        <v>1232</v>
      </c>
      <c r="M118" s="16">
        <f t="shared" si="6"/>
        <v>1.1261425959780622</v>
      </c>
      <c r="N118" s="17">
        <f t="shared" si="7"/>
        <v>121.55555555555556</v>
      </c>
    </row>
    <row r="119" spans="1:14" ht="13" x14ac:dyDescent="0.15">
      <c r="A119" s="2">
        <f>'Instagram Ads Raw Data'!A119</f>
        <v>45775</v>
      </c>
      <c r="B119" s="3">
        <f t="shared" si="0"/>
        <v>4</v>
      </c>
      <c r="C119" s="3">
        <f>'Instagram Ads Raw Data'!B119</f>
        <v>62217</v>
      </c>
      <c r="D119" s="3">
        <f t="shared" si="1"/>
        <v>1.2183165372808075E-2</v>
      </c>
      <c r="E119" s="3">
        <f>'Instagram Ads Raw Data'!C119</f>
        <v>758</v>
      </c>
      <c r="F119" s="15">
        <f t="shared" si="2"/>
        <v>1.0778364116094987</v>
      </c>
      <c r="G119" s="4">
        <f t="shared" si="3"/>
        <v>13.131459247472556</v>
      </c>
      <c r="H119" s="4">
        <f>'Instagram Ads Raw Data'!D119</f>
        <v>817</v>
      </c>
      <c r="I119" s="3">
        <f t="shared" si="4"/>
        <v>1.8469656992084433E-2</v>
      </c>
      <c r="J119" s="3">
        <f>'Instagram Ads Raw Data'!E119</f>
        <v>14</v>
      </c>
      <c r="K119" s="4">
        <f t="shared" si="5"/>
        <v>151.42857142857142</v>
      </c>
      <c r="L119" s="4">
        <f>'Instagram Ads Raw Data'!F119</f>
        <v>2120</v>
      </c>
      <c r="M119" s="16">
        <f t="shared" si="6"/>
        <v>2.5948592411260711</v>
      </c>
      <c r="N119" s="17">
        <f t="shared" si="7"/>
        <v>58.357142857142854</v>
      </c>
    </row>
    <row r="120" spans="1:14" ht="13" x14ac:dyDescent="0.15">
      <c r="A120" s="2">
        <f>'Instagram Ads Raw Data'!A120</f>
        <v>45776</v>
      </c>
      <c r="B120" s="3">
        <f t="shared" si="0"/>
        <v>4</v>
      </c>
      <c r="C120" s="3">
        <f>'Instagram Ads Raw Data'!B120</f>
        <v>43646</v>
      </c>
      <c r="D120" s="3">
        <f t="shared" si="1"/>
        <v>1.9818540072400678E-2</v>
      </c>
      <c r="E120" s="3">
        <f>'Instagram Ads Raw Data'!C120</f>
        <v>865</v>
      </c>
      <c r="F120" s="15">
        <f t="shared" si="2"/>
        <v>1.2127167630057802</v>
      </c>
      <c r="G120" s="4">
        <f t="shared" si="3"/>
        <v>24.034275764102095</v>
      </c>
      <c r="H120" s="4">
        <f>'Instagram Ads Raw Data'!D120</f>
        <v>1049</v>
      </c>
      <c r="I120" s="3">
        <f t="shared" si="4"/>
        <v>1.7341040462427744E-2</v>
      </c>
      <c r="J120" s="3">
        <f>'Instagram Ads Raw Data'!E120</f>
        <v>15</v>
      </c>
      <c r="K120" s="4">
        <f t="shared" si="5"/>
        <v>127.8</v>
      </c>
      <c r="L120" s="4">
        <f>'Instagram Ads Raw Data'!F120</f>
        <v>1917</v>
      </c>
      <c r="M120" s="16">
        <f t="shared" si="6"/>
        <v>1.8274547187797903</v>
      </c>
      <c r="N120" s="17">
        <f t="shared" si="7"/>
        <v>69.933333333333337</v>
      </c>
    </row>
    <row r="121" spans="1:14" ht="13" x14ac:dyDescent="0.15">
      <c r="A121" s="2">
        <f>'Instagram Ads Raw Data'!A121</f>
        <v>45777</v>
      </c>
      <c r="B121" s="3">
        <f t="shared" si="0"/>
        <v>4</v>
      </c>
      <c r="C121" s="3">
        <f>'Instagram Ads Raw Data'!B121</f>
        <v>71389</v>
      </c>
      <c r="D121" s="3">
        <f t="shared" si="1"/>
        <v>1.7453669332810378E-2</v>
      </c>
      <c r="E121" s="3">
        <f>'Instagram Ads Raw Data'!C121</f>
        <v>1246</v>
      </c>
      <c r="F121" s="15">
        <f t="shared" si="2"/>
        <v>1.7841091492776886</v>
      </c>
      <c r="G121" s="4">
        <f t="shared" si="3"/>
        <v>31.139251145134406</v>
      </c>
      <c r="H121" s="4">
        <f>'Instagram Ads Raw Data'!D121</f>
        <v>2223</v>
      </c>
      <c r="I121" s="3">
        <f t="shared" si="4"/>
        <v>1.9261637239165328E-2</v>
      </c>
      <c r="J121" s="3">
        <f>'Instagram Ads Raw Data'!E121</f>
        <v>24</v>
      </c>
      <c r="K121" s="4">
        <f t="shared" si="5"/>
        <v>133.16666666666666</v>
      </c>
      <c r="L121" s="4">
        <f>'Instagram Ads Raw Data'!F121</f>
        <v>3196</v>
      </c>
      <c r="M121" s="16">
        <f t="shared" si="6"/>
        <v>1.4376968061178588</v>
      </c>
      <c r="N121" s="17">
        <f t="shared" si="7"/>
        <v>92.625</v>
      </c>
    </row>
    <row r="122" spans="1:14" ht="13" x14ac:dyDescent="0.15">
      <c r="A122" s="2">
        <f>'Instagram Ads Raw Data'!A122</f>
        <v>45778</v>
      </c>
      <c r="B122" s="3">
        <f t="shared" si="0"/>
        <v>5</v>
      </c>
      <c r="C122" s="3">
        <f>'Instagram Ads Raw Data'!B122</f>
        <v>12921</v>
      </c>
      <c r="D122" s="3">
        <f t="shared" si="1"/>
        <v>1.8264840182648401E-2</v>
      </c>
      <c r="E122" s="3">
        <f>'Instagram Ads Raw Data'!C122</f>
        <v>236</v>
      </c>
      <c r="F122" s="15">
        <f t="shared" si="2"/>
        <v>1.2881355932203389</v>
      </c>
      <c r="G122" s="4">
        <f t="shared" si="3"/>
        <v>23.527590743750483</v>
      </c>
      <c r="H122" s="4">
        <f>'Instagram Ads Raw Data'!D122</f>
        <v>304</v>
      </c>
      <c r="I122" s="3">
        <f t="shared" si="4"/>
        <v>1.6949152542372881E-2</v>
      </c>
      <c r="J122" s="3">
        <f>'Instagram Ads Raw Data'!E122</f>
        <v>4</v>
      </c>
      <c r="K122" s="4">
        <f t="shared" si="5"/>
        <v>134</v>
      </c>
      <c r="L122" s="4">
        <f>'Instagram Ads Raw Data'!F122</f>
        <v>536</v>
      </c>
      <c r="M122" s="16">
        <f t="shared" si="6"/>
        <v>1.763157894736842</v>
      </c>
      <c r="N122" s="17">
        <f t="shared" si="7"/>
        <v>76</v>
      </c>
    </row>
    <row r="123" spans="1:14" ht="13" x14ac:dyDescent="0.15">
      <c r="A123" s="2">
        <f>'Instagram Ads Raw Data'!A123</f>
        <v>45779</v>
      </c>
      <c r="B123" s="3">
        <f t="shared" si="0"/>
        <v>5</v>
      </c>
      <c r="C123" s="3">
        <f>'Instagram Ads Raw Data'!B123</f>
        <v>103581</v>
      </c>
      <c r="D123" s="3">
        <f t="shared" si="1"/>
        <v>1.2936735501684673E-2</v>
      </c>
      <c r="E123" s="3">
        <f>'Instagram Ads Raw Data'!C123</f>
        <v>1340</v>
      </c>
      <c r="F123" s="15">
        <f t="shared" si="2"/>
        <v>1.3925373134328358</v>
      </c>
      <c r="G123" s="4">
        <f t="shared" si="3"/>
        <v>18.014886900107161</v>
      </c>
      <c r="H123" s="4">
        <f>'Instagram Ads Raw Data'!D123</f>
        <v>1866</v>
      </c>
      <c r="I123" s="3">
        <f t="shared" si="4"/>
        <v>1.9402985074626865E-2</v>
      </c>
      <c r="J123" s="3">
        <f>'Instagram Ads Raw Data'!E123</f>
        <v>26</v>
      </c>
      <c r="K123" s="4">
        <f t="shared" si="5"/>
        <v>107.84615384615384</v>
      </c>
      <c r="L123" s="4">
        <f>'Instagram Ads Raw Data'!F123</f>
        <v>2804</v>
      </c>
      <c r="M123" s="16">
        <f t="shared" si="6"/>
        <v>1.502679528403001</v>
      </c>
      <c r="N123" s="17">
        <f t="shared" si="7"/>
        <v>71.769230769230774</v>
      </c>
    </row>
    <row r="124" spans="1:14" ht="13" x14ac:dyDescent="0.15">
      <c r="A124" s="2">
        <f>'Instagram Ads Raw Data'!A124</f>
        <v>45780</v>
      </c>
      <c r="B124" s="3">
        <f t="shared" si="0"/>
        <v>5</v>
      </c>
      <c r="C124" s="3">
        <f>'Instagram Ads Raw Data'!B124</f>
        <v>54332</v>
      </c>
      <c r="D124" s="3">
        <f t="shared" si="1"/>
        <v>2.6282853566958697E-2</v>
      </c>
      <c r="E124" s="3">
        <f>'Instagram Ads Raw Data'!C124</f>
        <v>1428</v>
      </c>
      <c r="F124" s="15">
        <f t="shared" si="2"/>
        <v>1.5336134453781514</v>
      </c>
      <c r="G124" s="4">
        <f t="shared" si="3"/>
        <v>40.307737613192963</v>
      </c>
      <c r="H124" s="4">
        <f>'Instagram Ads Raw Data'!D124</f>
        <v>2190</v>
      </c>
      <c r="I124" s="3">
        <f t="shared" si="4"/>
        <v>1.7507002801120448E-2</v>
      </c>
      <c r="J124" s="3">
        <f>'Instagram Ads Raw Data'!E124</f>
        <v>25</v>
      </c>
      <c r="K124" s="4">
        <f t="shared" si="5"/>
        <v>128.16</v>
      </c>
      <c r="L124" s="4">
        <f>'Instagram Ads Raw Data'!F124</f>
        <v>3204</v>
      </c>
      <c r="M124" s="16">
        <f t="shared" si="6"/>
        <v>1.463013698630137</v>
      </c>
      <c r="N124" s="17">
        <f t="shared" si="7"/>
        <v>87.6</v>
      </c>
    </row>
    <row r="125" spans="1:14" ht="13" x14ac:dyDescent="0.15">
      <c r="A125" s="2">
        <f>'Instagram Ads Raw Data'!A125</f>
        <v>45781</v>
      </c>
      <c r="B125" s="3">
        <f t="shared" si="0"/>
        <v>5</v>
      </c>
      <c r="C125" s="3">
        <f>'Instagram Ads Raw Data'!B125</f>
        <v>55120</v>
      </c>
      <c r="D125" s="3">
        <f t="shared" si="1"/>
        <v>2.5725689404934689E-2</v>
      </c>
      <c r="E125" s="3">
        <f>'Instagram Ads Raw Data'!C125</f>
        <v>1418</v>
      </c>
      <c r="F125" s="15">
        <f t="shared" si="2"/>
        <v>1.5423131170662905</v>
      </c>
      <c r="G125" s="4">
        <f t="shared" si="3"/>
        <v>39.677068214804066</v>
      </c>
      <c r="H125" s="4">
        <f>'Instagram Ads Raw Data'!D125</f>
        <v>2187</v>
      </c>
      <c r="I125" s="3">
        <f t="shared" si="4"/>
        <v>2.1861777150916785E-2</v>
      </c>
      <c r="J125" s="3">
        <f>'Instagram Ads Raw Data'!E125</f>
        <v>31</v>
      </c>
      <c r="K125" s="4">
        <f t="shared" si="5"/>
        <v>152.70967741935485</v>
      </c>
      <c r="L125" s="4">
        <f>'Instagram Ads Raw Data'!F125</f>
        <v>4734</v>
      </c>
      <c r="M125" s="16">
        <f t="shared" si="6"/>
        <v>2.1646090534979425</v>
      </c>
      <c r="N125" s="17">
        <f t="shared" si="7"/>
        <v>70.548387096774192</v>
      </c>
    </row>
    <row r="126" spans="1:14" ht="13" x14ac:dyDescent="0.15">
      <c r="A126" s="2">
        <f>'Instagram Ads Raw Data'!A126</f>
        <v>45782</v>
      </c>
      <c r="B126" s="3">
        <f t="shared" si="0"/>
        <v>5</v>
      </c>
      <c r="C126" s="3">
        <f>'Instagram Ads Raw Data'!B126</f>
        <v>96681</v>
      </c>
      <c r="D126" s="3">
        <f t="shared" si="1"/>
        <v>1.6642359925942016E-2</v>
      </c>
      <c r="E126" s="3">
        <f>'Instagram Ads Raw Data'!C126</f>
        <v>1609</v>
      </c>
      <c r="F126" s="15">
        <f t="shared" si="2"/>
        <v>1.9378495960223741</v>
      </c>
      <c r="G126" s="4">
        <f t="shared" si="3"/>
        <v>32.250390459345681</v>
      </c>
      <c r="H126" s="4">
        <f>'Instagram Ads Raw Data'!D126</f>
        <v>3118</v>
      </c>
      <c r="I126" s="3">
        <f t="shared" si="4"/>
        <v>2.54816656308266E-2</v>
      </c>
      <c r="J126" s="3">
        <f>'Instagram Ads Raw Data'!E126</f>
        <v>41</v>
      </c>
      <c r="K126" s="4">
        <f t="shared" si="5"/>
        <v>161.63414634146341</v>
      </c>
      <c r="L126" s="4">
        <f>'Instagram Ads Raw Data'!F126</f>
        <v>6627</v>
      </c>
      <c r="M126" s="16">
        <f t="shared" si="6"/>
        <v>2.125400898011546</v>
      </c>
      <c r="N126" s="17">
        <f t="shared" si="7"/>
        <v>76.048780487804876</v>
      </c>
    </row>
    <row r="127" spans="1:14" ht="13" x14ac:dyDescent="0.15">
      <c r="A127" s="2">
        <f>'Instagram Ads Raw Data'!A127</f>
        <v>45783</v>
      </c>
      <c r="B127" s="3">
        <f t="shared" si="0"/>
        <v>5</v>
      </c>
      <c r="C127" s="3">
        <f>'Instagram Ads Raw Data'!B127</f>
        <v>49655</v>
      </c>
      <c r="D127" s="3">
        <f t="shared" si="1"/>
        <v>2.0138958815829222E-2</v>
      </c>
      <c r="E127" s="3">
        <f>'Instagram Ads Raw Data'!C127</f>
        <v>1000</v>
      </c>
      <c r="F127" s="15">
        <f t="shared" si="2"/>
        <v>0.96699999999999997</v>
      </c>
      <c r="G127" s="4">
        <f t="shared" si="3"/>
        <v>19.474373174906855</v>
      </c>
      <c r="H127" s="4">
        <f>'Instagram Ads Raw Data'!D127</f>
        <v>967</v>
      </c>
      <c r="I127" s="3">
        <f t="shared" si="4"/>
        <v>1.7999999999999999E-2</v>
      </c>
      <c r="J127" s="3">
        <f>'Instagram Ads Raw Data'!E127</f>
        <v>18</v>
      </c>
      <c r="K127" s="4">
        <f t="shared" si="5"/>
        <v>166</v>
      </c>
      <c r="L127" s="4">
        <f>'Instagram Ads Raw Data'!F127</f>
        <v>2988</v>
      </c>
      <c r="M127" s="16">
        <f t="shared" si="6"/>
        <v>3.0899689762150984</v>
      </c>
      <c r="N127" s="17">
        <f t="shared" si="7"/>
        <v>53.722222222222221</v>
      </c>
    </row>
    <row r="128" spans="1:14" ht="13" x14ac:dyDescent="0.15">
      <c r="A128" s="2">
        <f>'Instagram Ads Raw Data'!A128</f>
        <v>45784</v>
      </c>
      <c r="B128" s="3">
        <f t="shared" si="0"/>
        <v>5</v>
      </c>
      <c r="C128" s="3">
        <f>'Instagram Ads Raw Data'!B128</f>
        <v>63861</v>
      </c>
      <c r="D128" s="3">
        <f t="shared" si="1"/>
        <v>2.6620315998809915E-2</v>
      </c>
      <c r="E128" s="3">
        <f>'Instagram Ads Raw Data'!C128</f>
        <v>1700</v>
      </c>
      <c r="F128" s="15">
        <f t="shared" si="2"/>
        <v>2.2282352941176469</v>
      </c>
      <c r="G128" s="4">
        <f t="shared" si="3"/>
        <v>59.316327649112921</v>
      </c>
      <c r="H128" s="4">
        <f>'Instagram Ads Raw Data'!D128</f>
        <v>3788</v>
      </c>
      <c r="I128" s="3">
        <f t="shared" si="4"/>
        <v>1.5294117647058824E-2</v>
      </c>
      <c r="J128" s="3">
        <f>'Instagram Ads Raw Data'!E128</f>
        <v>26</v>
      </c>
      <c r="K128" s="4">
        <f t="shared" si="5"/>
        <v>104.11538461538461</v>
      </c>
      <c r="L128" s="4">
        <f>'Instagram Ads Raw Data'!F128</f>
        <v>2707</v>
      </c>
      <c r="M128" s="16">
        <f t="shared" si="6"/>
        <v>0.71462513199577615</v>
      </c>
      <c r="N128" s="17">
        <f t="shared" si="7"/>
        <v>145.69230769230768</v>
      </c>
    </row>
    <row r="129" spans="1:14" ht="13" x14ac:dyDescent="0.15">
      <c r="A129" s="2">
        <f>'Instagram Ads Raw Data'!A129</f>
        <v>45785</v>
      </c>
      <c r="B129" s="3">
        <f t="shared" si="0"/>
        <v>5</v>
      </c>
      <c r="C129" s="3">
        <f>'Instagram Ads Raw Data'!B129</f>
        <v>21459</v>
      </c>
      <c r="D129" s="3">
        <f t="shared" si="1"/>
        <v>2.1110023766251922E-2</v>
      </c>
      <c r="E129" s="3">
        <f>'Instagram Ads Raw Data'!C129</f>
        <v>453</v>
      </c>
      <c r="F129" s="15">
        <f t="shared" si="2"/>
        <v>1.3134657836644592</v>
      </c>
      <c r="G129" s="4">
        <f t="shared" si="3"/>
        <v>27.727293909315438</v>
      </c>
      <c r="H129" s="4">
        <f>'Instagram Ads Raw Data'!D129</f>
        <v>595</v>
      </c>
      <c r="I129" s="3">
        <f t="shared" si="4"/>
        <v>1.3245033112582781E-2</v>
      </c>
      <c r="J129" s="3">
        <f>'Instagram Ads Raw Data'!E129</f>
        <v>6</v>
      </c>
      <c r="K129" s="4">
        <f t="shared" si="5"/>
        <v>157.83333333333334</v>
      </c>
      <c r="L129" s="4">
        <f>'Instagram Ads Raw Data'!F129</f>
        <v>947</v>
      </c>
      <c r="M129" s="16">
        <f t="shared" si="6"/>
        <v>1.5915966386554621</v>
      </c>
      <c r="N129" s="17">
        <f t="shared" si="7"/>
        <v>99.166666666666671</v>
      </c>
    </row>
    <row r="130" spans="1:14" ht="13" x14ac:dyDescent="0.15">
      <c r="A130" s="2">
        <f>'Instagram Ads Raw Data'!A130</f>
        <v>45786</v>
      </c>
      <c r="B130" s="3">
        <f t="shared" si="0"/>
        <v>5</v>
      </c>
      <c r="C130" s="3">
        <f>'Instagram Ads Raw Data'!B130</f>
        <v>84694</v>
      </c>
      <c r="D130" s="3">
        <f t="shared" si="1"/>
        <v>2.4594422273124424E-2</v>
      </c>
      <c r="E130" s="3">
        <f>'Instagram Ads Raw Data'!C130</f>
        <v>2083</v>
      </c>
      <c r="F130" s="15">
        <f t="shared" si="2"/>
        <v>1.1814690350456074</v>
      </c>
      <c r="G130" s="4">
        <f t="shared" si="3"/>
        <v>29.057548350532503</v>
      </c>
      <c r="H130" s="4">
        <f>'Instagram Ads Raw Data'!D130</f>
        <v>2461</v>
      </c>
      <c r="I130" s="3">
        <f t="shared" si="4"/>
        <v>2.256361017762842E-2</v>
      </c>
      <c r="J130" s="3">
        <f>'Instagram Ads Raw Data'!E130</f>
        <v>47</v>
      </c>
      <c r="K130" s="4">
        <f t="shared" si="5"/>
        <v>150.48936170212767</v>
      </c>
      <c r="L130" s="4">
        <f>'Instagram Ads Raw Data'!F130</f>
        <v>7073</v>
      </c>
      <c r="M130" s="16">
        <f t="shared" si="6"/>
        <v>2.8740349451442504</v>
      </c>
      <c r="N130" s="17">
        <f t="shared" si="7"/>
        <v>52.361702127659576</v>
      </c>
    </row>
    <row r="131" spans="1:14" ht="13" x14ac:dyDescent="0.15">
      <c r="A131" s="2">
        <f>'Instagram Ads Raw Data'!A131</f>
        <v>45787</v>
      </c>
      <c r="B131" s="3">
        <f t="shared" si="0"/>
        <v>5</v>
      </c>
      <c r="C131" s="3">
        <f>'Instagram Ads Raw Data'!B131</f>
        <v>67730</v>
      </c>
      <c r="D131" s="3">
        <f t="shared" si="1"/>
        <v>3.0149121511885427E-2</v>
      </c>
      <c r="E131" s="3">
        <f>'Instagram Ads Raw Data'!C131</f>
        <v>2042</v>
      </c>
      <c r="F131" s="15">
        <f t="shared" si="2"/>
        <v>1.6699314397649363</v>
      </c>
      <c r="G131" s="4">
        <f t="shared" si="3"/>
        <v>50.346965893990841</v>
      </c>
      <c r="H131" s="4">
        <f>'Instagram Ads Raw Data'!D131</f>
        <v>3410</v>
      </c>
      <c r="I131" s="3">
        <f t="shared" si="4"/>
        <v>2.0078354554358472E-2</v>
      </c>
      <c r="J131" s="3">
        <f>'Instagram Ads Raw Data'!E131</f>
        <v>41</v>
      </c>
      <c r="K131" s="4">
        <f t="shared" si="5"/>
        <v>144.95121951219511</v>
      </c>
      <c r="L131" s="4">
        <f>'Instagram Ads Raw Data'!F131</f>
        <v>5943</v>
      </c>
      <c r="M131" s="16">
        <f t="shared" si="6"/>
        <v>1.7428152492668623</v>
      </c>
      <c r="N131" s="17">
        <f t="shared" si="7"/>
        <v>83.170731707317074</v>
      </c>
    </row>
    <row r="132" spans="1:14" ht="13" x14ac:dyDescent="0.15">
      <c r="A132" s="2">
        <f>'Instagram Ads Raw Data'!A132</f>
        <v>45788</v>
      </c>
      <c r="B132" s="3">
        <f t="shared" si="0"/>
        <v>5</v>
      </c>
      <c r="C132" s="3">
        <f>'Instagram Ads Raw Data'!B132</f>
        <v>11298</v>
      </c>
      <c r="D132" s="3">
        <f t="shared" si="1"/>
        <v>1.9560984244999115E-2</v>
      </c>
      <c r="E132" s="3">
        <f>'Instagram Ads Raw Data'!C132</f>
        <v>221</v>
      </c>
      <c r="F132" s="15">
        <f t="shared" si="2"/>
        <v>2.1538461538461537</v>
      </c>
      <c r="G132" s="4">
        <f t="shared" si="3"/>
        <v>42.131350681536553</v>
      </c>
      <c r="H132" s="4">
        <f>'Instagram Ads Raw Data'!D132</f>
        <v>476</v>
      </c>
      <c r="I132" s="3">
        <f t="shared" si="4"/>
        <v>1.8099547511312219E-2</v>
      </c>
      <c r="J132" s="3">
        <f>'Instagram Ads Raw Data'!E132</f>
        <v>4</v>
      </c>
      <c r="K132" s="4">
        <f t="shared" si="5"/>
        <v>111.5</v>
      </c>
      <c r="L132" s="4">
        <f>'Instagram Ads Raw Data'!F132</f>
        <v>446</v>
      </c>
      <c r="M132" s="16">
        <f t="shared" si="6"/>
        <v>0.93697478991596639</v>
      </c>
      <c r="N132" s="17">
        <f t="shared" si="7"/>
        <v>119</v>
      </c>
    </row>
    <row r="133" spans="1:14" ht="13" x14ac:dyDescent="0.15">
      <c r="A133" s="2">
        <f>'Instagram Ads Raw Data'!A133</f>
        <v>45789</v>
      </c>
      <c r="B133" s="3">
        <f t="shared" si="0"/>
        <v>5</v>
      </c>
      <c r="C133" s="3">
        <f>'Instagram Ads Raw Data'!B133</f>
        <v>29109</v>
      </c>
      <c r="D133" s="3">
        <f t="shared" si="1"/>
        <v>2.8788347246556049E-2</v>
      </c>
      <c r="E133" s="3">
        <f>'Instagram Ads Raw Data'!C133</f>
        <v>838</v>
      </c>
      <c r="F133" s="15">
        <f t="shared" si="2"/>
        <v>1.5334128878281623</v>
      </c>
      <c r="G133" s="4">
        <f t="shared" si="3"/>
        <v>44.144422687141429</v>
      </c>
      <c r="H133" s="4">
        <f>'Instagram Ads Raw Data'!D133</f>
        <v>1285</v>
      </c>
      <c r="I133" s="3">
        <f t="shared" si="4"/>
        <v>1.4319809069212411E-2</v>
      </c>
      <c r="J133" s="3">
        <f>'Instagram Ads Raw Data'!E133</f>
        <v>12</v>
      </c>
      <c r="K133" s="4">
        <f t="shared" si="5"/>
        <v>200.08333333333334</v>
      </c>
      <c r="L133" s="4">
        <f>'Instagram Ads Raw Data'!F133</f>
        <v>2401</v>
      </c>
      <c r="M133" s="16">
        <f t="shared" si="6"/>
        <v>1.8684824902723736</v>
      </c>
      <c r="N133" s="17">
        <f t="shared" si="7"/>
        <v>107.08333333333333</v>
      </c>
    </row>
    <row r="134" spans="1:14" ht="13" x14ac:dyDescent="0.15">
      <c r="A134" s="2">
        <f>'Instagram Ads Raw Data'!A134</f>
        <v>45790</v>
      </c>
      <c r="B134" s="3">
        <f t="shared" si="0"/>
        <v>5</v>
      </c>
      <c r="C134" s="3">
        <f>'Instagram Ads Raw Data'!B134</f>
        <v>44468</v>
      </c>
      <c r="D134" s="3">
        <f t="shared" si="1"/>
        <v>1.8732571736979401E-2</v>
      </c>
      <c r="E134" s="3">
        <f>'Instagram Ads Raw Data'!C134</f>
        <v>833</v>
      </c>
      <c r="F134" s="15">
        <f t="shared" si="2"/>
        <v>1.1548619447779112</v>
      </c>
      <c r="G134" s="4">
        <f t="shared" si="3"/>
        <v>21.633534226859762</v>
      </c>
      <c r="H134" s="4">
        <f>'Instagram Ads Raw Data'!D134</f>
        <v>962</v>
      </c>
      <c r="I134" s="3">
        <f t="shared" si="4"/>
        <v>1.5606242496998799E-2</v>
      </c>
      <c r="J134" s="3">
        <f>'Instagram Ads Raw Data'!E134</f>
        <v>13</v>
      </c>
      <c r="K134" s="4">
        <f t="shared" si="5"/>
        <v>138.61538461538461</v>
      </c>
      <c r="L134" s="4">
        <f>'Instagram Ads Raw Data'!F134</f>
        <v>1802</v>
      </c>
      <c r="M134" s="16">
        <f t="shared" si="6"/>
        <v>1.8731808731808732</v>
      </c>
      <c r="N134" s="17">
        <f t="shared" si="7"/>
        <v>74</v>
      </c>
    </row>
    <row r="135" spans="1:14" ht="13" x14ac:dyDescent="0.15">
      <c r="A135" s="2">
        <f>'Instagram Ads Raw Data'!A135</f>
        <v>45791</v>
      </c>
      <c r="B135" s="3">
        <f t="shared" si="0"/>
        <v>5</v>
      </c>
      <c r="C135" s="3">
        <f>'Instagram Ads Raw Data'!B135</f>
        <v>90661</v>
      </c>
      <c r="D135" s="3">
        <f t="shared" si="1"/>
        <v>1.669957313508565E-2</v>
      </c>
      <c r="E135" s="3">
        <f>'Instagram Ads Raw Data'!C135</f>
        <v>1514</v>
      </c>
      <c r="F135" s="15">
        <f t="shared" si="2"/>
        <v>1.9828269484808454</v>
      </c>
      <c r="G135" s="4">
        <f t="shared" si="3"/>
        <v>33.112363640374582</v>
      </c>
      <c r="H135" s="4">
        <f>'Instagram Ads Raw Data'!D135</f>
        <v>3002</v>
      </c>
      <c r="I135" s="3">
        <f t="shared" si="4"/>
        <v>1.1889035667107001E-2</v>
      </c>
      <c r="J135" s="3">
        <f>'Instagram Ads Raw Data'!E135</f>
        <v>18</v>
      </c>
      <c r="K135" s="4">
        <f t="shared" si="5"/>
        <v>122.27777777777777</v>
      </c>
      <c r="L135" s="4">
        <f>'Instagram Ads Raw Data'!F135</f>
        <v>2201</v>
      </c>
      <c r="M135" s="16">
        <f t="shared" si="6"/>
        <v>0.73317788141239171</v>
      </c>
      <c r="N135" s="17">
        <f t="shared" si="7"/>
        <v>166.77777777777777</v>
      </c>
    </row>
    <row r="136" spans="1:14" ht="13" x14ac:dyDescent="0.15">
      <c r="A136" s="2">
        <f>'Instagram Ads Raw Data'!A136</f>
        <v>45792</v>
      </c>
      <c r="B136" s="3">
        <f t="shared" si="0"/>
        <v>5</v>
      </c>
      <c r="C136" s="3">
        <f>'Instagram Ads Raw Data'!B136</f>
        <v>16417</v>
      </c>
      <c r="D136" s="3">
        <f t="shared" si="1"/>
        <v>2.2842175793384906E-2</v>
      </c>
      <c r="E136" s="3">
        <f>'Instagram Ads Raw Data'!C136</f>
        <v>375</v>
      </c>
      <c r="F136" s="15">
        <f t="shared" si="2"/>
        <v>0.90133333333333332</v>
      </c>
      <c r="G136" s="4">
        <f t="shared" si="3"/>
        <v>20.588414448437593</v>
      </c>
      <c r="H136" s="4">
        <f>'Instagram Ads Raw Data'!D136</f>
        <v>338</v>
      </c>
      <c r="I136" s="3">
        <f t="shared" si="4"/>
        <v>1.8666666666666668E-2</v>
      </c>
      <c r="J136" s="3">
        <f>'Instagram Ads Raw Data'!E136</f>
        <v>7</v>
      </c>
      <c r="K136" s="4">
        <f t="shared" si="5"/>
        <v>139.57142857142858</v>
      </c>
      <c r="L136" s="4">
        <f>'Instagram Ads Raw Data'!F136</f>
        <v>977</v>
      </c>
      <c r="M136" s="16">
        <f t="shared" si="6"/>
        <v>2.8905325443786984</v>
      </c>
      <c r="N136" s="17">
        <f t="shared" si="7"/>
        <v>48.285714285714285</v>
      </c>
    </row>
    <row r="137" spans="1:14" ht="13" x14ac:dyDescent="0.15">
      <c r="A137" s="2">
        <f>'Instagram Ads Raw Data'!A137</f>
        <v>45793</v>
      </c>
      <c r="B137" s="3">
        <f t="shared" si="0"/>
        <v>5</v>
      </c>
      <c r="C137" s="3">
        <f>'Instagram Ads Raw Data'!B137</f>
        <v>58031</v>
      </c>
      <c r="D137" s="3">
        <f t="shared" si="1"/>
        <v>2.0213334252382347E-2</v>
      </c>
      <c r="E137" s="3">
        <f>'Instagram Ads Raw Data'!C137</f>
        <v>1173</v>
      </c>
      <c r="F137" s="15">
        <f t="shared" si="2"/>
        <v>1.1577152600170504</v>
      </c>
      <c r="G137" s="4">
        <f t="shared" si="3"/>
        <v>23.401285519808379</v>
      </c>
      <c r="H137" s="4">
        <f>'Instagram Ads Raw Data'!D137</f>
        <v>1358</v>
      </c>
      <c r="I137" s="3">
        <f t="shared" si="4"/>
        <v>2.557544757033248E-2</v>
      </c>
      <c r="J137" s="3">
        <f>'Instagram Ads Raw Data'!E137</f>
        <v>30</v>
      </c>
      <c r="K137" s="4">
        <f t="shared" si="5"/>
        <v>167.86666666666667</v>
      </c>
      <c r="L137" s="4">
        <f>'Instagram Ads Raw Data'!F137</f>
        <v>5036</v>
      </c>
      <c r="M137" s="16">
        <f t="shared" si="6"/>
        <v>3.7083946980854199</v>
      </c>
      <c r="N137" s="17">
        <f t="shared" si="7"/>
        <v>45.266666666666666</v>
      </c>
    </row>
    <row r="138" spans="1:14" ht="13" x14ac:dyDescent="0.15">
      <c r="A138" s="2">
        <f>'Instagram Ads Raw Data'!A138</f>
        <v>45794</v>
      </c>
      <c r="B138" s="3">
        <f t="shared" si="0"/>
        <v>5</v>
      </c>
      <c r="C138" s="3">
        <f>'Instagram Ads Raw Data'!B138</f>
        <v>47140</v>
      </c>
      <c r="D138" s="3">
        <f t="shared" si="1"/>
        <v>1.9389053882053458E-2</v>
      </c>
      <c r="E138" s="3">
        <f>'Instagram Ads Raw Data'!C138</f>
        <v>914</v>
      </c>
      <c r="F138" s="15">
        <f t="shared" si="2"/>
        <v>1.3107221006564551</v>
      </c>
      <c r="G138" s="4">
        <f t="shared" si="3"/>
        <v>25.413661434026306</v>
      </c>
      <c r="H138" s="4">
        <f>'Instagram Ads Raw Data'!D138</f>
        <v>1198</v>
      </c>
      <c r="I138" s="3">
        <f t="shared" si="4"/>
        <v>1.6411378555798686E-2</v>
      </c>
      <c r="J138" s="3">
        <f>'Instagram Ads Raw Data'!E138</f>
        <v>15</v>
      </c>
      <c r="K138" s="4">
        <f t="shared" si="5"/>
        <v>140.53333333333333</v>
      </c>
      <c r="L138" s="4">
        <f>'Instagram Ads Raw Data'!F138</f>
        <v>2108</v>
      </c>
      <c r="M138" s="16">
        <f t="shared" si="6"/>
        <v>1.7595993322203674</v>
      </c>
      <c r="N138" s="17">
        <f t="shared" si="7"/>
        <v>79.86666666666666</v>
      </c>
    </row>
    <row r="139" spans="1:14" ht="13" x14ac:dyDescent="0.15">
      <c r="A139" s="2">
        <f>'Instagram Ads Raw Data'!A139</f>
        <v>45795</v>
      </c>
      <c r="B139" s="3">
        <f t="shared" si="0"/>
        <v>5</v>
      </c>
      <c r="C139" s="3">
        <f>'Instagram Ads Raw Data'!B139</f>
        <v>90411</v>
      </c>
      <c r="D139" s="3">
        <f t="shared" si="1"/>
        <v>1.5020296202895665E-2</v>
      </c>
      <c r="E139" s="3">
        <f>'Instagram Ads Raw Data'!C139</f>
        <v>1358</v>
      </c>
      <c r="F139" s="15">
        <f t="shared" si="2"/>
        <v>1.7025036818851251</v>
      </c>
      <c r="G139" s="4">
        <f t="shared" si="3"/>
        <v>25.572109588435037</v>
      </c>
      <c r="H139" s="4">
        <f>'Instagram Ads Raw Data'!D139</f>
        <v>2312</v>
      </c>
      <c r="I139" s="3">
        <f t="shared" si="4"/>
        <v>2.5773195876288658E-2</v>
      </c>
      <c r="J139" s="3">
        <f>'Instagram Ads Raw Data'!E139</f>
        <v>35</v>
      </c>
      <c r="K139" s="4">
        <f t="shared" si="5"/>
        <v>152.42857142857142</v>
      </c>
      <c r="L139" s="4">
        <f>'Instagram Ads Raw Data'!F139</f>
        <v>5335</v>
      </c>
      <c r="M139" s="16">
        <f t="shared" si="6"/>
        <v>2.3075259515570936</v>
      </c>
      <c r="N139" s="17">
        <f t="shared" si="7"/>
        <v>66.057142857142864</v>
      </c>
    </row>
    <row r="140" spans="1:14" ht="13" x14ac:dyDescent="0.15">
      <c r="A140" s="2">
        <f>'Instagram Ads Raw Data'!A140</f>
        <v>45796</v>
      </c>
      <c r="B140" s="3">
        <f t="shared" si="0"/>
        <v>5</v>
      </c>
      <c r="C140" s="3">
        <f>'Instagram Ads Raw Data'!B140</f>
        <v>66203</v>
      </c>
      <c r="D140" s="3">
        <f t="shared" si="1"/>
        <v>2.8412609700466745E-2</v>
      </c>
      <c r="E140" s="3">
        <f>'Instagram Ads Raw Data'!C140</f>
        <v>1881</v>
      </c>
      <c r="F140" s="15">
        <f t="shared" si="2"/>
        <v>1.3769271664008507</v>
      </c>
      <c r="G140" s="4">
        <f t="shared" si="3"/>
        <v>39.122094164916994</v>
      </c>
      <c r="H140" s="4">
        <f>'Instagram Ads Raw Data'!D140</f>
        <v>2590</v>
      </c>
      <c r="I140" s="3">
        <f t="shared" si="4"/>
        <v>2.2860180754917598E-2</v>
      </c>
      <c r="J140" s="3">
        <f>'Instagram Ads Raw Data'!E140</f>
        <v>43</v>
      </c>
      <c r="K140" s="4">
        <f t="shared" si="5"/>
        <v>161.46511627906978</v>
      </c>
      <c r="L140" s="4">
        <f>'Instagram Ads Raw Data'!F140</f>
        <v>6943</v>
      </c>
      <c r="M140" s="16">
        <f t="shared" si="6"/>
        <v>2.6806949806949807</v>
      </c>
      <c r="N140" s="17">
        <f t="shared" si="7"/>
        <v>60.232558139534881</v>
      </c>
    </row>
    <row r="141" spans="1:14" ht="13" x14ac:dyDescent="0.15">
      <c r="A141" s="2">
        <f>'Instagram Ads Raw Data'!A141</f>
        <v>45797</v>
      </c>
      <c r="B141" s="3">
        <f t="shared" si="0"/>
        <v>5</v>
      </c>
      <c r="C141" s="3">
        <f>'Instagram Ads Raw Data'!B141</f>
        <v>76395</v>
      </c>
      <c r="D141" s="3">
        <f t="shared" si="1"/>
        <v>1.0956214411937955E-2</v>
      </c>
      <c r="E141" s="3">
        <f>'Instagram Ads Raw Data'!C141</f>
        <v>837</v>
      </c>
      <c r="F141" s="15">
        <f t="shared" si="2"/>
        <v>1.2078853046594982</v>
      </c>
      <c r="G141" s="4">
        <f t="shared" si="3"/>
        <v>13.233850382878462</v>
      </c>
      <c r="H141" s="4">
        <f>'Instagram Ads Raw Data'!D141</f>
        <v>1011</v>
      </c>
      <c r="I141" s="3">
        <f t="shared" si="4"/>
        <v>1.1947431302270013E-2</v>
      </c>
      <c r="J141" s="3">
        <f>'Instagram Ads Raw Data'!E141</f>
        <v>10</v>
      </c>
      <c r="K141" s="4">
        <f t="shared" si="5"/>
        <v>118.1</v>
      </c>
      <c r="L141" s="4">
        <f>'Instagram Ads Raw Data'!F141</f>
        <v>1181</v>
      </c>
      <c r="M141" s="16">
        <f t="shared" si="6"/>
        <v>1.1681503461918892</v>
      </c>
      <c r="N141" s="17">
        <f t="shared" si="7"/>
        <v>101.1</v>
      </c>
    </row>
    <row r="142" spans="1:14" ht="13" x14ac:dyDescent="0.15">
      <c r="A142" s="2">
        <f>'Instagram Ads Raw Data'!A142</f>
        <v>45798</v>
      </c>
      <c r="B142" s="3">
        <f t="shared" si="0"/>
        <v>5</v>
      </c>
      <c r="C142" s="3">
        <f>'Instagram Ads Raw Data'!B142</f>
        <v>91812</v>
      </c>
      <c r="D142" s="3">
        <f t="shared" si="1"/>
        <v>1.2514703960266632E-2</v>
      </c>
      <c r="E142" s="3">
        <f>'Instagram Ads Raw Data'!C142</f>
        <v>1149</v>
      </c>
      <c r="F142" s="15">
        <f t="shared" si="2"/>
        <v>1.4656222802436902</v>
      </c>
      <c r="G142" s="4">
        <f t="shared" si="3"/>
        <v>18.34182895482072</v>
      </c>
      <c r="H142" s="4">
        <f>'Instagram Ads Raw Data'!D142</f>
        <v>1684</v>
      </c>
      <c r="I142" s="3">
        <f t="shared" si="4"/>
        <v>2.3498694516971279E-2</v>
      </c>
      <c r="J142" s="3">
        <f>'Instagram Ads Raw Data'!E142</f>
        <v>27</v>
      </c>
      <c r="K142" s="4">
        <f t="shared" si="5"/>
        <v>184.40740740740742</v>
      </c>
      <c r="L142" s="4">
        <f>'Instagram Ads Raw Data'!F142</f>
        <v>4979</v>
      </c>
      <c r="M142" s="16">
        <f t="shared" si="6"/>
        <v>2.9566508313539193</v>
      </c>
      <c r="N142" s="17">
        <f t="shared" si="7"/>
        <v>62.370370370370374</v>
      </c>
    </row>
    <row r="143" spans="1:14" ht="13" x14ac:dyDescent="0.15">
      <c r="A143" s="2">
        <f>'Instagram Ads Raw Data'!A143</f>
        <v>45799</v>
      </c>
      <c r="B143" s="3">
        <f t="shared" si="0"/>
        <v>5</v>
      </c>
      <c r="C143" s="3">
        <f>'Instagram Ads Raw Data'!B143</f>
        <v>58771</v>
      </c>
      <c r="D143" s="3">
        <f t="shared" si="1"/>
        <v>1.0430314270643684E-2</v>
      </c>
      <c r="E143" s="3">
        <f>'Instagram Ads Raw Data'!C143</f>
        <v>613</v>
      </c>
      <c r="F143" s="15">
        <f t="shared" si="2"/>
        <v>2.0032626427406197</v>
      </c>
      <c r="G143" s="4">
        <f t="shared" si="3"/>
        <v>20.894658930424868</v>
      </c>
      <c r="H143" s="4">
        <f>'Instagram Ads Raw Data'!D143</f>
        <v>1228</v>
      </c>
      <c r="I143" s="3">
        <f t="shared" si="4"/>
        <v>2.4469820554649267E-2</v>
      </c>
      <c r="J143" s="3">
        <f>'Instagram Ads Raw Data'!E143</f>
        <v>15</v>
      </c>
      <c r="K143" s="4">
        <f t="shared" si="5"/>
        <v>140.19999999999999</v>
      </c>
      <c r="L143" s="4">
        <f>'Instagram Ads Raw Data'!F143</f>
        <v>2103</v>
      </c>
      <c r="M143" s="16">
        <f t="shared" si="6"/>
        <v>1.7125407166123778</v>
      </c>
      <c r="N143" s="17">
        <f t="shared" si="7"/>
        <v>81.86666666666666</v>
      </c>
    </row>
    <row r="144" spans="1:14" ht="13" x14ac:dyDescent="0.15">
      <c r="A144" s="2">
        <f>'Instagram Ads Raw Data'!A144</f>
        <v>45800</v>
      </c>
      <c r="B144" s="3">
        <f t="shared" si="0"/>
        <v>5</v>
      </c>
      <c r="C144" s="3">
        <f>'Instagram Ads Raw Data'!B144</f>
        <v>75641</v>
      </c>
      <c r="D144" s="3">
        <f t="shared" si="1"/>
        <v>1.3868140294284846E-2</v>
      </c>
      <c r="E144" s="3">
        <f>'Instagram Ads Raw Data'!C144</f>
        <v>1049</v>
      </c>
      <c r="F144" s="15">
        <f t="shared" si="2"/>
        <v>1.7321258341277408</v>
      </c>
      <c r="G144" s="4">
        <f t="shared" si="3"/>
        <v>24.021364075038669</v>
      </c>
      <c r="H144" s="4">
        <f>'Instagram Ads Raw Data'!D144</f>
        <v>1817</v>
      </c>
      <c r="I144" s="3">
        <f t="shared" si="4"/>
        <v>1.7159199237368923E-2</v>
      </c>
      <c r="J144" s="3">
        <f>'Instagram Ads Raw Data'!E144</f>
        <v>18</v>
      </c>
      <c r="K144" s="4">
        <f t="shared" si="5"/>
        <v>172.22222222222223</v>
      </c>
      <c r="L144" s="4">
        <f>'Instagram Ads Raw Data'!F144</f>
        <v>3100</v>
      </c>
      <c r="M144" s="16">
        <f t="shared" si="6"/>
        <v>1.7061089708310402</v>
      </c>
      <c r="N144" s="17">
        <f t="shared" si="7"/>
        <v>100.94444444444444</v>
      </c>
    </row>
    <row r="145" spans="1:14" ht="13" x14ac:dyDescent="0.15">
      <c r="A145" s="2">
        <f>'Instagram Ads Raw Data'!A145</f>
        <v>45801</v>
      </c>
      <c r="B145" s="3">
        <f t="shared" si="0"/>
        <v>5</v>
      </c>
      <c r="C145" s="3">
        <f>'Instagram Ads Raw Data'!B145</f>
        <v>92985</v>
      </c>
      <c r="D145" s="3">
        <f t="shared" si="1"/>
        <v>1.0786686024627628E-2</v>
      </c>
      <c r="E145" s="3">
        <f>'Instagram Ads Raw Data'!C145</f>
        <v>1003</v>
      </c>
      <c r="F145" s="15">
        <f t="shared" si="2"/>
        <v>1.6071784646061815</v>
      </c>
      <c r="G145" s="4">
        <f t="shared" si="3"/>
        <v>17.336129483249987</v>
      </c>
      <c r="H145" s="4">
        <f>'Instagram Ads Raw Data'!D145</f>
        <v>1612</v>
      </c>
      <c r="I145" s="3">
        <f t="shared" si="4"/>
        <v>1.6949152542372881E-2</v>
      </c>
      <c r="J145" s="3">
        <f>'Instagram Ads Raw Data'!E145</f>
        <v>17</v>
      </c>
      <c r="K145" s="4">
        <f t="shared" si="5"/>
        <v>155.70588235294119</v>
      </c>
      <c r="L145" s="4">
        <f>'Instagram Ads Raw Data'!F145</f>
        <v>2647</v>
      </c>
      <c r="M145" s="16">
        <f t="shared" si="6"/>
        <v>1.6420595533498759</v>
      </c>
      <c r="N145" s="17">
        <f t="shared" si="7"/>
        <v>94.82352941176471</v>
      </c>
    </row>
    <row r="146" spans="1:14" ht="13" x14ac:dyDescent="0.15">
      <c r="A146" s="2">
        <f>'Instagram Ads Raw Data'!A146</f>
        <v>45802</v>
      </c>
      <c r="B146" s="3">
        <f t="shared" si="0"/>
        <v>5</v>
      </c>
      <c r="C146" s="3">
        <f>'Instagram Ads Raw Data'!B146</f>
        <v>66186</v>
      </c>
      <c r="D146" s="3">
        <f t="shared" si="1"/>
        <v>2.5806061704892275E-2</v>
      </c>
      <c r="E146" s="3">
        <f>'Instagram Ads Raw Data'!C146</f>
        <v>1708</v>
      </c>
      <c r="F146" s="15">
        <f t="shared" si="2"/>
        <v>2.0925058548009368</v>
      </c>
      <c r="G146" s="4">
        <f t="shared" si="3"/>
        <v>53.999335206841323</v>
      </c>
      <c r="H146" s="4">
        <f>'Instagram Ads Raw Data'!D146</f>
        <v>3574</v>
      </c>
      <c r="I146" s="3">
        <f t="shared" si="4"/>
        <v>1.405152224824356E-2</v>
      </c>
      <c r="J146" s="3">
        <f>'Instagram Ads Raw Data'!E146</f>
        <v>24</v>
      </c>
      <c r="K146" s="4">
        <f t="shared" si="5"/>
        <v>142.75</v>
      </c>
      <c r="L146" s="4">
        <f>'Instagram Ads Raw Data'!F146</f>
        <v>3426</v>
      </c>
      <c r="M146" s="16">
        <f t="shared" si="6"/>
        <v>0.95858981533296028</v>
      </c>
      <c r="N146" s="17">
        <f t="shared" si="7"/>
        <v>148.91666666666666</v>
      </c>
    </row>
    <row r="147" spans="1:14" ht="13" x14ac:dyDescent="0.15">
      <c r="A147" s="2">
        <f>'Instagram Ads Raw Data'!A147</f>
        <v>45803</v>
      </c>
      <c r="B147" s="3">
        <f t="shared" si="0"/>
        <v>5</v>
      </c>
      <c r="C147" s="3">
        <f>'Instagram Ads Raw Data'!B147</f>
        <v>78687</v>
      </c>
      <c r="D147" s="3">
        <f t="shared" si="1"/>
        <v>2.6764268557703304E-2</v>
      </c>
      <c r="E147" s="3">
        <f>'Instagram Ads Raw Data'!C147</f>
        <v>2106</v>
      </c>
      <c r="F147" s="15">
        <f t="shared" si="2"/>
        <v>1.7155745489078822</v>
      </c>
      <c r="G147" s="4">
        <f t="shared" si="3"/>
        <v>45.916097957731267</v>
      </c>
      <c r="H147" s="4">
        <f>'Instagram Ads Raw Data'!D147</f>
        <v>3613</v>
      </c>
      <c r="I147" s="3">
        <f t="shared" si="4"/>
        <v>2.0417853751187084E-2</v>
      </c>
      <c r="J147" s="3">
        <f>'Instagram Ads Raw Data'!E147</f>
        <v>43</v>
      </c>
      <c r="K147" s="4">
        <f t="shared" si="5"/>
        <v>158.72093023255815</v>
      </c>
      <c r="L147" s="4">
        <f>'Instagram Ads Raw Data'!F147</f>
        <v>6825</v>
      </c>
      <c r="M147" s="16">
        <f t="shared" si="6"/>
        <v>1.8890119014669251</v>
      </c>
      <c r="N147" s="17">
        <f t="shared" si="7"/>
        <v>84.023255813953483</v>
      </c>
    </row>
    <row r="148" spans="1:14" ht="13" x14ac:dyDescent="0.15">
      <c r="A148" s="2">
        <f>'Instagram Ads Raw Data'!A148</f>
        <v>45804</v>
      </c>
      <c r="B148" s="3">
        <f t="shared" si="0"/>
        <v>5</v>
      </c>
      <c r="C148" s="3">
        <f>'Instagram Ads Raw Data'!B148</f>
        <v>30424</v>
      </c>
      <c r="D148" s="3">
        <f t="shared" si="1"/>
        <v>2.3172495398369707E-2</v>
      </c>
      <c r="E148" s="3">
        <f>'Instagram Ads Raw Data'!C148</f>
        <v>705</v>
      </c>
      <c r="F148" s="15">
        <f t="shared" si="2"/>
        <v>1.3943262411347517</v>
      </c>
      <c r="G148" s="4">
        <f t="shared" si="3"/>
        <v>32.310018406521166</v>
      </c>
      <c r="H148" s="4">
        <f>'Instagram Ads Raw Data'!D148</f>
        <v>983</v>
      </c>
      <c r="I148" s="3">
        <f t="shared" si="4"/>
        <v>1.4184397163120567E-2</v>
      </c>
      <c r="J148" s="3">
        <f>'Instagram Ads Raw Data'!E148</f>
        <v>10</v>
      </c>
      <c r="K148" s="4">
        <f t="shared" si="5"/>
        <v>182.5</v>
      </c>
      <c r="L148" s="4">
        <f>'Instagram Ads Raw Data'!F148</f>
        <v>1825</v>
      </c>
      <c r="M148" s="16">
        <f t="shared" si="6"/>
        <v>1.856561546286877</v>
      </c>
      <c r="N148" s="17">
        <f t="shared" si="7"/>
        <v>98.3</v>
      </c>
    </row>
    <row r="149" spans="1:14" ht="13" x14ac:dyDescent="0.15">
      <c r="A149" s="2">
        <f>'Instagram Ads Raw Data'!A149</f>
        <v>45805</v>
      </c>
      <c r="B149" s="3">
        <f t="shared" si="0"/>
        <v>5</v>
      </c>
      <c r="C149" s="3">
        <f>'Instagram Ads Raw Data'!B149</f>
        <v>70366</v>
      </c>
      <c r="D149" s="3">
        <f t="shared" si="1"/>
        <v>3.1336156666571927E-2</v>
      </c>
      <c r="E149" s="3">
        <f>'Instagram Ads Raw Data'!C149</f>
        <v>2205</v>
      </c>
      <c r="F149" s="15">
        <f t="shared" si="2"/>
        <v>1.5541950113378684</v>
      </c>
      <c r="G149" s="4">
        <f t="shared" si="3"/>
        <v>48.702498365687973</v>
      </c>
      <c r="H149" s="4">
        <f>'Instagram Ads Raw Data'!D149</f>
        <v>3427</v>
      </c>
      <c r="I149" s="3">
        <f t="shared" si="4"/>
        <v>2.0408163265306121E-2</v>
      </c>
      <c r="J149" s="3">
        <f>'Instagram Ads Raw Data'!E149</f>
        <v>45</v>
      </c>
      <c r="K149" s="4">
        <f t="shared" si="5"/>
        <v>176.55555555555554</v>
      </c>
      <c r="L149" s="4">
        <f>'Instagram Ads Raw Data'!F149</f>
        <v>7945</v>
      </c>
      <c r="M149" s="16">
        <f t="shared" si="6"/>
        <v>2.3183542456959438</v>
      </c>
      <c r="N149" s="17">
        <f t="shared" si="7"/>
        <v>76.155555555555551</v>
      </c>
    </row>
    <row r="150" spans="1:14" ht="13" x14ac:dyDescent="0.15">
      <c r="A150" s="2">
        <f>'Instagram Ads Raw Data'!A150</f>
        <v>45806</v>
      </c>
      <c r="B150" s="3">
        <f t="shared" si="0"/>
        <v>5</v>
      </c>
      <c r="C150" s="3">
        <f>'Instagram Ads Raw Data'!B150</f>
        <v>62817</v>
      </c>
      <c r="D150" s="3">
        <f t="shared" si="1"/>
        <v>1.8386742442332491E-2</v>
      </c>
      <c r="E150" s="3">
        <f>'Instagram Ads Raw Data'!C150</f>
        <v>1155</v>
      </c>
      <c r="F150" s="15">
        <f t="shared" si="2"/>
        <v>1.1350649350649351</v>
      </c>
      <c r="G150" s="4">
        <f t="shared" si="3"/>
        <v>20.870146616361811</v>
      </c>
      <c r="H150" s="4">
        <f>'Instagram Ads Raw Data'!D150</f>
        <v>1311</v>
      </c>
      <c r="I150" s="3">
        <f t="shared" si="4"/>
        <v>2.4242424242424242E-2</v>
      </c>
      <c r="J150" s="3">
        <f>'Instagram Ads Raw Data'!E150</f>
        <v>28</v>
      </c>
      <c r="K150" s="4">
        <f t="shared" si="5"/>
        <v>127.39285714285714</v>
      </c>
      <c r="L150" s="4">
        <f>'Instagram Ads Raw Data'!F150</f>
        <v>3567</v>
      </c>
      <c r="M150" s="16">
        <f t="shared" si="6"/>
        <v>2.7208237986270021</v>
      </c>
      <c r="N150" s="17">
        <f t="shared" si="7"/>
        <v>46.821428571428569</v>
      </c>
    </row>
    <row r="151" spans="1:14" ht="13" x14ac:dyDescent="0.15">
      <c r="A151" s="2">
        <f>'Instagram Ads Raw Data'!A151</f>
        <v>45807</v>
      </c>
      <c r="B151" s="3">
        <f t="shared" si="0"/>
        <v>5</v>
      </c>
      <c r="C151" s="3">
        <f>'Instagram Ads Raw Data'!B151</f>
        <v>38503</v>
      </c>
      <c r="D151" s="3">
        <f t="shared" si="1"/>
        <v>2.8751006415084539E-2</v>
      </c>
      <c r="E151" s="3">
        <f>'Instagram Ads Raw Data'!C151</f>
        <v>1107</v>
      </c>
      <c r="F151" s="15">
        <f t="shared" si="2"/>
        <v>2.0343270099367659</v>
      </c>
      <c r="G151" s="4">
        <f t="shared" si="3"/>
        <v>58.48894891307171</v>
      </c>
      <c r="H151" s="4">
        <f>'Instagram Ads Raw Data'!D151</f>
        <v>2252</v>
      </c>
      <c r="I151" s="3">
        <f t="shared" si="4"/>
        <v>1.7163504968383016E-2</v>
      </c>
      <c r="J151" s="3">
        <f>'Instagram Ads Raw Data'!E151</f>
        <v>19</v>
      </c>
      <c r="K151" s="4">
        <f t="shared" si="5"/>
        <v>200.84210526315789</v>
      </c>
      <c r="L151" s="4">
        <f>'Instagram Ads Raw Data'!F151</f>
        <v>3816</v>
      </c>
      <c r="M151" s="16">
        <f t="shared" si="6"/>
        <v>1.6944937833037301</v>
      </c>
      <c r="N151" s="17">
        <f t="shared" si="7"/>
        <v>118.52631578947368</v>
      </c>
    </row>
    <row r="152" spans="1:14" ht="13" x14ac:dyDescent="0.15">
      <c r="A152" s="2">
        <f>'Instagram Ads Raw Data'!A152</f>
        <v>45808</v>
      </c>
      <c r="B152" s="3">
        <f t="shared" si="0"/>
        <v>5</v>
      </c>
      <c r="C152" s="3">
        <f>'Instagram Ads Raw Data'!B152</f>
        <v>22102</v>
      </c>
      <c r="D152" s="3">
        <f t="shared" si="1"/>
        <v>1.5156999366573162E-2</v>
      </c>
      <c r="E152" s="3">
        <f>'Instagram Ads Raw Data'!C152</f>
        <v>335</v>
      </c>
      <c r="F152" s="15">
        <f t="shared" si="2"/>
        <v>1.2805970149253731</v>
      </c>
      <c r="G152" s="4">
        <f t="shared" si="3"/>
        <v>19.410008144059361</v>
      </c>
      <c r="H152" s="4">
        <f>'Instagram Ads Raw Data'!D152</f>
        <v>429</v>
      </c>
      <c r="I152" s="3">
        <f t="shared" si="4"/>
        <v>1.1940298507462687E-2</v>
      </c>
      <c r="J152" s="3">
        <f>'Instagram Ads Raw Data'!E152</f>
        <v>4</v>
      </c>
      <c r="K152" s="4">
        <f t="shared" si="5"/>
        <v>175.25</v>
      </c>
      <c r="L152" s="4">
        <f>'Instagram Ads Raw Data'!F152</f>
        <v>701</v>
      </c>
      <c r="M152" s="16">
        <f t="shared" si="6"/>
        <v>1.6340326340326341</v>
      </c>
      <c r="N152" s="17">
        <f t="shared" si="7"/>
        <v>107.25</v>
      </c>
    </row>
    <row r="153" spans="1:14" ht="13" x14ac:dyDescent="0.15">
      <c r="A153" s="2">
        <f>'Instagram Ads Raw Data'!A153</f>
        <v>45809</v>
      </c>
      <c r="B153" s="3">
        <f t="shared" si="0"/>
        <v>6</v>
      </c>
      <c r="C153" s="3">
        <f>'Instagram Ads Raw Data'!B153</f>
        <v>50120</v>
      </c>
      <c r="D153" s="3">
        <f t="shared" si="1"/>
        <v>2.5698324022346369E-2</v>
      </c>
      <c r="E153" s="3">
        <f>'Instagram Ads Raw Data'!C153</f>
        <v>1288</v>
      </c>
      <c r="F153" s="15">
        <f t="shared" si="2"/>
        <v>0.98680124223602483</v>
      </c>
      <c r="G153" s="4">
        <f t="shared" si="3"/>
        <v>25.359138068635275</v>
      </c>
      <c r="H153" s="4">
        <f>'Instagram Ads Raw Data'!D153</f>
        <v>1271</v>
      </c>
      <c r="I153" s="3">
        <f t="shared" si="4"/>
        <v>1.6304347826086956E-2</v>
      </c>
      <c r="J153" s="3">
        <f>'Instagram Ads Raw Data'!E153</f>
        <v>21</v>
      </c>
      <c r="K153" s="4">
        <f t="shared" si="5"/>
        <v>135.04761904761904</v>
      </c>
      <c r="L153" s="4">
        <f>'Instagram Ads Raw Data'!F153</f>
        <v>2836</v>
      </c>
      <c r="M153" s="16">
        <f t="shared" si="6"/>
        <v>2.2313139260424864</v>
      </c>
      <c r="N153" s="17">
        <f t="shared" si="7"/>
        <v>60.523809523809526</v>
      </c>
    </row>
    <row r="154" spans="1:14" ht="13" x14ac:dyDescent="0.15">
      <c r="A154" s="2">
        <f>'Instagram Ads Raw Data'!A154</f>
        <v>45810</v>
      </c>
      <c r="B154" s="3">
        <f t="shared" si="0"/>
        <v>6</v>
      </c>
      <c r="C154" s="3">
        <f>'Instagram Ads Raw Data'!B154</f>
        <v>93058</v>
      </c>
      <c r="D154" s="3">
        <f t="shared" si="1"/>
        <v>1.8096241053966344E-2</v>
      </c>
      <c r="E154" s="3">
        <f>'Instagram Ads Raw Data'!C154</f>
        <v>1684</v>
      </c>
      <c r="F154" s="15">
        <f t="shared" si="2"/>
        <v>1.9673396674584323</v>
      </c>
      <c r="G154" s="4">
        <f t="shared" si="3"/>
        <v>35.601452857357778</v>
      </c>
      <c r="H154" s="4">
        <f>'Instagram Ads Raw Data'!D154</f>
        <v>3313</v>
      </c>
      <c r="I154" s="3">
        <f t="shared" si="4"/>
        <v>2.3752969121140142E-2</v>
      </c>
      <c r="J154" s="3">
        <f>'Instagram Ads Raw Data'!E154</f>
        <v>40</v>
      </c>
      <c r="K154" s="4">
        <f t="shared" si="5"/>
        <v>100</v>
      </c>
      <c r="L154" s="4">
        <f>'Instagram Ads Raw Data'!F154</f>
        <v>4000</v>
      </c>
      <c r="M154" s="16">
        <f t="shared" si="6"/>
        <v>1.2073649260488983</v>
      </c>
      <c r="N154" s="17">
        <f t="shared" si="7"/>
        <v>82.825000000000003</v>
      </c>
    </row>
    <row r="155" spans="1:14" ht="13" x14ac:dyDescent="0.15">
      <c r="A155" s="2">
        <f>'Instagram Ads Raw Data'!A155</f>
        <v>45811</v>
      </c>
      <c r="B155" s="3">
        <f t="shared" si="0"/>
        <v>6</v>
      </c>
      <c r="C155" s="3">
        <f>'Instagram Ads Raw Data'!B155</f>
        <v>25134</v>
      </c>
      <c r="D155" s="3">
        <f t="shared" si="1"/>
        <v>2.2996737487069308E-2</v>
      </c>
      <c r="E155" s="3">
        <f>'Instagram Ads Raw Data'!C155</f>
        <v>578</v>
      </c>
      <c r="F155" s="15">
        <f t="shared" si="2"/>
        <v>1.8442906574394464</v>
      </c>
      <c r="G155" s="4">
        <f t="shared" si="3"/>
        <v>42.412668098989414</v>
      </c>
      <c r="H155" s="4">
        <f>'Instagram Ads Raw Data'!D155</f>
        <v>1066</v>
      </c>
      <c r="I155" s="3">
        <f t="shared" si="4"/>
        <v>2.2491349480968859E-2</v>
      </c>
      <c r="J155" s="3">
        <f>'Instagram Ads Raw Data'!E155</f>
        <v>13</v>
      </c>
      <c r="K155" s="4">
        <f t="shared" si="5"/>
        <v>191.69230769230768</v>
      </c>
      <c r="L155" s="4">
        <f>'Instagram Ads Raw Data'!F155</f>
        <v>2492</v>
      </c>
      <c r="M155" s="16">
        <f t="shared" si="6"/>
        <v>2.3377110694183867</v>
      </c>
      <c r="N155" s="17">
        <f t="shared" si="7"/>
        <v>82</v>
      </c>
    </row>
    <row r="156" spans="1:14" ht="13" x14ac:dyDescent="0.15">
      <c r="A156" s="2">
        <f>'Instagram Ads Raw Data'!A156</f>
        <v>45812</v>
      </c>
      <c r="B156" s="3">
        <f t="shared" si="0"/>
        <v>6</v>
      </c>
      <c r="C156" s="3">
        <f>'Instagram Ads Raw Data'!B156</f>
        <v>54615</v>
      </c>
      <c r="D156" s="3">
        <f t="shared" si="1"/>
        <v>2.0360706765540602E-2</v>
      </c>
      <c r="E156" s="3">
        <f>'Instagram Ads Raw Data'!C156</f>
        <v>1112</v>
      </c>
      <c r="F156" s="15">
        <f t="shared" si="2"/>
        <v>1.6960431654676258</v>
      </c>
      <c r="G156" s="4">
        <f t="shared" si="3"/>
        <v>34.532637553785591</v>
      </c>
      <c r="H156" s="4">
        <f>'Instagram Ads Raw Data'!D156</f>
        <v>1886</v>
      </c>
      <c r="I156" s="3">
        <f t="shared" si="4"/>
        <v>2.6978417266187049E-2</v>
      </c>
      <c r="J156" s="3">
        <f>'Instagram Ads Raw Data'!E156</f>
        <v>30</v>
      </c>
      <c r="K156" s="4">
        <f t="shared" si="5"/>
        <v>109.1</v>
      </c>
      <c r="L156" s="4">
        <f>'Instagram Ads Raw Data'!F156</f>
        <v>3273</v>
      </c>
      <c r="M156" s="16">
        <f t="shared" si="6"/>
        <v>1.7354188759278897</v>
      </c>
      <c r="N156" s="17">
        <f t="shared" si="7"/>
        <v>62.866666666666667</v>
      </c>
    </row>
    <row r="157" spans="1:14" ht="13" x14ac:dyDescent="0.15">
      <c r="A157" s="2">
        <f>'Instagram Ads Raw Data'!A157</f>
        <v>45813</v>
      </c>
      <c r="B157" s="3">
        <f t="shared" si="0"/>
        <v>6</v>
      </c>
      <c r="C157" s="3">
        <f>'Instagram Ads Raw Data'!B157</f>
        <v>62835</v>
      </c>
      <c r="D157" s="3">
        <f t="shared" si="1"/>
        <v>2.9585422137343838E-2</v>
      </c>
      <c r="E157" s="3">
        <f>'Instagram Ads Raw Data'!C157</f>
        <v>1859</v>
      </c>
      <c r="F157" s="15">
        <f t="shared" si="2"/>
        <v>1.1323292092522861</v>
      </c>
      <c r="G157" s="4">
        <f t="shared" si="3"/>
        <v>33.500437654173631</v>
      </c>
      <c r="H157" s="4">
        <f>'Instagram Ads Raw Data'!D157</f>
        <v>2105</v>
      </c>
      <c r="I157" s="3">
        <f t="shared" si="4"/>
        <v>2.097902097902098E-2</v>
      </c>
      <c r="J157" s="3">
        <f>'Instagram Ads Raw Data'!E157</f>
        <v>39</v>
      </c>
      <c r="K157" s="4">
        <f t="shared" si="5"/>
        <v>132.92307692307693</v>
      </c>
      <c r="L157" s="4">
        <f>'Instagram Ads Raw Data'!F157</f>
        <v>5184</v>
      </c>
      <c r="M157" s="16">
        <f t="shared" si="6"/>
        <v>2.46270783847981</v>
      </c>
      <c r="N157" s="17">
        <f t="shared" si="7"/>
        <v>53.974358974358971</v>
      </c>
    </row>
    <row r="158" spans="1:14" ht="13" x14ac:dyDescent="0.15">
      <c r="A158" s="2">
        <f>'Instagram Ads Raw Data'!A158</f>
        <v>45814</v>
      </c>
      <c r="B158" s="3">
        <f t="shared" si="0"/>
        <v>6</v>
      </c>
      <c r="C158" s="3">
        <f>'Instagram Ads Raw Data'!B158</f>
        <v>76734</v>
      </c>
      <c r="D158" s="3">
        <f t="shared" si="1"/>
        <v>1.6029400265853467E-2</v>
      </c>
      <c r="E158" s="3">
        <f>'Instagram Ads Raw Data'!C158</f>
        <v>1230</v>
      </c>
      <c r="F158" s="15">
        <f t="shared" si="2"/>
        <v>1.9829268292682927</v>
      </c>
      <c r="G158" s="4">
        <f t="shared" si="3"/>
        <v>31.785127844241146</v>
      </c>
      <c r="H158" s="4">
        <f>'Instagram Ads Raw Data'!D158</f>
        <v>2439</v>
      </c>
      <c r="I158" s="3">
        <f t="shared" si="4"/>
        <v>2.1951219512195121E-2</v>
      </c>
      <c r="J158" s="3">
        <f>'Instagram Ads Raw Data'!E158</f>
        <v>27</v>
      </c>
      <c r="K158" s="4">
        <f t="shared" si="5"/>
        <v>115.37037037037037</v>
      </c>
      <c r="L158" s="4">
        <f>'Instagram Ads Raw Data'!F158</f>
        <v>3115</v>
      </c>
      <c r="M158" s="16">
        <f t="shared" si="6"/>
        <v>1.2771627716277163</v>
      </c>
      <c r="N158" s="17">
        <f t="shared" si="7"/>
        <v>90.333333333333329</v>
      </c>
    </row>
    <row r="159" spans="1:14" ht="13" x14ac:dyDescent="0.15">
      <c r="A159" s="2">
        <f>'Instagram Ads Raw Data'!A159</f>
        <v>45815</v>
      </c>
      <c r="B159" s="3">
        <f t="shared" si="0"/>
        <v>6</v>
      </c>
      <c r="C159" s="3">
        <f>'Instagram Ads Raw Data'!B159</f>
        <v>71613</v>
      </c>
      <c r="D159" s="3">
        <f t="shared" si="1"/>
        <v>2.1364835993464875E-2</v>
      </c>
      <c r="E159" s="3">
        <f>'Instagram Ads Raw Data'!C159</f>
        <v>1530</v>
      </c>
      <c r="F159" s="15">
        <f t="shared" si="2"/>
        <v>1.3143790849673203</v>
      </c>
      <c r="G159" s="4">
        <f t="shared" si="3"/>
        <v>28.08149358356723</v>
      </c>
      <c r="H159" s="4">
        <f>'Instagram Ads Raw Data'!D159</f>
        <v>2011</v>
      </c>
      <c r="I159" s="3">
        <f t="shared" si="4"/>
        <v>2.2222222222222223E-2</v>
      </c>
      <c r="J159" s="3">
        <f>'Instagram Ads Raw Data'!E159</f>
        <v>34</v>
      </c>
      <c r="K159" s="4">
        <f t="shared" si="5"/>
        <v>204.91176470588235</v>
      </c>
      <c r="L159" s="4">
        <f>'Instagram Ads Raw Data'!F159</f>
        <v>6967</v>
      </c>
      <c r="M159" s="16">
        <f t="shared" si="6"/>
        <v>3.4644455494778716</v>
      </c>
      <c r="N159" s="17">
        <f t="shared" si="7"/>
        <v>59.147058823529413</v>
      </c>
    </row>
    <row r="160" spans="1:14" ht="13" x14ac:dyDescent="0.15">
      <c r="A160" s="2">
        <f>'Instagram Ads Raw Data'!A160</f>
        <v>45816</v>
      </c>
      <c r="B160" s="3">
        <f t="shared" si="0"/>
        <v>6</v>
      </c>
      <c r="C160" s="3">
        <f>'Instagram Ads Raw Data'!B160</f>
        <v>91004</v>
      </c>
      <c r="D160" s="3">
        <f t="shared" si="1"/>
        <v>2.2119906817282757E-2</v>
      </c>
      <c r="E160" s="3">
        <f>'Instagram Ads Raw Data'!C160</f>
        <v>2013</v>
      </c>
      <c r="F160" s="15">
        <f t="shared" si="2"/>
        <v>1.2717337307501242</v>
      </c>
      <c r="G160" s="4">
        <f t="shared" si="3"/>
        <v>28.130631620588105</v>
      </c>
      <c r="H160" s="4">
        <f>'Instagram Ads Raw Data'!D160</f>
        <v>2560</v>
      </c>
      <c r="I160" s="3">
        <f t="shared" si="4"/>
        <v>1.5896671634376552E-2</v>
      </c>
      <c r="J160" s="3">
        <f>'Instagram Ads Raw Data'!E160</f>
        <v>32</v>
      </c>
      <c r="K160" s="4">
        <f t="shared" si="5"/>
        <v>224.625</v>
      </c>
      <c r="L160" s="4">
        <f>'Instagram Ads Raw Data'!F160</f>
        <v>7188</v>
      </c>
      <c r="M160" s="16">
        <f t="shared" si="6"/>
        <v>2.8078124999999998</v>
      </c>
      <c r="N160" s="17">
        <f t="shared" si="7"/>
        <v>80</v>
      </c>
    </row>
    <row r="161" spans="1:14" ht="13" x14ac:dyDescent="0.15">
      <c r="A161" s="2">
        <f>'Instagram Ads Raw Data'!A161</f>
        <v>45817</v>
      </c>
      <c r="B161" s="3">
        <f t="shared" si="0"/>
        <v>6</v>
      </c>
      <c r="C161" s="3">
        <f>'Instagram Ads Raw Data'!B161</f>
        <v>43271</v>
      </c>
      <c r="D161" s="3">
        <f t="shared" si="1"/>
        <v>1.3958540361905202E-2</v>
      </c>
      <c r="E161" s="3">
        <f>'Instagram Ads Raw Data'!C161</f>
        <v>604</v>
      </c>
      <c r="F161" s="15">
        <f t="shared" si="2"/>
        <v>1.5943708609271523</v>
      </c>
      <c r="G161" s="4">
        <f t="shared" si="3"/>
        <v>22.255090014097203</v>
      </c>
      <c r="H161" s="4">
        <f>'Instagram Ads Raw Data'!D161</f>
        <v>963</v>
      </c>
      <c r="I161" s="3">
        <f t="shared" si="4"/>
        <v>1.3245033112582781E-2</v>
      </c>
      <c r="J161" s="3">
        <f>'Instagram Ads Raw Data'!E161</f>
        <v>8</v>
      </c>
      <c r="K161" s="4">
        <f t="shared" si="5"/>
        <v>134.875</v>
      </c>
      <c r="L161" s="4">
        <f>'Instagram Ads Raw Data'!F161</f>
        <v>1079</v>
      </c>
      <c r="M161" s="16">
        <f t="shared" si="6"/>
        <v>1.1204569055036344</v>
      </c>
      <c r="N161" s="17">
        <f t="shared" si="7"/>
        <v>120.375</v>
      </c>
    </row>
    <row r="162" spans="1:14" ht="13" x14ac:dyDescent="0.15">
      <c r="A162" s="2">
        <f>'Instagram Ads Raw Data'!A162</f>
        <v>45818</v>
      </c>
      <c r="B162" s="3">
        <f t="shared" si="0"/>
        <v>6</v>
      </c>
      <c r="C162" s="3">
        <f>'Instagram Ads Raw Data'!B162</f>
        <v>82193</v>
      </c>
      <c r="D162" s="3">
        <f t="shared" si="1"/>
        <v>3.0136386310269731E-2</v>
      </c>
      <c r="E162" s="3">
        <f>'Instagram Ads Raw Data'!C162</f>
        <v>2477</v>
      </c>
      <c r="F162" s="15">
        <f t="shared" si="2"/>
        <v>1.083972547436415</v>
      </c>
      <c r="G162" s="4">
        <f t="shared" si="3"/>
        <v>32.667015439270983</v>
      </c>
      <c r="H162" s="4">
        <f>'Instagram Ads Raw Data'!D162</f>
        <v>2685</v>
      </c>
      <c r="I162" s="3">
        <f t="shared" si="4"/>
        <v>1.2515139281388777E-2</v>
      </c>
      <c r="J162" s="3">
        <f>'Instagram Ads Raw Data'!E162</f>
        <v>31</v>
      </c>
      <c r="K162" s="4">
        <f t="shared" si="5"/>
        <v>125.64516129032258</v>
      </c>
      <c r="L162" s="4">
        <f>'Instagram Ads Raw Data'!F162</f>
        <v>3895</v>
      </c>
      <c r="M162" s="16">
        <f t="shared" si="6"/>
        <v>1.4506517690875234</v>
      </c>
      <c r="N162" s="17">
        <f t="shared" si="7"/>
        <v>86.612903225806448</v>
      </c>
    </row>
    <row r="163" spans="1:14" ht="13" x14ac:dyDescent="0.15">
      <c r="A163" s="2">
        <f>'Instagram Ads Raw Data'!A163</f>
        <v>45819</v>
      </c>
      <c r="B163" s="3">
        <f t="shared" si="0"/>
        <v>6</v>
      </c>
      <c r="C163" s="3">
        <f>'Instagram Ads Raw Data'!B163</f>
        <v>94018</v>
      </c>
      <c r="D163" s="3">
        <f t="shared" si="1"/>
        <v>1.2391244229828331E-2</v>
      </c>
      <c r="E163" s="3">
        <f>'Instagram Ads Raw Data'!C163</f>
        <v>1165</v>
      </c>
      <c r="F163" s="15">
        <f t="shared" si="2"/>
        <v>1.2987124463519313</v>
      </c>
      <c r="G163" s="4">
        <f t="shared" si="3"/>
        <v>16.092663107064606</v>
      </c>
      <c r="H163" s="4">
        <f>'Instagram Ads Raw Data'!D163</f>
        <v>1513</v>
      </c>
      <c r="I163" s="3">
        <f t="shared" si="4"/>
        <v>1.201716738197425E-2</v>
      </c>
      <c r="J163" s="3">
        <f>'Instagram Ads Raw Data'!E163</f>
        <v>14</v>
      </c>
      <c r="K163" s="4">
        <f t="shared" si="5"/>
        <v>194.78571428571428</v>
      </c>
      <c r="L163" s="4">
        <f>'Instagram Ads Raw Data'!F163</f>
        <v>2727</v>
      </c>
      <c r="M163" s="16">
        <f t="shared" si="6"/>
        <v>1.8023793787177793</v>
      </c>
      <c r="N163" s="17">
        <f t="shared" si="7"/>
        <v>108.07142857142857</v>
      </c>
    </row>
    <row r="164" spans="1:14" ht="13" x14ac:dyDescent="0.15">
      <c r="A164" s="2">
        <f>'Instagram Ads Raw Data'!A164</f>
        <v>45820</v>
      </c>
      <c r="B164" s="3">
        <f t="shared" si="0"/>
        <v>6</v>
      </c>
      <c r="C164" s="3">
        <f>'Instagram Ads Raw Data'!B164</f>
        <v>18365</v>
      </c>
      <c r="D164" s="3">
        <f t="shared" si="1"/>
        <v>2.1780560849441872E-2</v>
      </c>
      <c r="E164" s="3">
        <f>'Instagram Ads Raw Data'!C164</f>
        <v>400</v>
      </c>
      <c r="F164" s="15">
        <f t="shared" si="2"/>
        <v>1.1950000000000001</v>
      </c>
      <c r="G164" s="4">
        <f t="shared" si="3"/>
        <v>26.027770215083041</v>
      </c>
      <c r="H164" s="4">
        <f>'Instagram Ads Raw Data'!D164</f>
        <v>478</v>
      </c>
      <c r="I164" s="3">
        <f t="shared" si="4"/>
        <v>0.02</v>
      </c>
      <c r="J164" s="3">
        <f>'Instagram Ads Raw Data'!E164</f>
        <v>8</v>
      </c>
      <c r="K164" s="4">
        <f t="shared" si="5"/>
        <v>202</v>
      </c>
      <c r="L164" s="4">
        <f>'Instagram Ads Raw Data'!F164</f>
        <v>1616</v>
      </c>
      <c r="M164" s="16">
        <f t="shared" si="6"/>
        <v>3.3807531380753137</v>
      </c>
      <c r="N164" s="17">
        <f t="shared" si="7"/>
        <v>59.75</v>
      </c>
    </row>
    <row r="165" spans="1:14" ht="13" x14ac:dyDescent="0.15">
      <c r="A165" s="2">
        <f>'Instagram Ads Raw Data'!A165</f>
        <v>45821</v>
      </c>
      <c r="B165" s="3">
        <f t="shared" si="0"/>
        <v>6</v>
      </c>
      <c r="C165" s="3">
        <f>'Instagram Ads Raw Data'!B165</f>
        <v>40263</v>
      </c>
      <c r="D165" s="3">
        <f t="shared" si="1"/>
        <v>3.0275935722623749E-2</v>
      </c>
      <c r="E165" s="3">
        <f>'Instagram Ads Raw Data'!C165</f>
        <v>1219</v>
      </c>
      <c r="F165" s="15">
        <f t="shared" si="2"/>
        <v>2.1509433962264151</v>
      </c>
      <c r="G165" s="4">
        <f t="shared" si="3"/>
        <v>65.121824007152966</v>
      </c>
      <c r="H165" s="4">
        <f>'Instagram Ads Raw Data'!D165</f>
        <v>2622</v>
      </c>
      <c r="I165" s="3">
        <f t="shared" si="4"/>
        <v>2.461033634126333E-2</v>
      </c>
      <c r="J165" s="3">
        <f>'Instagram Ads Raw Data'!E165</f>
        <v>30</v>
      </c>
      <c r="K165" s="4">
        <f t="shared" si="5"/>
        <v>168.53333333333333</v>
      </c>
      <c r="L165" s="4">
        <f>'Instagram Ads Raw Data'!F165</f>
        <v>5056</v>
      </c>
      <c r="M165" s="16">
        <f t="shared" si="6"/>
        <v>1.9282990083905416</v>
      </c>
      <c r="N165" s="17">
        <f t="shared" si="7"/>
        <v>87.4</v>
      </c>
    </row>
    <row r="166" spans="1:14" ht="13" x14ac:dyDescent="0.15">
      <c r="A166" s="2">
        <f>'Instagram Ads Raw Data'!A166</f>
        <v>45822</v>
      </c>
      <c r="B166" s="3">
        <f t="shared" si="0"/>
        <v>6</v>
      </c>
      <c r="C166" s="3">
        <f>'Instagram Ads Raw Data'!B166</f>
        <v>63312</v>
      </c>
      <c r="D166" s="3">
        <f t="shared" si="1"/>
        <v>1.803765478898155E-2</v>
      </c>
      <c r="E166" s="3">
        <f>'Instagram Ads Raw Data'!C166</f>
        <v>1142</v>
      </c>
      <c r="F166" s="15">
        <f t="shared" si="2"/>
        <v>1.340630472854641</v>
      </c>
      <c r="G166" s="4">
        <f t="shared" si="3"/>
        <v>24.181829668941116</v>
      </c>
      <c r="H166" s="4">
        <f>'Instagram Ads Raw Data'!D166</f>
        <v>1531</v>
      </c>
      <c r="I166" s="3">
        <f t="shared" si="4"/>
        <v>1.9264448336252189E-2</v>
      </c>
      <c r="J166" s="3">
        <f>'Instagram Ads Raw Data'!E166</f>
        <v>22</v>
      </c>
      <c r="K166" s="4">
        <f t="shared" si="5"/>
        <v>172.5</v>
      </c>
      <c r="L166" s="4">
        <f>'Instagram Ads Raw Data'!F166</f>
        <v>3795</v>
      </c>
      <c r="M166" s="16">
        <f t="shared" si="6"/>
        <v>2.4787720444154147</v>
      </c>
      <c r="N166" s="17">
        <f t="shared" si="7"/>
        <v>69.590909090909093</v>
      </c>
    </row>
    <row r="167" spans="1:14" ht="13" x14ac:dyDescent="0.15">
      <c r="A167" s="2">
        <f>'Instagram Ads Raw Data'!A167</f>
        <v>45823</v>
      </c>
      <c r="B167" s="3">
        <f t="shared" si="0"/>
        <v>6</v>
      </c>
      <c r="C167" s="3">
        <f>'Instagram Ads Raw Data'!B167</f>
        <v>77585</v>
      </c>
      <c r="D167" s="3">
        <f t="shared" si="1"/>
        <v>2.7402204034284977E-2</v>
      </c>
      <c r="E167" s="3">
        <f>'Instagram Ads Raw Data'!C167</f>
        <v>2126</v>
      </c>
      <c r="F167" s="15">
        <f t="shared" si="2"/>
        <v>1.2596425211665099</v>
      </c>
      <c r="G167" s="4">
        <f t="shared" si="3"/>
        <v>34.516981375265843</v>
      </c>
      <c r="H167" s="4">
        <f>'Instagram Ads Raw Data'!D167</f>
        <v>2678</v>
      </c>
      <c r="I167" s="3">
        <f t="shared" si="4"/>
        <v>2.5399811853245531E-2</v>
      </c>
      <c r="J167" s="3">
        <f>'Instagram Ads Raw Data'!E167</f>
        <v>54</v>
      </c>
      <c r="K167" s="4">
        <f t="shared" si="5"/>
        <v>174.07407407407408</v>
      </c>
      <c r="L167" s="4">
        <f>'Instagram Ads Raw Data'!F167</f>
        <v>9400</v>
      </c>
      <c r="M167" s="16">
        <f t="shared" si="6"/>
        <v>3.51008215085885</v>
      </c>
      <c r="N167" s="17">
        <f t="shared" si="7"/>
        <v>49.592592592592595</v>
      </c>
    </row>
    <row r="168" spans="1:14" ht="13" x14ac:dyDescent="0.15">
      <c r="A168" s="2">
        <f>'Instagram Ads Raw Data'!A168</f>
        <v>45824</v>
      </c>
      <c r="B168" s="3">
        <f t="shared" si="0"/>
        <v>6</v>
      </c>
      <c r="C168" s="3">
        <f>'Instagram Ads Raw Data'!B168</f>
        <v>87900</v>
      </c>
      <c r="D168" s="3">
        <f t="shared" si="1"/>
        <v>2.8794084186575655E-2</v>
      </c>
      <c r="E168" s="3">
        <f>'Instagram Ads Raw Data'!C168</f>
        <v>2531</v>
      </c>
      <c r="F168" s="15">
        <f t="shared" si="2"/>
        <v>1.8672461477676807</v>
      </c>
      <c r="G168" s="4">
        <f t="shared" si="3"/>
        <v>53.76564277588168</v>
      </c>
      <c r="H168" s="4">
        <f>'Instagram Ads Raw Data'!D168</f>
        <v>4726</v>
      </c>
      <c r="I168" s="3">
        <f t="shared" si="4"/>
        <v>1.8174634531805612E-2</v>
      </c>
      <c r="J168" s="3">
        <f>'Instagram Ads Raw Data'!E168</f>
        <v>46</v>
      </c>
      <c r="K168" s="4">
        <f t="shared" si="5"/>
        <v>148.10869565217391</v>
      </c>
      <c r="L168" s="4">
        <f>'Instagram Ads Raw Data'!F168</f>
        <v>6813</v>
      </c>
      <c r="M168" s="16">
        <f t="shared" si="6"/>
        <v>1.4415996614473128</v>
      </c>
      <c r="N168" s="17">
        <f t="shared" si="7"/>
        <v>102.73913043478261</v>
      </c>
    </row>
    <row r="169" spans="1:14" ht="13" x14ac:dyDescent="0.15">
      <c r="A169" s="2">
        <f>'Instagram Ads Raw Data'!A169</f>
        <v>45825</v>
      </c>
      <c r="B169" s="3">
        <f t="shared" si="0"/>
        <v>6</v>
      </c>
      <c r="C169" s="3">
        <f>'Instagram Ads Raw Data'!B169</f>
        <v>30114</v>
      </c>
      <c r="D169" s="3">
        <f t="shared" si="1"/>
        <v>1.5308494387992295E-2</v>
      </c>
      <c r="E169" s="3">
        <f>'Instagram Ads Raw Data'!C169</f>
        <v>461</v>
      </c>
      <c r="F169" s="15">
        <f t="shared" si="2"/>
        <v>1.4967462039045554</v>
      </c>
      <c r="G169" s="4">
        <f t="shared" si="3"/>
        <v>22.912930862721659</v>
      </c>
      <c r="H169" s="4">
        <f>'Instagram Ads Raw Data'!D169</f>
        <v>690</v>
      </c>
      <c r="I169" s="3">
        <f t="shared" si="4"/>
        <v>1.5184381778741865E-2</v>
      </c>
      <c r="J169" s="3">
        <f>'Instagram Ads Raw Data'!E169</f>
        <v>7</v>
      </c>
      <c r="K169" s="4">
        <f t="shared" si="5"/>
        <v>157.85714285714286</v>
      </c>
      <c r="L169" s="4">
        <f>'Instagram Ads Raw Data'!F169</f>
        <v>1105</v>
      </c>
      <c r="M169" s="16">
        <f t="shared" si="6"/>
        <v>1.6014492753623188</v>
      </c>
      <c r="N169" s="17">
        <f t="shared" si="7"/>
        <v>98.571428571428569</v>
      </c>
    </row>
    <row r="170" spans="1:14" ht="13" x14ac:dyDescent="0.15">
      <c r="A170" s="2">
        <f>'Instagram Ads Raw Data'!A170</f>
        <v>45826</v>
      </c>
      <c r="B170" s="3">
        <f t="shared" si="0"/>
        <v>6</v>
      </c>
      <c r="C170" s="3">
        <f>'Instagram Ads Raw Data'!B170</f>
        <v>30566</v>
      </c>
      <c r="D170" s="3">
        <f t="shared" si="1"/>
        <v>1.1025322253484264E-2</v>
      </c>
      <c r="E170" s="3">
        <f>'Instagram Ads Raw Data'!C170</f>
        <v>337</v>
      </c>
      <c r="F170" s="15">
        <f t="shared" si="2"/>
        <v>2.1632047477744809</v>
      </c>
      <c r="G170" s="4">
        <f t="shared" si="3"/>
        <v>23.850029444480796</v>
      </c>
      <c r="H170" s="4">
        <f>'Instagram Ads Raw Data'!D170</f>
        <v>729</v>
      </c>
      <c r="I170" s="3">
        <f t="shared" si="4"/>
        <v>1.7804154302670624E-2</v>
      </c>
      <c r="J170" s="3">
        <f>'Instagram Ads Raw Data'!E170</f>
        <v>6</v>
      </c>
      <c r="K170" s="4">
        <f t="shared" si="5"/>
        <v>159.16666666666666</v>
      </c>
      <c r="L170" s="4">
        <f>'Instagram Ads Raw Data'!F170</f>
        <v>955</v>
      </c>
      <c r="M170" s="16">
        <f t="shared" si="6"/>
        <v>1.3100137174211248</v>
      </c>
      <c r="N170" s="17">
        <f t="shared" si="7"/>
        <v>121.5</v>
      </c>
    </row>
    <row r="171" spans="1:14" ht="13" x14ac:dyDescent="0.15">
      <c r="A171" s="2">
        <f>'Instagram Ads Raw Data'!A171</f>
        <v>45827</v>
      </c>
      <c r="B171" s="3">
        <f t="shared" si="0"/>
        <v>6</v>
      </c>
      <c r="C171" s="3">
        <f>'Instagram Ads Raw Data'!B171</f>
        <v>43028</v>
      </c>
      <c r="D171" s="3">
        <f t="shared" si="1"/>
        <v>2.661057915775774E-2</v>
      </c>
      <c r="E171" s="3">
        <f>'Instagram Ads Raw Data'!C171</f>
        <v>1145</v>
      </c>
      <c r="F171" s="15">
        <f t="shared" si="2"/>
        <v>1.1423580786026202</v>
      </c>
      <c r="G171" s="4">
        <f t="shared" si="3"/>
        <v>30.398810077159059</v>
      </c>
      <c r="H171" s="4">
        <f>'Instagram Ads Raw Data'!D171</f>
        <v>1308</v>
      </c>
      <c r="I171" s="3">
        <f t="shared" si="4"/>
        <v>1.3973799126637555E-2</v>
      </c>
      <c r="J171" s="3">
        <f>'Instagram Ads Raw Data'!E171</f>
        <v>16</v>
      </c>
      <c r="K171" s="4">
        <f t="shared" si="5"/>
        <v>185.1875</v>
      </c>
      <c r="L171" s="4">
        <f>'Instagram Ads Raw Data'!F171</f>
        <v>2963</v>
      </c>
      <c r="M171" s="16">
        <f t="shared" si="6"/>
        <v>2.2652905198776758</v>
      </c>
      <c r="N171" s="17">
        <f t="shared" si="7"/>
        <v>81.75</v>
      </c>
    </row>
    <row r="172" spans="1:14" ht="13" x14ac:dyDescent="0.15">
      <c r="A172" s="2">
        <f>'Instagram Ads Raw Data'!A172</f>
        <v>45828</v>
      </c>
      <c r="B172" s="3">
        <f t="shared" si="0"/>
        <v>6</v>
      </c>
      <c r="C172" s="3">
        <f>'Instagram Ads Raw Data'!B172</f>
        <v>58773</v>
      </c>
      <c r="D172" s="3">
        <f t="shared" si="1"/>
        <v>2.1829751756759056E-2</v>
      </c>
      <c r="E172" s="3">
        <f>'Instagram Ads Raw Data'!C172</f>
        <v>1283</v>
      </c>
      <c r="F172" s="15">
        <f t="shared" si="2"/>
        <v>1.8152766952455184</v>
      </c>
      <c r="G172" s="4">
        <f t="shared" si="3"/>
        <v>39.627039627039622</v>
      </c>
      <c r="H172" s="4">
        <f>'Instagram Ads Raw Data'!D172</f>
        <v>2329</v>
      </c>
      <c r="I172" s="3">
        <f t="shared" si="4"/>
        <v>2.6500389711613406E-2</v>
      </c>
      <c r="J172" s="3">
        <f>'Instagram Ads Raw Data'!E172</f>
        <v>34</v>
      </c>
      <c r="K172" s="4">
        <f t="shared" si="5"/>
        <v>178.97058823529412</v>
      </c>
      <c r="L172" s="4">
        <f>'Instagram Ads Raw Data'!F172</f>
        <v>6085</v>
      </c>
      <c r="M172" s="16">
        <f t="shared" si="6"/>
        <v>2.6127093173035636</v>
      </c>
      <c r="N172" s="17">
        <f t="shared" si="7"/>
        <v>68.5</v>
      </c>
    </row>
    <row r="173" spans="1:14" ht="13" x14ac:dyDescent="0.15">
      <c r="A173" s="2">
        <f>'Instagram Ads Raw Data'!A173</f>
        <v>45829</v>
      </c>
      <c r="B173" s="3">
        <f t="shared" si="0"/>
        <v>6</v>
      </c>
      <c r="C173" s="3">
        <f>'Instagram Ads Raw Data'!B173</f>
        <v>72129</v>
      </c>
      <c r="D173" s="3">
        <f t="shared" si="1"/>
        <v>2.9890889933313923E-2</v>
      </c>
      <c r="E173" s="3">
        <f>'Instagram Ads Raw Data'!C173</f>
        <v>2156</v>
      </c>
      <c r="F173" s="15">
        <f t="shared" si="2"/>
        <v>1.5222634508348794</v>
      </c>
      <c r="G173" s="4">
        <f t="shared" si="3"/>
        <v>45.50180925841201</v>
      </c>
      <c r="H173" s="4">
        <f>'Instagram Ads Raw Data'!D173</f>
        <v>3282</v>
      </c>
      <c r="I173" s="3">
        <f t="shared" si="4"/>
        <v>1.8552875695732839E-2</v>
      </c>
      <c r="J173" s="3">
        <f>'Instagram Ads Raw Data'!E173</f>
        <v>40</v>
      </c>
      <c r="K173" s="4">
        <f t="shared" si="5"/>
        <v>172.6</v>
      </c>
      <c r="L173" s="4">
        <f>'Instagram Ads Raw Data'!F173</f>
        <v>6904</v>
      </c>
      <c r="M173" s="16">
        <f t="shared" si="6"/>
        <v>2.1035953686776354</v>
      </c>
      <c r="N173" s="17">
        <f t="shared" si="7"/>
        <v>82.05</v>
      </c>
    </row>
    <row r="174" spans="1:14" ht="13" x14ac:dyDescent="0.15">
      <c r="A174" s="2">
        <f>'Instagram Ads Raw Data'!A174</f>
        <v>45830</v>
      </c>
      <c r="B174" s="3">
        <f t="shared" si="0"/>
        <v>6</v>
      </c>
      <c r="C174" s="3">
        <f>'Instagram Ads Raw Data'!B174</f>
        <v>82176</v>
      </c>
      <c r="D174" s="3">
        <f t="shared" si="1"/>
        <v>2.7733158099688474E-2</v>
      </c>
      <c r="E174" s="3">
        <f>'Instagram Ads Raw Data'!C174</f>
        <v>2279</v>
      </c>
      <c r="F174" s="15">
        <f t="shared" si="2"/>
        <v>1.7902588854760859</v>
      </c>
      <c r="G174" s="4">
        <f t="shared" si="3"/>
        <v>49.649532710280376</v>
      </c>
      <c r="H174" s="4">
        <f>'Instagram Ads Raw Data'!D174</f>
        <v>4080</v>
      </c>
      <c r="I174" s="3">
        <f t="shared" si="4"/>
        <v>1.7551557700745943E-2</v>
      </c>
      <c r="J174" s="3">
        <f>'Instagram Ads Raw Data'!E174</f>
        <v>40</v>
      </c>
      <c r="K174" s="4">
        <f t="shared" si="5"/>
        <v>151.94999999999999</v>
      </c>
      <c r="L174" s="4">
        <f>'Instagram Ads Raw Data'!F174</f>
        <v>6078</v>
      </c>
      <c r="M174" s="16">
        <f t="shared" si="6"/>
        <v>1.4897058823529412</v>
      </c>
      <c r="N174" s="17">
        <f t="shared" si="7"/>
        <v>102</v>
      </c>
    </row>
    <row r="175" spans="1:14" ht="13" x14ac:dyDescent="0.15">
      <c r="A175" s="2">
        <f>'Instagram Ads Raw Data'!A175</f>
        <v>45831</v>
      </c>
      <c r="B175" s="3">
        <f t="shared" si="0"/>
        <v>6</v>
      </c>
      <c r="C175" s="3">
        <f>'Instagram Ads Raw Data'!B175</f>
        <v>65342</v>
      </c>
      <c r="D175" s="3">
        <f t="shared" si="1"/>
        <v>1.4661320437084877E-2</v>
      </c>
      <c r="E175" s="3">
        <f>'Instagram Ads Raw Data'!C175</f>
        <v>958</v>
      </c>
      <c r="F175" s="15">
        <f t="shared" si="2"/>
        <v>2.0219206680584549</v>
      </c>
      <c r="G175" s="4">
        <f t="shared" si="3"/>
        <v>29.644026812769734</v>
      </c>
      <c r="H175" s="4">
        <f>'Instagram Ads Raw Data'!D175</f>
        <v>1937</v>
      </c>
      <c r="I175" s="3">
        <f t="shared" si="4"/>
        <v>2.1920668058455117E-2</v>
      </c>
      <c r="J175" s="3">
        <f>'Instagram Ads Raw Data'!E175</f>
        <v>21</v>
      </c>
      <c r="K175" s="4">
        <f t="shared" si="5"/>
        <v>167.61904761904762</v>
      </c>
      <c r="L175" s="4">
        <f>'Instagram Ads Raw Data'!F175</f>
        <v>3520</v>
      </c>
      <c r="M175" s="16">
        <f t="shared" si="6"/>
        <v>1.8172431595250387</v>
      </c>
      <c r="N175" s="17">
        <f t="shared" si="7"/>
        <v>92.238095238095241</v>
      </c>
    </row>
    <row r="176" spans="1:14" ht="13" x14ac:dyDescent="0.15">
      <c r="A176" s="2">
        <f>'Instagram Ads Raw Data'!A176</f>
        <v>45832</v>
      </c>
      <c r="B176" s="3">
        <f t="shared" si="0"/>
        <v>6</v>
      </c>
      <c r="C176" s="3">
        <f>'Instagram Ads Raw Data'!B176</f>
        <v>65538</v>
      </c>
      <c r="D176" s="3">
        <f t="shared" si="1"/>
        <v>1.2633891787970338E-2</v>
      </c>
      <c r="E176" s="3">
        <f>'Instagram Ads Raw Data'!C176</f>
        <v>828</v>
      </c>
      <c r="F176" s="15">
        <f t="shared" si="2"/>
        <v>1.7608695652173914</v>
      </c>
      <c r="G176" s="4">
        <f t="shared" si="3"/>
        <v>22.246635539686899</v>
      </c>
      <c r="H176" s="4">
        <f>'Instagram Ads Raw Data'!D176</f>
        <v>1458</v>
      </c>
      <c r="I176" s="3">
        <f t="shared" si="4"/>
        <v>2.0531400966183576E-2</v>
      </c>
      <c r="J176" s="3">
        <f>'Instagram Ads Raw Data'!E176</f>
        <v>17</v>
      </c>
      <c r="K176" s="4">
        <f t="shared" si="5"/>
        <v>131.94117647058823</v>
      </c>
      <c r="L176" s="4">
        <f>'Instagram Ads Raw Data'!F176</f>
        <v>2243</v>
      </c>
      <c r="M176" s="16">
        <f t="shared" si="6"/>
        <v>1.5384087791495198</v>
      </c>
      <c r="N176" s="17">
        <f t="shared" si="7"/>
        <v>85.764705882352942</v>
      </c>
    </row>
    <row r="177" spans="1:14" ht="13" x14ac:dyDescent="0.15">
      <c r="A177" s="2">
        <f>'Instagram Ads Raw Data'!A177</f>
        <v>45833</v>
      </c>
      <c r="B177" s="3">
        <f t="shared" si="0"/>
        <v>6</v>
      </c>
      <c r="C177" s="3">
        <f>'Instagram Ads Raw Data'!B177</f>
        <v>30692</v>
      </c>
      <c r="D177" s="3">
        <f t="shared" si="1"/>
        <v>1.5802163430209827E-2</v>
      </c>
      <c r="E177" s="3">
        <f>'Instagram Ads Raw Data'!C177</f>
        <v>485</v>
      </c>
      <c r="F177" s="15">
        <f t="shared" si="2"/>
        <v>1.2783505154639174</v>
      </c>
      <c r="G177" s="4">
        <f t="shared" si="3"/>
        <v>20.200703766453799</v>
      </c>
      <c r="H177" s="4">
        <f>'Instagram Ads Raw Data'!D177</f>
        <v>620</v>
      </c>
      <c r="I177" s="3">
        <f t="shared" si="4"/>
        <v>1.6494845360824743E-2</v>
      </c>
      <c r="J177" s="3">
        <f>'Instagram Ads Raw Data'!E177</f>
        <v>8</v>
      </c>
      <c r="K177" s="4">
        <f t="shared" si="5"/>
        <v>202</v>
      </c>
      <c r="L177" s="4">
        <f>'Instagram Ads Raw Data'!F177</f>
        <v>1616</v>
      </c>
      <c r="M177" s="16">
        <f t="shared" si="6"/>
        <v>2.6064516129032258</v>
      </c>
      <c r="N177" s="17">
        <f t="shared" si="7"/>
        <v>77.5</v>
      </c>
    </row>
    <row r="178" spans="1:14" ht="13" x14ac:dyDescent="0.15">
      <c r="A178" s="2">
        <f>'Instagram Ads Raw Data'!A178</f>
        <v>45834</v>
      </c>
      <c r="B178" s="3">
        <f t="shared" si="0"/>
        <v>6</v>
      </c>
      <c r="C178" s="3">
        <f>'Instagram Ads Raw Data'!B178</f>
        <v>74313</v>
      </c>
      <c r="D178" s="3">
        <f t="shared" si="1"/>
        <v>1.6672722134754351E-2</v>
      </c>
      <c r="E178" s="3">
        <f>'Instagram Ads Raw Data'!C178</f>
        <v>1239</v>
      </c>
      <c r="F178" s="15">
        <f t="shared" si="2"/>
        <v>1.6763518966908797</v>
      </c>
      <c r="G178" s="4">
        <f t="shared" si="3"/>
        <v>27.949349373595467</v>
      </c>
      <c r="H178" s="4">
        <f>'Instagram Ads Raw Data'!D178</f>
        <v>2077</v>
      </c>
      <c r="I178" s="3">
        <f t="shared" si="4"/>
        <v>2.2598870056497175E-2</v>
      </c>
      <c r="J178" s="3">
        <f>'Instagram Ads Raw Data'!E178</f>
        <v>28</v>
      </c>
      <c r="K178" s="4">
        <f t="shared" si="5"/>
        <v>165.78571428571428</v>
      </c>
      <c r="L178" s="4">
        <f>'Instagram Ads Raw Data'!F178</f>
        <v>4642</v>
      </c>
      <c r="M178" s="16">
        <f t="shared" si="6"/>
        <v>2.2349542609532982</v>
      </c>
      <c r="N178" s="17">
        <f t="shared" si="7"/>
        <v>74.178571428571431</v>
      </c>
    </row>
    <row r="179" spans="1:14" ht="13" x14ac:dyDescent="0.15">
      <c r="A179" s="2">
        <f>'Instagram Ads Raw Data'!A179</f>
        <v>45835</v>
      </c>
      <c r="B179" s="3">
        <f t="shared" si="0"/>
        <v>6</v>
      </c>
      <c r="C179" s="3">
        <f>'Instagram Ads Raw Data'!B179</f>
        <v>27726</v>
      </c>
      <c r="D179" s="3">
        <f t="shared" si="1"/>
        <v>2.5715934501911564E-2</v>
      </c>
      <c r="E179" s="3">
        <f>'Instagram Ads Raw Data'!C179</f>
        <v>713</v>
      </c>
      <c r="F179" s="15">
        <f t="shared" si="2"/>
        <v>1.9971949509116409</v>
      </c>
      <c r="G179" s="4">
        <f t="shared" si="3"/>
        <v>51.359734545192239</v>
      </c>
      <c r="H179" s="4">
        <f>'Instagram Ads Raw Data'!D179</f>
        <v>1424</v>
      </c>
      <c r="I179" s="3">
        <f t="shared" si="4"/>
        <v>2.1037868162692847E-2</v>
      </c>
      <c r="J179" s="3">
        <f>'Instagram Ads Raw Data'!E179</f>
        <v>15</v>
      </c>
      <c r="K179" s="4">
        <f t="shared" si="5"/>
        <v>147.80000000000001</v>
      </c>
      <c r="L179" s="4">
        <f>'Instagram Ads Raw Data'!F179</f>
        <v>2217</v>
      </c>
      <c r="M179" s="16">
        <f t="shared" si="6"/>
        <v>1.5568820224719102</v>
      </c>
      <c r="N179" s="17">
        <f t="shared" si="7"/>
        <v>94.933333333333337</v>
      </c>
    </row>
    <row r="180" spans="1:14" ht="13" x14ac:dyDescent="0.15">
      <c r="A180" s="2">
        <f>'Instagram Ads Raw Data'!A180</f>
        <v>45836</v>
      </c>
      <c r="B180" s="3">
        <f t="shared" si="0"/>
        <v>6</v>
      </c>
      <c r="C180" s="3">
        <f>'Instagram Ads Raw Data'!B180</f>
        <v>23031</v>
      </c>
      <c r="D180" s="3">
        <f t="shared" si="1"/>
        <v>2.0711215318483783E-2</v>
      </c>
      <c r="E180" s="3">
        <f>'Instagram Ads Raw Data'!C180</f>
        <v>477</v>
      </c>
      <c r="F180" s="15">
        <f t="shared" si="2"/>
        <v>1.8113207547169812</v>
      </c>
      <c r="G180" s="4">
        <f t="shared" si="3"/>
        <v>37.514654161781948</v>
      </c>
      <c r="H180" s="4">
        <f>'Instagram Ads Raw Data'!D180</f>
        <v>864</v>
      </c>
      <c r="I180" s="3">
        <f t="shared" si="4"/>
        <v>1.8867924528301886E-2</v>
      </c>
      <c r="J180" s="3">
        <f>'Instagram Ads Raw Data'!E180</f>
        <v>9</v>
      </c>
      <c r="K180" s="4">
        <f t="shared" si="5"/>
        <v>172.11111111111111</v>
      </c>
      <c r="L180" s="4">
        <f>'Instagram Ads Raw Data'!F180</f>
        <v>1549</v>
      </c>
      <c r="M180" s="16">
        <f t="shared" si="6"/>
        <v>1.7928240740740742</v>
      </c>
      <c r="N180" s="17">
        <f t="shared" si="7"/>
        <v>96</v>
      </c>
    </row>
    <row r="181" spans="1:14" ht="13" x14ac:dyDescent="0.15">
      <c r="A181" s="2">
        <f>'Instagram Ads Raw Data'!A181</f>
        <v>45837</v>
      </c>
      <c r="B181" s="3">
        <f t="shared" si="0"/>
        <v>6</v>
      </c>
      <c r="C181" s="3">
        <f>'Instagram Ads Raw Data'!B181</f>
        <v>27504</v>
      </c>
      <c r="D181" s="3">
        <f t="shared" si="1"/>
        <v>1.5234147760325771E-2</v>
      </c>
      <c r="E181" s="3">
        <f>'Instagram Ads Raw Data'!C181</f>
        <v>419</v>
      </c>
      <c r="F181" s="15">
        <f t="shared" si="2"/>
        <v>1.1288782816229117</v>
      </c>
      <c r="G181" s="4">
        <f t="shared" si="3"/>
        <v>17.197498545666082</v>
      </c>
      <c r="H181" s="4">
        <f>'Instagram Ads Raw Data'!D181</f>
        <v>473</v>
      </c>
      <c r="I181" s="3">
        <f t="shared" si="4"/>
        <v>2.1479713603818614E-2</v>
      </c>
      <c r="J181" s="3">
        <f>'Instagram Ads Raw Data'!E181</f>
        <v>9</v>
      </c>
      <c r="K181" s="4">
        <f t="shared" si="5"/>
        <v>164.33333333333334</v>
      </c>
      <c r="L181" s="4">
        <f>'Instagram Ads Raw Data'!F181</f>
        <v>1479</v>
      </c>
      <c r="M181" s="16">
        <f t="shared" si="6"/>
        <v>3.1268498942917549</v>
      </c>
      <c r="N181" s="17">
        <f t="shared" si="7"/>
        <v>52.555555555555557</v>
      </c>
    </row>
    <row r="182" spans="1:14" ht="13" x14ac:dyDescent="0.15">
      <c r="A182" s="2">
        <f>'Instagram Ads Raw Data'!A182</f>
        <v>45838</v>
      </c>
      <c r="B182" s="3">
        <f t="shared" si="0"/>
        <v>6</v>
      </c>
      <c r="C182" s="3">
        <f>'Instagram Ads Raw Data'!B182</f>
        <v>41452</v>
      </c>
      <c r="D182" s="3">
        <f t="shared" si="1"/>
        <v>2.0336775065135579E-2</v>
      </c>
      <c r="E182" s="3">
        <f>'Instagram Ads Raw Data'!C182</f>
        <v>843</v>
      </c>
      <c r="F182" s="15">
        <f t="shared" si="2"/>
        <v>1.9406880189798339</v>
      </c>
      <c r="G182" s="4">
        <f t="shared" si="3"/>
        <v>39.467335713596448</v>
      </c>
      <c r="H182" s="4">
        <f>'Instagram Ads Raw Data'!D182</f>
        <v>1636</v>
      </c>
      <c r="I182" s="3">
        <f t="shared" si="4"/>
        <v>2.0166073546856466E-2</v>
      </c>
      <c r="J182" s="3">
        <f>'Instagram Ads Raw Data'!E182</f>
        <v>17</v>
      </c>
      <c r="K182" s="4">
        <f t="shared" si="5"/>
        <v>149.23529411764707</v>
      </c>
      <c r="L182" s="4">
        <f>'Instagram Ads Raw Data'!F182</f>
        <v>2537</v>
      </c>
      <c r="M182" s="16">
        <f t="shared" si="6"/>
        <v>1.5507334963325183</v>
      </c>
      <c r="N182" s="17">
        <f t="shared" si="7"/>
        <v>96.235294117647058</v>
      </c>
    </row>
    <row r="183" spans="1:14" ht="13" x14ac:dyDescent="0.15">
      <c r="A183" s="2">
        <f>'Instagram Ads Raw Data'!A183</f>
        <v>45839</v>
      </c>
      <c r="B183" s="3">
        <f t="shared" si="0"/>
        <v>7</v>
      </c>
      <c r="C183" s="3">
        <f>'Instagram Ads Raw Data'!B183</f>
        <v>84189</v>
      </c>
      <c r="D183" s="3">
        <f t="shared" si="1"/>
        <v>2.7937141431778497E-2</v>
      </c>
      <c r="E183" s="3">
        <f>'Instagram Ads Raw Data'!C183</f>
        <v>2352</v>
      </c>
      <c r="F183" s="15">
        <f t="shared" si="2"/>
        <v>1.3877551020408163</v>
      </c>
      <c r="G183" s="4">
        <f t="shared" si="3"/>
        <v>38.769910558386492</v>
      </c>
      <c r="H183" s="4">
        <f>'Instagram Ads Raw Data'!D183</f>
        <v>3264</v>
      </c>
      <c r="I183" s="3">
        <f t="shared" si="4"/>
        <v>1.9557823129251702E-2</v>
      </c>
      <c r="J183" s="3">
        <f>'Instagram Ads Raw Data'!E183</f>
        <v>46</v>
      </c>
      <c r="K183" s="4">
        <f t="shared" si="5"/>
        <v>177.34782608695653</v>
      </c>
      <c r="L183" s="4">
        <f>'Instagram Ads Raw Data'!F183</f>
        <v>8158</v>
      </c>
      <c r="M183" s="16">
        <f t="shared" si="6"/>
        <v>2.4993872549019609</v>
      </c>
      <c r="N183" s="17">
        <f t="shared" si="7"/>
        <v>70.956521739130437</v>
      </c>
    </row>
    <row r="184" spans="1:14" ht="13" x14ac:dyDescent="0.15">
      <c r="A184" s="2">
        <f>'Instagram Ads Raw Data'!A184</f>
        <v>45840</v>
      </c>
      <c r="B184" s="3">
        <f t="shared" si="0"/>
        <v>7</v>
      </c>
      <c r="C184" s="3">
        <f>'Instagram Ads Raw Data'!B184</f>
        <v>25428</v>
      </c>
      <c r="D184" s="3">
        <f t="shared" si="1"/>
        <v>2.5051124744376277E-2</v>
      </c>
      <c r="E184" s="3">
        <f>'Instagram Ads Raw Data'!C184</f>
        <v>637</v>
      </c>
      <c r="F184" s="15">
        <f t="shared" si="2"/>
        <v>1.0345368916797488</v>
      </c>
      <c r="G184" s="4">
        <f t="shared" si="3"/>
        <v>25.916312726128677</v>
      </c>
      <c r="H184" s="4">
        <f>'Instagram Ads Raw Data'!D184</f>
        <v>659</v>
      </c>
      <c r="I184" s="3">
        <f t="shared" si="4"/>
        <v>2.197802197802198E-2</v>
      </c>
      <c r="J184" s="3">
        <f>'Instagram Ads Raw Data'!E184</f>
        <v>14</v>
      </c>
      <c r="K184" s="4">
        <f t="shared" si="5"/>
        <v>163.57142857142858</v>
      </c>
      <c r="L184" s="4">
        <f>'Instagram Ads Raw Data'!F184</f>
        <v>2290</v>
      </c>
      <c r="M184" s="16">
        <f t="shared" si="6"/>
        <v>3.4749620637329288</v>
      </c>
      <c r="N184" s="17">
        <f t="shared" si="7"/>
        <v>47.071428571428569</v>
      </c>
    </row>
    <row r="185" spans="1:14" ht="13" x14ac:dyDescent="0.15">
      <c r="A185" s="2">
        <f>'Instagram Ads Raw Data'!A185</f>
        <v>45841</v>
      </c>
      <c r="B185" s="3">
        <f t="shared" si="0"/>
        <v>7</v>
      </c>
      <c r="C185" s="3">
        <f>'Instagram Ads Raw Data'!B185</f>
        <v>61279</v>
      </c>
      <c r="D185" s="3">
        <f t="shared" si="1"/>
        <v>1.9288826514792995E-2</v>
      </c>
      <c r="E185" s="3">
        <f>'Instagram Ads Raw Data'!C185</f>
        <v>1182</v>
      </c>
      <c r="F185" s="15">
        <f t="shared" si="2"/>
        <v>1.8604060913705585</v>
      </c>
      <c r="G185" s="4">
        <f t="shared" si="3"/>
        <v>35.885050343510827</v>
      </c>
      <c r="H185" s="4">
        <f>'Instagram Ads Raw Data'!D185</f>
        <v>2199</v>
      </c>
      <c r="I185" s="3">
        <f t="shared" si="4"/>
        <v>1.3536379018612521E-2</v>
      </c>
      <c r="J185" s="3">
        <f>'Instagram Ads Raw Data'!E185</f>
        <v>16</v>
      </c>
      <c r="K185" s="4">
        <f t="shared" si="5"/>
        <v>153.625</v>
      </c>
      <c r="L185" s="4">
        <f>'Instagram Ads Raw Data'!F185</f>
        <v>2458</v>
      </c>
      <c r="M185" s="16">
        <f t="shared" si="6"/>
        <v>1.1177808094588448</v>
      </c>
      <c r="N185" s="17">
        <f t="shared" si="7"/>
        <v>137.4375</v>
      </c>
    </row>
    <row r="186" spans="1:14" ht="13" x14ac:dyDescent="0.15">
      <c r="A186" s="2">
        <f>'Instagram Ads Raw Data'!A186</f>
        <v>45842</v>
      </c>
      <c r="B186" s="3">
        <f t="shared" si="0"/>
        <v>7</v>
      </c>
      <c r="C186" s="3">
        <f>'Instagram Ads Raw Data'!B186</f>
        <v>71106</v>
      </c>
      <c r="D186" s="3">
        <f t="shared" si="1"/>
        <v>1.748094394284589E-2</v>
      </c>
      <c r="E186" s="3">
        <f>'Instagram Ads Raw Data'!C186</f>
        <v>1243</v>
      </c>
      <c r="F186" s="15">
        <f t="shared" si="2"/>
        <v>1.1069991954947707</v>
      </c>
      <c r="G186" s="4">
        <f t="shared" si="3"/>
        <v>19.35139088121959</v>
      </c>
      <c r="H186" s="4">
        <f>'Instagram Ads Raw Data'!D186</f>
        <v>1376</v>
      </c>
      <c r="I186" s="3">
        <f t="shared" si="4"/>
        <v>1.4481094127111826E-2</v>
      </c>
      <c r="J186" s="3">
        <f>'Instagram Ads Raw Data'!E186</f>
        <v>18</v>
      </c>
      <c r="K186" s="4">
        <f t="shared" si="5"/>
        <v>176.72222222222223</v>
      </c>
      <c r="L186" s="4">
        <f>'Instagram Ads Raw Data'!F186</f>
        <v>3181</v>
      </c>
      <c r="M186" s="16">
        <f t="shared" si="6"/>
        <v>2.3117732558139537</v>
      </c>
      <c r="N186" s="17">
        <f t="shared" si="7"/>
        <v>76.444444444444443</v>
      </c>
    </row>
    <row r="187" spans="1:14" ht="13" x14ac:dyDescent="0.15">
      <c r="A187" s="2">
        <f>'Instagram Ads Raw Data'!A187</f>
        <v>45843</v>
      </c>
      <c r="B187" s="3">
        <f t="shared" si="0"/>
        <v>7</v>
      </c>
      <c r="C187" s="3">
        <f>'Instagram Ads Raw Data'!B187</f>
        <v>88949</v>
      </c>
      <c r="D187" s="3">
        <f t="shared" si="1"/>
        <v>2.5700120293651419E-2</v>
      </c>
      <c r="E187" s="3">
        <f>'Instagram Ads Raw Data'!C187</f>
        <v>2286</v>
      </c>
      <c r="F187" s="15">
        <f t="shared" si="2"/>
        <v>1.568678915135608</v>
      </c>
      <c r="G187" s="4">
        <f t="shared" si="3"/>
        <v>40.315236821099731</v>
      </c>
      <c r="H187" s="4">
        <f>'Instagram Ads Raw Data'!D187</f>
        <v>3586</v>
      </c>
      <c r="I187" s="3">
        <f t="shared" si="4"/>
        <v>1.2248468941382326E-2</v>
      </c>
      <c r="J187" s="3">
        <f>'Instagram Ads Raw Data'!E187</f>
        <v>28</v>
      </c>
      <c r="K187" s="4">
        <f t="shared" si="5"/>
        <v>161.39285714285714</v>
      </c>
      <c r="L187" s="4">
        <f>'Instagram Ads Raw Data'!F187</f>
        <v>4519</v>
      </c>
      <c r="M187" s="16">
        <f t="shared" si="6"/>
        <v>1.2601784718349136</v>
      </c>
      <c r="N187" s="17">
        <f t="shared" si="7"/>
        <v>128.07142857142858</v>
      </c>
    </row>
    <row r="188" spans="1:14" ht="13" x14ac:dyDescent="0.15">
      <c r="A188" s="2">
        <f>'Instagram Ads Raw Data'!A188</f>
        <v>45844</v>
      </c>
      <c r="B188" s="3">
        <f t="shared" si="0"/>
        <v>7</v>
      </c>
      <c r="C188" s="3">
        <f>'Instagram Ads Raw Data'!B188</f>
        <v>26132</v>
      </c>
      <c r="D188" s="3">
        <f t="shared" si="1"/>
        <v>2.0893923159344865E-2</v>
      </c>
      <c r="E188" s="3">
        <f>'Instagram Ads Raw Data'!C188</f>
        <v>546</v>
      </c>
      <c r="F188" s="15">
        <f t="shared" si="2"/>
        <v>1.3864468864468864</v>
      </c>
      <c r="G188" s="4">
        <f t="shared" si="3"/>
        <v>28.96831470993418</v>
      </c>
      <c r="H188" s="4">
        <f>'Instagram Ads Raw Data'!D188</f>
        <v>757</v>
      </c>
      <c r="I188" s="3">
        <f t="shared" si="4"/>
        <v>1.282051282051282E-2</v>
      </c>
      <c r="J188" s="3">
        <f>'Instagram Ads Raw Data'!E188</f>
        <v>7</v>
      </c>
      <c r="K188" s="4">
        <f t="shared" si="5"/>
        <v>127.57142857142857</v>
      </c>
      <c r="L188" s="4">
        <f>'Instagram Ads Raw Data'!F188</f>
        <v>893</v>
      </c>
      <c r="M188" s="16">
        <f t="shared" si="6"/>
        <v>1.179656538969617</v>
      </c>
      <c r="N188" s="17">
        <f t="shared" si="7"/>
        <v>108.14285714285714</v>
      </c>
    </row>
    <row r="189" spans="1:14" ht="13" x14ac:dyDescent="0.15">
      <c r="A189" s="2">
        <f>'Instagram Ads Raw Data'!A189</f>
        <v>45845</v>
      </c>
      <c r="B189" s="3">
        <f t="shared" si="0"/>
        <v>7</v>
      </c>
      <c r="C189" s="3">
        <f>'Instagram Ads Raw Data'!B189</f>
        <v>43244</v>
      </c>
      <c r="D189" s="3">
        <f t="shared" si="1"/>
        <v>2.7448894644343726E-2</v>
      </c>
      <c r="E189" s="3">
        <f>'Instagram Ads Raw Data'!C189</f>
        <v>1187</v>
      </c>
      <c r="F189" s="15">
        <f t="shared" si="2"/>
        <v>1.5408593091828138</v>
      </c>
      <c r="G189" s="4">
        <f t="shared" si="3"/>
        <v>42.294884839515312</v>
      </c>
      <c r="H189" s="4">
        <f>'Instagram Ads Raw Data'!D189</f>
        <v>1829</v>
      </c>
      <c r="I189" s="3">
        <f t="shared" si="4"/>
        <v>2.1903959561920809E-2</v>
      </c>
      <c r="J189" s="3">
        <f>'Instagram Ads Raw Data'!E189</f>
        <v>26</v>
      </c>
      <c r="K189" s="4">
        <f t="shared" si="5"/>
        <v>158.34615384615384</v>
      </c>
      <c r="L189" s="4">
        <f>'Instagram Ads Raw Data'!F189</f>
        <v>4117</v>
      </c>
      <c r="M189" s="16">
        <f t="shared" si="6"/>
        <v>2.2509568069983596</v>
      </c>
      <c r="N189" s="17">
        <f t="shared" si="7"/>
        <v>70.34615384615384</v>
      </c>
    </row>
    <row r="190" spans="1:14" ht="13" x14ac:dyDescent="0.15">
      <c r="A190" s="2">
        <f>'Instagram Ads Raw Data'!A190</f>
        <v>45846</v>
      </c>
      <c r="B190" s="3">
        <f t="shared" si="0"/>
        <v>7</v>
      </c>
      <c r="C190" s="3">
        <f>'Instagram Ads Raw Data'!B190</f>
        <v>75861</v>
      </c>
      <c r="D190" s="3">
        <f t="shared" si="1"/>
        <v>1.7769341295263707E-2</v>
      </c>
      <c r="E190" s="3">
        <f>'Instagram Ads Raw Data'!C190</f>
        <v>1348</v>
      </c>
      <c r="F190" s="15">
        <f t="shared" si="2"/>
        <v>2.0445103857566767</v>
      </c>
      <c r="G190" s="4">
        <f t="shared" si="3"/>
        <v>36.329602826221638</v>
      </c>
      <c r="H190" s="4">
        <f>'Instagram Ads Raw Data'!D190</f>
        <v>2756</v>
      </c>
      <c r="I190" s="3">
        <f t="shared" si="4"/>
        <v>2.2997032640949554E-2</v>
      </c>
      <c r="J190" s="3">
        <f>'Instagram Ads Raw Data'!E190</f>
        <v>31</v>
      </c>
      <c r="K190" s="4">
        <f t="shared" si="5"/>
        <v>99.548387096774192</v>
      </c>
      <c r="L190" s="4">
        <f>'Instagram Ads Raw Data'!F190</f>
        <v>3086</v>
      </c>
      <c r="M190" s="16">
        <f t="shared" si="6"/>
        <v>1.1197387518142234</v>
      </c>
      <c r="N190" s="17">
        <f t="shared" si="7"/>
        <v>88.903225806451616</v>
      </c>
    </row>
    <row r="191" spans="1:14" ht="13" x14ac:dyDescent="0.15">
      <c r="A191" s="2">
        <f>'Instagram Ads Raw Data'!A191</f>
        <v>45847</v>
      </c>
      <c r="B191" s="3">
        <f t="shared" si="0"/>
        <v>7</v>
      </c>
      <c r="C191" s="3">
        <f>'Instagram Ads Raw Data'!B191</f>
        <v>53933</v>
      </c>
      <c r="D191" s="3">
        <f t="shared" si="1"/>
        <v>1.6761537463148721E-2</v>
      </c>
      <c r="E191" s="3">
        <f>'Instagram Ads Raw Data'!C191</f>
        <v>904</v>
      </c>
      <c r="F191" s="15">
        <f t="shared" si="2"/>
        <v>1.711283185840708</v>
      </c>
      <c r="G191" s="4">
        <f t="shared" si="3"/>
        <v>28.683737229525523</v>
      </c>
      <c r="H191" s="4">
        <f>'Instagram Ads Raw Data'!D191</f>
        <v>1547</v>
      </c>
      <c r="I191" s="3">
        <f t="shared" si="4"/>
        <v>1.8805309734513276E-2</v>
      </c>
      <c r="J191" s="3">
        <f>'Instagram Ads Raw Data'!E191</f>
        <v>17</v>
      </c>
      <c r="K191" s="4">
        <f t="shared" si="5"/>
        <v>109.52941176470588</v>
      </c>
      <c r="L191" s="4">
        <f>'Instagram Ads Raw Data'!F191</f>
        <v>1862</v>
      </c>
      <c r="M191" s="16">
        <f t="shared" si="6"/>
        <v>1.2036199095022624</v>
      </c>
      <c r="N191" s="17">
        <f t="shared" si="7"/>
        <v>91</v>
      </c>
    </row>
    <row r="192" spans="1:14" ht="13" x14ac:dyDescent="0.15">
      <c r="A192" s="2">
        <f>'Instagram Ads Raw Data'!A192</f>
        <v>45848</v>
      </c>
      <c r="B192" s="3">
        <f t="shared" si="0"/>
        <v>7</v>
      </c>
      <c r="C192" s="3">
        <f>'Instagram Ads Raw Data'!B192</f>
        <v>49348</v>
      </c>
      <c r="D192" s="3">
        <f t="shared" si="1"/>
        <v>2.6971711112912376E-2</v>
      </c>
      <c r="E192" s="3">
        <f>'Instagram Ads Raw Data'!C192</f>
        <v>1331</v>
      </c>
      <c r="F192" s="15">
        <f t="shared" si="2"/>
        <v>1.391435011269722</v>
      </c>
      <c r="G192" s="4">
        <f t="shared" si="3"/>
        <v>37.529383156358918</v>
      </c>
      <c r="H192" s="4">
        <f>'Instagram Ads Raw Data'!D192</f>
        <v>1852</v>
      </c>
      <c r="I192" s="3">
        <f t="shared" si="4"/>
        <v>1.2021036814425245E-2</v>
      </c>
      <c r="J192" s="3">
        <f>'Instagram Ads Raw Data'!E192</f>
        <v>16</v>
      </c>
      <c r="K192" s="4">
        <f t="shared" si="5"/>
        <v>138.9375</v>
      </c>
      <c r="L192" s="4">
        <f>'Instagram Ads Raw Data'!F192</f>
        <v>2223</v>
      </c>
      <c r="M192" s="16">
        <f t="shared" si="6"/>
        <v>1.2003239740820735</v>
      </c>
      <c r="N192" s="17">
        <f t="shared" si="7"/>
        <v>115.75</v>
      </c>
    </row>
    <row r="193" spans="1:14" ht="13" x14ac:dyDescent="0.15">
      <c r="A193" s="2">
        <f>'Instagram Ads Raw Data'!A193</f>
        <v>45849</v>
      </c>
      <c r="B193" s="3">
        <f t="shared" si="0"/>
        <v>7</v>
      </c>
      <c r="C193" s="3">
        <f>'Instagram Ads Raw Data'!B193</f>
        <v>82290</v>
      </c>
      <c r="D193" s="3">
        <f t="shared" si="1"/>
        <v>1.3561793656580386E-2</v>
      </c>
      <c r="E193" s="3">
        <f>'Instagram Ads Raw Data'!C193</f>
        <v>1116</v>
      </c>
      <c r="F193" s="15">
        <f t="shared" si="2"/>
        <v>1.3826164874551972</v>
      </c>
      <c r="G193" s="4">
        <f t="shared" si="3"/>
        <v>18.750759509053346</v>
      </c>
      <c r="H193" s="4">
        <f>'Instagram Ads Raw Data'!D193</f>
        <v>1543</v>
      </c>
      <c r="I193" s="3">
        <f t="shared" si="4"/>
        <v>1.5232974910394265E-2</v>
      </c>
      <c r="J193" s="3">
        <f>'Instagram Ads Raw Data'!E193</f>
        <v>17</v>
      </c>
      <c r="K193" s="4">
        <f t="shared" si="5"/>
        <v>167</v>
      </c>
      <c r="L193" s="4">
        <f>'Instagram Ads Raw Data'!F193</f>
        <v>2839</v>
      </c>
      <c r="M193" s="16">
        <f t="shared" si="6"/>
        <v>1.8399222294232016</v>
      </c>
      <c r="N193" s="17">
        <f t="shared" si="7"/>
        <v>90.764705882352942</v>
      </c>
    </row>
    <row r="194" spans="1:14" ht="13" x14ac:dyDescent="0.15">
      <c r="A194" s="2">
        <f>'Instagram Ads Raw Data'!A194</f>
        <v>45850</v>
      </c>
      <c r="B194" s="3">
        <f t="shared" si="0"/>
        <v>7</v>
      </c>
      <c r="C194" s="3">
        <f>'Instagram Ads Raw Data'!B194</f>
        <v>88328</v>
      </c>
      <c r="D194" s="3">
        <f t="shared" si="1"/>
        <v>3.1156598134226974E-2</v>
      </c>
      <c r="E194" s="3">
        <f>'Instagram Ads Raw Data'!C194</f>
        <v>2752</v>
      </c>
      <c r="F194" s="15">
        <f t="shared" si="2"/>
        <v>1.2223837209302326</v>
      </c>
      <c r="G194" s="4">
        <f t="shared" si="3"/>
        <v>38.085318358844304</v>
      </c>
      <c r="H194" s="4">
        <f>'Instagram Ads Raw Data'!D194</f>
        <v>3364</v>
      </c>
      <c r="I194" s="3">
        <f t="shared" si="4"/>
        <v>2.2892441860465115E-2</v>
      </c>
      <c r="J194" s="3">
        <f>'Instagram Ads Raw Data'!E194</f>
        <v>63</v>
      </c>
      <c r="K194" s="4">
        <f t="shared" si="5"/>
        <v>161.26984126984127</v>
      </c>
      <c r="L194" s="4">
        <f>'Instagram Ads Raw Data'!F194</f>
        <v>10160</v>
      </c>
      <c r="M194" s="16">
        <f t="shared" si="6"/>
        <v>3.0202140309155765</v>
      </c>
      <c r="N194" s="17">
        <f t="shared" si="7"/>
        <v>53.396825396825399</v>
      </c>
    </row>
    <row r="195" spans="1:14" ht="13" x14ac:dyDescent="0.15">
      <c r="A195" s="2">
        <f>'Instagram Ads Raw Data'!A195</f>
        <v>45851</v>
      </c>
      <c r="B195" s="3">
        <f t="shared" si="0"/>
        <v>7</v>
      </c>
      <c r="C195" s="3">
        <f>'Instagram Ads Raw Data'!B195</f>
        <v>39140</v>
      </c>
      <c r="D195" s="3">
        <f t="shared" si="1"/>
        <v>3.0199284619315279E-2</v>
      </c>
      <c r="E195" s="3">
        <f>'Instagram Ads Raw Data'!C195</f>
        <v>1182</v>
      </c>
      <c r="F195" s="15">
        <f t="shared" si="2"/>
        <v>1.5253807106598984</v>
      </c>
      <c r="G195" s="4">
        <f t="shared" si="3"/>
        <v>46.065406234031677</v>
      </c>
      <c r="H195" s="4">
        <f>'Instagram Ads Raw Data'!D195</f>
        <v>1803</v>
      </c>
      <c r="I195" s="3">
        <f t="shared" si="4"/>
        <v>1.7766497461928935E-2</v>
      </c>
      <c r="J195" s="3">
        <f>'Instagram Ads Raw Data'!E195</f>
        <v>21</v>
      </c>
      <c r="K195" s="4">
        <f t="shared" si="5"/>
        <v>210.14285714285714</v>
      </c>
      <c r="L195" s="4">
        <f>'Instagram Ads Raw Data'!F195</f>
        <v>4413</v>
      </c>
      <c r="M195" s="16">
        <f t="shared" si="6"/>
        <v>2.4475873544093179</v>
      </c>
      <c r="N195" s="17">
        <f t="shared" si="7"/>
        <v>85.857142857142861</v>
      </c>
    </row>
    <row r="196" spans="1:14" ht="13" x14ac:dyDescent="0.15">
      <c r="A196" s="2">
        <f>'Instagram Ads Raw Data'!A196</f>
        <v>45852</v>
      </c>
      <c r="B196" s="3">
        <f t="shared" si="0"/>
        <v>7</v>
      </c>
      <c r="C196" s="3">
        <f>'Instagram Ads Raw Data'!B196</f>
        <v>51534</v>
      </c>
      <c r="D196" s="3">
        <f t="shared" si="1"/>
        <v>1.317576745449606E-2</v>
      </c>
      <c r="E196" s="3">
        <f>'Instagram Ads Raw Data'!C196</f>
        <v>679</v>
      </c>
      <c r="F196" s="15">
        <f t="shared" si="2"/>
        <v>1.6008836524300443</v>
      </c>
      <c r="G196" s="4">
        <f t="shared" si="3"/>
        <v>21.092870726122559</v>
      </c>
      <c r="H196" s="4">
        <f>'Instagram Ads Raw Data'!D196</f>
        <v>1087</v>
      </c>
      <c r="I196" s="3">
        <f t="shared" si="4"/>
        <v>2.0618556701030927E-2</v>
      </c>
      <c r="J196" s="3">
        <f>'Instagram Ads Raw Data'!E196</f>
        <v>14</v>
      </c>
      <c r="K196" s="4">
        <f t="shared" si="5"/>
        <v>200</v>
      </c>
      <c r="L196" s="4">
        <f>'Instagram Ads Raw Data'!F196</f>
        <v>2800</v>
      </c>
      <c r="M196" s="16">
        <f t="shared" si="6"/>
        <v>2.5758969641214353</v>
      </c>
      <c r="N196" s="17">
        <f t="shared" si="7"/>
        <v>77.642857142857139</v>
      </c>
    </row>
    <row r="197" spans="1:14" ht="13" x14ac:dyDescent="0.15">
      <c r="A197" s="2">
        <f>'Instagram Ads Raw Data'!A197</f>
        <v>45853</v>
      </c>
      <c r="B197" s="3">
        <f t="shared" si="0"/>
        <v>7</v>
      </c>
      <c r="C197" s="3">
        <f>'Instagram Ads Raw Data'!B197</f>
        <v>66793</v>
      </c>
      <c r="D197" s="3">
        <f t="shared" si="1"/>
        <v>1.7426975880706061E-2</v>
      </c>
      <c r="E197" s="3">
        <f>'Instagram Ads Raw Data'!C197</f>
        <v>1164</v>
      </c>
      <c r="F197" s="15">
        <f t="shared" si="2"/>
        <v>1.8505154639175259</v>
      </c>
      <c r="G197" s="4">
        <f t="shared" si="3"/>
        <v>32.248888356564308</v>
      </c>
      <c r="H197" s="4">
        <f>'Instagram Ads Raw Data'!D197</f>
        <v>2154</v>
      </c>
      <c r="I197" s="3">
        <f t="shared" si="4"/>
        <v>1.9759450171821305E-2</v>
      </c>
      <c r="J197" s="3">
        <f>'Instagram Ads Raw Data'!E197</f>
        <v>23</v>
      </c>
      <c r="K197" s="4">
        <f t="shared" si="5"/>
        <v>154.60869565217391</v>
      </c>
      <c r="L197" s="4">
        <f>'Instagram Ads Raw Data'!F197</f>
        <v>3556</v>
      </c>
      <c r="M197" s="16">
        <f t="shared" si="6"/>
        <v>1.6508820798514392</v>
      </c>
      <c r="N197" s="17">
        <f t="shared" si="7"/>
        <v>93.652173913043484</v>
      </c>
    </row>
    <row r="198" spans="1:14" ht="13" x14ac:dyDescent="0.15">
      <c r="A198" s="2">
        <f>'Instagram Ads Raw Data'!A198</f>
        <v>45854</v>
      </c>
      <c r="B198" s="3">
        <f t="shared" si="0"/>
        <v>7</v>
      </c>
      <c r="C198" s="3">
        <f>'Instagram Ads Raw Data'!B198</f>
        <v>78188</v>
      </c>
      <c r="D198" s="3">
        <f t="shared" si="1"/>
        <v>2.5835166521716888E-2</v>
      </c>
      <c r="E198" s="3">
        <f>'Instagram Ads Raw Data'!C198</f>
        <v>2020</v>
      </c>
      <c r="F198" s="15">
        <f t="shared" si="2"/>
        <v>1.7589108910891089</v>
      </c>
      <c r="G198" s="4">
        <f t="shared" si="3"/>
        <v>45.44175576814856</v>
      </c>
      <c r="H198" s="4">
        <f>'Instagram Ads Raw Data'!D198</f>
        <v>3553</v>
      </c>
      <c r="I198" s="3">
        <f t="shared" si="4"/>
        <v>2.6237623762376237E-2</v>
      </c>
      <c r="J198" s="3">
        <f>'Instagram Ads Raw Data'!E198</f>
        <v>53</v>
      </c>
      <c r="K198" s="4">
        <f t="shared" si="5"/>
        <v>119.56603773584905</v>
      </c>
      <c r="L198" s="4">
        <f>'Instagram Ads Raw Data'!F198</f>
        <v>6337</v>
      </c>
      <c r="M198" s="16">
        <f t="shared" si="6"/>
        <v>1.7835631860399663</v>
      </c>
      <c r="N198" s="17">
        <f t="shared" si="7"/>
        <v>67.037735849056602</v>
      </c>
    </row>
    <row r="199" spans="1:14" ht="13" x14ac:dyDescent="0.15">
      <c r="A199" s="2">
        <f>'Instagram Ads Raw Data'!A199</f>
        <v>45855</v>
      </c>
      <c r="B199" s="3">
        <f t="shared" si="0"/>
        <v>7</v>
      </c>
      <c r="C199" s="3">
        <f>'Instagram Ads Raw Data'!B199</f>
        <v>45734</v>
      </c>
      <c r="D199" s="3">
        <f t="shared" si="1"/>
        <v>2.7550618795644379E-2</v>
      </c>
      <c r="E199" s="3">
        <f>'Instagram Ads Raw Data'!C199</f>
        <v>1260</v>
      </c>
      <c r="F199" s="15">
        <f t="shared" si="2"/>
        <v>1.373015873015873</v>
      </c>
      <c r="G199" s="4">
        <f t="shared" si="3"/>
        <v>37.827436917829182</v>
      </c>
      <c r="H199" s="4">
        <f>'Instagram Ads Raw Data'!D199</f>
        <v>1730</v>
      </c>
      <c r="I199" s="3">
        <f t="shared" si="4"/>
        <v>1.6666666666666666E-2</v>
      </c>
      <c r="J199" s="3">
        <f>'Instagram Ads Raw Data'!E199</f>
        <v>21</v>
      </c>
      <c r="K199" s="4">
        <f t="shared" si="5"/>
        <v>193.52380952380952</v>
      </c>
      <c r="L199" s="4">
        <f>'Instagram Ads Raw Data'!F199</f>
        <v>4064</v>
      </c>
      <c r="M199" s="16">
        <f t="shared" si="6"/>
        <v>2.3491329479768788</v>
      </c>
      <c r="N199" s="17">
        <f t="shared" si="7"/>
        <v>82.38095238095238</v>
      </c>
    </row>
    <row r="200" spans="1:14" ht="13" x14ac:dyDescent="0.15">
      <c r="A200" s="2">
        <f>'Instagram Ads Raw Data'!A200</f>
        <v>45856</v>
      </c>
      <c r="B200" s="3">
        <f t="shared" si="0"/>
        <v>7</v>
      </c>
      <c r="C200" s="3">
        <f>'Instagram Ads Raw Data'!B200</f>
        <v>73680</v>
      </c>
      <c r="D200" s="3">
        <f t="shared" si="1"/>
        <v>2.1294788273615636E-2</v>
      </c>
      <c r="E200" s="3">
        <f>'Instagram Ads Raw Data'!C200</f>
        <v>1569</v>
      </c>
      <c r="F200" s="15">
        <f t="shared" si="2"/>
        <v>2.0701083492670489</v>
      </c>
      <c r="G200" s="4">
        <f t="shared" si="3"/>
        <v>44.082519001085771</v>
      </c>
      <c r="H200" s="4">
        <f>'Instagram Ads Raw Data'!D200</f>
        <v>3248</v>
      </c>
      <c r="I200" s="3">
        <f t="shared" si="4"/>
        <v>1.4021669853409816E-2</v>
      </c>
      <c r="J200" s="3">
        <f>'Instagram Ads Raw Data'!E200</f>
        <v>22</v>
      </c>
      <c r="K200" s="4">
        <f t="shared" si="5"/>
        <v>119.36363636363636</v>
      </c>
      <c r="L200" s="4">
        <f>'Instagram Ads Raw Data'!F200</f>
        <v>2626</v>
      </c>
      <c r="M200" s="16">
        <f t="shared" si="6"/>
        <v>0.80849753694581283</v>
      </c>
      <c r="N200" s="17">
        <f t="shared" si="7"/>
        <v>147.63636363636363</v>
      </c>
    </row>
    <row r="201" spans="1:14" ht="13" x14ac:dyDescent="0.15">
      <c r="A201" s="2">
        <f>'Instagram Ads Raw Data'!A201</f>
        <v>45857</v>
      </c>
      <c r="B201" s="3">
        <f t="shared" si="0"/>
        <v>7</v>
      </c>
      <c r="C201" s="3">
        <f>'Instagram Ads Raw Data'!B201</f>
        <v>30301</v>
      </c>
      <c r="D201" s="3">
        <f t="shared" si="1"/>
        <v>1.4322959638295767E-2</v>
      </c>
      <c r="E201" s="3">
        <f>'Instagram Ads Raw Data'!C201</f>
        <v>434</v>
      </c>
      <c r="F201" s="15">
        <f t="shared" si="2"/>
        <v>1.2188940092165899</v>
      </c>
      <c r="G201" s="4">
        <f t="shared" si="3"/>
        <v>17.458169697369726</v>
      </c>
      <c r="H201" s="4">
        <f>'Instagram Ads Raw Data'!D201</f>
        <v>529</v>
      </c>
      <c r="I201" s="3">
        <f t="shared" si="4"/>
        <v>2.5345622119815669E-2</v>
      </c>
      <c r="J201" s="3">
        <f>'Instagram Ads Raw Data'!E201</f>
        <v>11</v>
      </c>
      <c r="K201" s="4">
        <f t="shared" si="5"/>
        <v>131.09090909090909</v>
      </c>
      <c r="L201" s="4">
        <f>'Instagram Ads Raw Data'!F201</f>
        <v>1442</v>
      </c>
      <c r="M201" s="16">
        <f t="shared" si="6"/>
        <v>2.7258979206049148</v>
      </c>
      <c r="N201" s="17">
        <f t="shared" si="7"/>
        <v>48.090909090909093</v>
      </c>
    </row>
    <row r="202" spans="1:14" ht="13" x14ac:dyDescent="0.15">
      <c r="A202" s="2">
        <f>'Instagram Ads Raw Data'!A202</f>
        <v>45858</v>
      </c>
      <c r="B202" s="3">
        <f t="shared" si="0"/>
        <v>7</v>
      </c>
      <c r="C202" s="3">
        <f>'Instagram Ads Raw Data'!B202</f>
        <v>30343</v>
      </c>
      <c r="D202" s="3">
        <f t="shared" si="1"/>
        <v>3.2758791154467261E-2</v>
      </c>
      <c r="E202" s="3">
        <f>'Instagram Ads Raw Data'!C202</f>
        <v>994</v>
      </c>
      <c r="F202" s="15">
        <f t="shared" si="2"/>
        <v>1.4386317907444668</v>
      </c>
      <c r="G202" s="4">
        <f t="shared" si="3"/>
        <v>47.127838381175231</v>
      </c>
      <c r="H202" s="4">
        <f>'Instagram Ads Raw Data'!D202</f>
        <v>1430</v>
      </c>
      <c r="I202" s="3">
        <f t="shared" si="4"/>
        <v>1.2072434607645875E-2</v>
      </c>
      <c r="J202" s="3">
        <f>'Instagram Ads Raw Data'!E202</f>
        <v>12</v>
      </c>
      <c r="K202" s="4">
        <f t="shared" si="5"/>
        <v>170.58333333333334</v>
      </c>
      <c r="L202" s="4">
        <f>'Instagram Ads Raw Data'!F202</f>
        <v>2047</v>
      </c>
      <c r="M202" s="16">
        <f t="shared" si="6"/>
        <v>1.4314685314685314</v>
      </c>
      <c r="N202" s="17">
        <f t="shared" si="7"/>
        <v>119.16666666666667</v>
      </c>
    </row>
    <row r="203" spans="1:14" ht="13" x14ac:dyDescent="0.15">
      <c r="A203" s="2">
        <f>'Instagram Ads Raw Data'!A203</f>
        <v>45859</v>
      </c>
      <c r="B203" s="3">
        <f t="shared" si="0"/>
        <v>7</v>
      </c>
      <c r="C203" s="3">
        <f>'Instagram Ads Raw Data'!B203</f>
        <v>21615</v>
      </c>
      <c r="D203" s="3">
        <f t="shared" si="1"/>
        <v>1.2445061300023132E-2</v>
      </c>
      <c r="E203" s="3">
        <f>'Instagram Ads Raw Data'!C203</f>
        <v>269</v>
      </c>
      <c r="F203" s="15">
        <f t="shared" si="2"/>
        <v>1.312267657992565</v>
      </c>
      <c r="G203" s="4">
        <f t="shared" si="3"/>
        <v>16.331251445755264</v>
      </c>
      <c r="H203" s="4">
        <f>'Instagram Ads Raw Data'!D203</f>
        <v>353</v>
      </c>
      <c r="I203" s="3">
        <f t="shared" si="4"/>
        <v>2.6022304832713755E-2</v>
      </c>
      <c r="J203" s="3">
        <f>'Instagram Ads Raw Data'!E203</f>
        <v>7</v>
      </c>
      <c r="K203" s="4">
        <f t="shared" si="5"/>
        <v>129.85714285714286</v>
      </c>
      <c r="L203" s="4">
        <f>'Instagram Ads Raw Data'!F203</f>
        <v>909</v>
      </c>
      <c r="M203" s="16">
        <f t="shared" si="6"/>
        <v>2.5750708215297449</v>
      </c>
      <c r="N203" s="17">
        <f t="shared" si="7"/>
        <v>50.428571428571431</v>
      </c>
    </row>
    <row r="204" spans="1:14" ht="13" x14ac:dyDescent="0.15">
      <c r="A204" s="2">
        <f>'Instagram Ads Raw Data'!A204</f>
        <v>45860</v>
      </c>
      <c r="B204" s="3">
        <f t="shared" si="0"/>
        <v>7</v>
      </c>
      <c r="C204" s="3">
        <f>'Instagram Ads Raw Data'!B204</f>
        <v>21183</v>
      </c>
      <c r="D204" s="3">
        <f t="shared" si="1"/>
        <v>1.7655667280366331E-2</v>
      </c>
      <c r="E204" s="3">
        <f>'Instagram Ads Raw Data'!C204</f>
        <v>374</v>
      </c>
      <c r="F204" s="15">
        <f t="shared" si="2"/>
        <v>1.7941176470588236</v>
      </c>
      <c r="G204" s="4">
        <f t="shared" si="3"/>
        <v>31.676344238304299</v>
      </c>
      <c r="H204" s="4">
        <f>'Instagram Ads Raw Data'!D204</f>
        <v>671</v>
      </c>
      <c r="I204" s="3">
        <f t="shared" si="4"/>
        <v>1.3368983957219251E-2</v>
      </c>
      <c r="J204" s="3">
        <f>'Instagram Ads Raw Data'!E204</f>
        <v>5</v>
      </c>
      <c r="K204" s="4">
        <f t="shared" si="5"/>
        <v>118</v>
      </c>
      <c r="L204" s="4">
        <f>'Instagram Ads Raw Data'!F204</f>
        <v>590</v>
      </c>
      <c r="M204" s="16">
        <f t="shared" si="6"/>
        <v>0.87928464977645304</v>
      </c>
      <c r="N204" s="17">
        <f t="shared" si="7"/>
        <v>134.19999999999999</v>
      </c>
    </row>
    <row r="205" spans="1:14" ht="13" x14ac:dyDescent="0.15">
      <c r="A205" s="2">
        <f>'Instagram Ads Raw Data'!A205</f>
        <v>45861</v>
      </c>
      <c r="B205" s="3">
        <f t="shared" si="0"/>
        <v>7</v>
      </c>
      <c r="C205" s="3">
        <f>'Instagram Ads Raw Data'!B205</f>
        <v>16435</v>
      </c>
      <c r="D205" s="3">
        <f t="shared" si="1"/>
        <v>2.251292972315181E-2</v>
      </c>
      <c r="E205" s="3">
        <f>'Instagram Ads Raw Data'!C205</f>
        <v>370</v>
      </c>
      <c r="F205" s="15">
        <f t="shared" si="2"/>
        <v>1.827027027027027</v>
      </c>
      <c r="G205" s="4">
        <f t="shared" si="3"/>
        <v>41.131731061758444</v>
      </c>
      <c r="H205" s="4">
        <f>'Instagram Ads Raw Data'!D205</f>
        <v>676</v>
      </c>
      <c r="I205" s="3">
        <f t="shared" si="4"/>
        <v>2.1621621621621623E-2</v>
      </c>
      <c r="J205" s="3">
        <f>'Instagram Ads Raw Data'!E205</f>
        <v>8</v>
      </c>
      <c r="K205" s="4">
        <f t="shared" si="5"/>
        <v>191.5</v>
      </c>
      <c r="L205" s="4">
        <f>'Instagram Ads Raw Data'!F205</f>
        <v>1532</v>
      </c>
      <c r="M205" s="16">
        <f t="shared" si="6"/>
        <v>2.2662721893491122</v>
      </c>
      <c r="N205" s="17">
        <f t="shared" si="7"/>
        <v>84.5</v>
      </c>
    </row>
    <row r="206" spans="1:14" ht="13" x14ac:dyDescent="0.15">
      <c r="A206" s="2">
        <f>'Instagram Ads Raw Data'!A206</f>
        <v>45862</v>
      </c>
      <c r="B206" s="3">
        <f t="shared" si="0"/>
        <v>7</v>
      </c>
      <c r="C206" s="3">
        <f>'Instagram Ads Raw Data'!B206</f>
        <v>86669</v>
      </c>
      <c r="D206" s="3">
        <f t="shared" si="1"/>
        <v>2.4160887976092952E-2</v>
      </c>
      <c r="E206" s="3">
        <f>'Instagram Ads Raw Data'!C206</f>
        <v>2094</v>
      </c>
      <c r="F206" s="15">
        <f t="shared" si="2"/>
        <v>1.063992359121299</v>
      </c>
      <c r="G206" s="4">
        <f t="shared" si="3"/>
        <v>25.707000196148567</v>
      </c>
      <c r="H206" s="4">
        <f>'Instagram Ads Raw Data'!D206</f>
        <v>2228</v>
      </c>
      <c r="I206" s="3">
        <f t="shared" si="4"/>
        <v>1.5759312320916905E-2</v>
      </c>
      <c r="J206" s="3">
        <f>'Instagram Ads Raw Data'!E206</f>
        <v>33</v>
      </c>
      <c r="K206" s="4">
        <f t="shared" si="5"/>
        <v>113</v>
      </c>
      <c r="L206" s="4">
        <f>'Instagram Ads Raw Data'!F206</f>
        <v>3729</v>
      </c>
      <c r="M206" s="16">
        <f t="shared" si="6"/>
        <v>1.6736983842010773</v>
      </c>
      <c r="N206" s="17">
        <f t="shared" si="7"/>
        <v>67.515151515151516</v>
      </c>
    </row>
    <row r="207" spans="1:14" ht="13" x14ac:dyDescent="0.15">
      <c r="A207" s="2">
        <f>'Instagram Ads Raw Data'!A207</f>
        <v>45863</v>
      </c>
      <c r="B207" s="3">
        <f t="shared" si="0"/>
        <v>7</v>
      </c>
      <c r="C207" s="3">
        <f>'Instagram Ads Raw Data'!B207</f>
        <v>41574</v>
      </c>
      <c r="D207" s="3">
        <f t="shared" si="1"/>
        <v>1.0391109828258046E-2</v>
      </c>
      <c r="E207" s="3">
        <f>'Instagram Ads Raw Data'!C207</f>
        <v>432</v>
      </c>
      <c r="F207" s="15">
        <f t="shared" si="2"/>
        <v>1.212962962962963</v>
      </c>
      <c r="G207" s="4">
        <f t="shared" si="3"/>
        <v>12.604031365757445</v>
      </c>
      <c r="H207" s="4">
        <f>'Instagram Ads Raw Data'!D207</f>
        <v>524</v>
      </c>
      <c r="I207" s="3">
        <f t="shared" si="4"/>
        <v>2.0833333333333332E-2</v>
      </c>
      <c r="J207" s="3">
        <f>'Instagram Ads Raw Data'!E207</f>
        <v>9</v>
      </c>
      <c r="K207" s="4">
        <f t="shared" si="5"/>
        <v>170.11111111111111</v>
      </c>
      <c r="L207" s="4">
        <f>'Instagram Ads Raw Data'!F207</f>
        <v>1531</v>
      </c>
      <c r="M207" s="16">
        <f t="shared" si="6"/>
        <v>2.9217557251908395</v>
      </c>
      <c r="N207" s="17">
        <f t="shared" si="7"/>
        <v>58.222222222222221</v>
      </c>
    </row>
    <row r="208" spans="1:14" ht="13" x14ac:dyDescent="0.15">
      <c r="A208" s="2">
        <f>'Instagram Ads Raw Data'!A208</f>
        <v>45864</v>
      </c>
      <c r="B208" s="3">
        <f t="shared" si="0"/>
        <v>7</v>
      </c>
      <c r="C208" s="3">
        <f>'Instagram Ads Raw Data'!B208</f>
        <v>18458</v>
      </c>
      <c r="D208" s="3">
        <f t="shared" si="1"/>
        <v>1.874525950807238E-2</v>
      </c>
      <c r="E208" s="3">
        <f>'Instagram Ads Raw Data'!C208</f>
        <v>346</v>
      </c>
      <c r="F208" s="15">
        <f t="shared" si="2"/>
        <v>1.4364161849710984</v>
      </c>
      <c r="G208" s="4">
        <f t="shared" si="3"/>
        <v>26.925994148878537</v>
      </c>
      <c r="H208" s="4">
        <f>'Instagram Ads Raw Data'!D208</f>
        <v>497</v>
      </c>
      <c r="I208" s="3">
        <f t="shared" si="4"/>
        <v>2.3121387283236993E-2</v>
      </c>
      <c r="J208" s="3">
        <f>'Instagram Ads Raw Data'!E208</f>
        <v>8</v>
      </c>
      <c r="K208" s="4">
        <f t="shared" si="5"/>
        <v>145.5</v>
      </c>
      <c r="L208" s="4">
        <f>'Instagram Ads Raw Data'!F208</f>
        <v>1164</v>
      </c>
      <c r="M208" s="16">
        <f t="shared" si="6"/>
        <v>2.3420523138832996</v>
      </c>
      <c r="N208" s="17">
        <f t="shared" si="7"/>
        <v>62.125</v>
      </c>
    </row>
    <row r="209" spans="1:14" ht="13" x14ac:dyDescent="0.15">
      <c r="A209" s="2">
        <f>'Instagram Ads Raw Data'!A209</f>
        <v>45865</v>
      </c>
      <c r="B209" s="3">
        <f t="shared" si="0"/>
        <v>7</v>
      </c>
      <c r="C209" s="3">
        <f>'Instagram Ads Raw Data'!B209</f>
        <v>50558</v>
      </c>
      <c r="D209" s="3">
        <f t="shared" si="1"/>
        <v>3.1211677677123306E-2</v>
      </c>
      <c r="E209" s="3">
        <f>'Instagram Ads Raw Data'!C209</f>
        <v>1578</v>
      </c>
      <c r="F209" s="15">
        <f t="shared" si="2"/>
        <v>1.8314321926489228</v>
      </c>
      <c r="G209" s="4">
        <f t="shared" si="3"/>
        <v>57.16207128446537</v>
      </c>
      <c r="H209" s="4">
        <f>'Instagram Ads Raw Data'!D209</f>
        <v>2890</v>
      </c>
      <c r="I209" s="3">
        <f t="shared" si="4"/>
        <v>1.3307984790874524E-2</v>
      </c>
      <c r="J209" s="3">
        <f>'Instagram Ads Raw Data'!E209</f>
        <v>21</v>
      </c>
      <c r="K209" s="4">
        <f t="shared" si="5"/>
        <v>132.76190476190476</v>
      </c>
      <c r="L209" s="4">
        <f>'Instagram Ads Raw Data'!F209</f>
        <v>2788</v>
      </c>
      <c r="M209" s="16">
        <f t="shared" si="6"/>
        <v>0.96470588235294119</v>
      </c>
      <c r="N209" s="17">
        <f t="shared" si="7"/>
        <v>137.61904761904762</v>
      </c>
    </row>
    <row r="210" spans="1:14" ht="13" x14ac:dyDescent="0.15">
      <c r="A210" s="2">
        <f>'Instagram Ads Raw Data'!A210</f>
        <v>45866</v>
      </c>
      <c r="B210" s="3">
        <f t="shared" si="0"/>
        <v>7</v>
      </c>
      <c r="C210" s="3">
        <f>'Instagram Ads Raw Data'!B210</f>
        <v>82330</v>
      </c>
      <c r="D210" s="3">
        <f t="shared" si="1"/>
        <v>1.327584112717114E-2</v>
      </c>
      <c r="E210" s="3">
        <f>'Instagram Ads Raw Data'!C210</f>
        <v>1093</v>
      </c>
      <c r="F210" s="15">
        <f t="shared" si="2"/>
        <v>1.9679780420860018</v>
      </c>
      <c r="G210" s="4">
        <f t="shared" si="3"/>
        <v>26.12656382849508</v>
      </c>
      <c r="H210" s="4">
        <f>'Instagram Ads Raw Data'!D210</f>
        <v>2151</v>
      </c>
      <c r="I210" s="3">
        <f t="shared" si="4"/>
        <v>1.8298261665141813E-2</v>
      </c>
      <c r="J210" s="3">
        <f>'Instagram Ads Raw Data'!E210</f>
        <v>20</v>
      </c>
      <c r="K210" s="4">
        <f t="shared" si="5"/>
        <v>115.65</v>
      </c>
      <c r="L210" s="4">
        <f>'Instagram Ads Raw Data'!F210</f>
        <v>2313</v>
      </c>
      <c r="M210" s="16">
        <f t="shared" si="6"/>
        <v>1.0753138075313808</v>
      </c>
      <c r="N210" s="17">
        <f t="shared" si="7"/>
        <v>107.55</v>
      </c>
    </row>
    <row r="211" spans="1:14" ht="13" x14ac:dyDescent="0.15">
      <c r="A211" s="2">
        <f>'Instagram Ads Raw Data'!A211</f>
        <v>45867</v>
      </c>
      <c r="B211" s="3">
        <f t="shared" si="0"/>
        <v>7</v>
      </c>
      <c r="C211" s="3">
        <f>'Instagram Ads Raw Data'!B211</f>
        <v>39166</v>
      </c>
      <c r="D211" s="3">
        <f t="shared" si="1"/>
        <v>2.5379155389878977E-2</v>
      </c>
      <c r="E211" s="3">
        <f>'Instagram Ads Raw Data'!C211</f>
        <v>994</v>
      </c>
      <c r="F211" s="15">
        <f t="shared" si="2"/>
        <v>1.2454728370221329</v>
      </c>
      <c r="G211" s="4">
        <f t="shared" si="3"/>
        <v>31.609048664658125</v>
      </c>
      <c r="H211" s="4">
        <f>'Instagram Ads Raw Data'!D211</f>
        <v>1238</v>
      </c>
      <c r="I211" s="3">
        <f t="shared" si="4"/>
        <v>1.7102615694164991E-2</v>
      </c>
      <c r="J211" s="3">
        <f>'Instagram Ads Raw Data'!E211</f>
        <v>17</v>
      </c>
      <c r="K211" s="4">
        <f t="shared" si="5"/>
        <v>162.70588235294119</v>
      </c>
      <c r="L211" s="4">
        <f>'Instagram Ads Raw Data'!F211</f>
        <v>2766</v>
      </c>
      <c r="M211" s="16">
        <f t="shared" si="6"/>
        <v>2.234248788368336</v>
      </c>
      <c r="N211" s="17">
        <f t="shared" si="7"/>
        <v>72.82352941176471</v>
      </c>
    </row>
    <row r="212" spans="1:14" ht="13" x14ac:dyDescent="0.15">
      <c r="A212" s="2">
        <f>'Instagram Ads Raw Data'!A212</f>
        <v>45868</v>
      </c>
      <c r="B212" s="3">
        <f t="shared" si="0"/>
        <v>7</v>
      </c>
      <c r="C212" s="3">
        <f>'Instagram Ads Raw Data'!B212</f>
        <v>50849</v>
      </c>
      <c r="D212" s="3">
        <f t="shared" si="1"/>
        <v>1.6814489960471198E-2</v>
      </c>
      <c r="E212" s="3">
        <f>'Instagram Ads Raw Data'!C212</f>
        <v>855</v>
      </c>
      <c r="F212" s="15">
        <f t="shared" si="2"/>
        <v>1.039766081871345</v>
      </c>
      <c r="G212" s="4">
        <f t="shared" si="3"/>
        <v>17.483136344864207</v>
      </c>
      <c r="H212" s="4">
        <f>'Instagram Ads Raw Data'!D212</f>
        <v>889</v>
      </c>
      <c r="I212" s="3">
        <f t="shared" si="4"/>
        <v>1.5204678362573099E-2</v>
      </c>
      <c r="J212" s="3">
        <f>'Instagram Ads Raw Data'!E212</f>
        <v>13</v>
      </c>
      <c r="K212" s="4">
        <f t="shared" si="5"/>
        <v>169.53846153846155</v>
      </c>
      <c r="L212" s="4">
        <f>'Instagram Ads Raw Data'!F212</f>
        <v>2204</v>
      </c>
      <c r="M212" s="16">
        <f t="shared" si="6"/>
        <v>2.4791901012373452</v>
      </c>
      <c r="N212" s="17">
        <f t="shared" si="7"/>
        <v>68.384615384615387</v>
      </c>
    </row>
    <row r="213" spans="1:14" ht="13" x14ac:dyDescent="0.15">
      <c r="A213" s="2">
        <f>'Instagram Ads Raw Data'!A213</f>
        <v>45869</v>
      </c>
      <c r="B213" s="3">
        <f t="shared" si="0"/>
        <v>7</v>
      </c>
      <c r="C213" s="3">
        <f>'Instagram Ads Raw Data'!B213</f>
        <v>37335</v>
      </c>
      <c r="D213" s="3">
        <f t="shared" si="1"/>
        <v>2.2740056247488951E-2</v>
      </c>
      <c r="E213" s="3">
        <f>'Instagram Ads Raw Data'!C213</f>
        <v>849</v>
      </c>
      <c r="F213" s="15">
        <f t="shared" si="2"/>
        <v>1.9316843345111896</v>
      </c>
      <c r="G213" s="4">
        <f t="shared" si="3"/>
        <v>43.926610419177713</v>
      </c>
      <c r="H213" s="4">
        <f>'Instagram Ads Raw Data'!D213</f>
        <v>1640</v>
      </c>
      <c r="I213" s="3">
        <f t="shared" si="4"/>
        <v>2.1201413427561839E-2</v>
      </c>
      <c r="J213" s="3">
        <f>'Instagram Ads Raw Data'!E213</f>
        <v>18</v>
      </c>
      <c r="K213" s="4">
        <f t="shared" si="5"/>
        <v>165.27777777777777</v>
      </c>
      <c r="L213" s="4">
        <f>'Instagram Ads Raw Data'!F213</f>
        <v>2975</v>
      </c>
      <c r="M213" s="16">
        <f t="shared" si="6"/>
        <v>1.8140243902439024</v>
      </c>
      <c r="N213" s="17">
        <f t="shared" si="7"/>
        <v>91.111111111111114</v>
      </c>
    </row>
    <row r="214" spans="1:14" ht="13" x14ac:dyDescent="0.15">
      <c r="A214" s="2">
        <f>'Instagram Ads Raw Data'!A214</f>
        <v>45870</v>
      </c>
      <c r="B214" s="3">
        <f t="shared" si="0"/>
        <v>8</v>
      </c>
      <c r="C214" s="3">
        <f>'Instagram Ads Raw Data'!B214</f>
        <v>51942</v>
      </c>
      <c r="D214" s="3">
        <f t="shared" si="1"/>
        <v>1.6556928882214779E-2</v>
      </c>
      <c r="E214" s="3">
        <f>'Instagram Ads Raw Data'!C214</f>
        <v>860</v>
      </c>
      <c r="F214" s="15">
        <f t="shared" si="2"/>
        <v>1.3523255813953488</v>
      </c>
      <c r="G214" s="4">
        <f t="shared" si="3"/>
        <v>22.390358476762543</v>
      </c>
      <c r="H214" s="4">
        <f>'Instagram Ads Raw Data'!D214</f>
        <v>1163</v>
      </c>
      <c r="I214" s="3">
        <f t="shared" si="4"/>
        <v>1.5116279069767442E-2</v>
      </c>
      <c r="J214" s="3">
        <f>'Instagram Ads Raw Data'!E214</f>
        <v>13</v>
      </c>
      <c r="K214" s="4">
        <f t="shared" si="5"/>
        <v>165.92307692307693</v>
      </c>
      <c r="L214" s="4">
        <f>'Instagram Ads Raw Data'!F214</f>
        <v>2157</v>
      </c>
      <c r="M214" s="16">
        <f t="shared" si="6"/>
        <v>1.8546861564918316</v>
      </c>
      <c r="N214" s="17">
        <f t="shared" si="7"/>
        <v>89.461538461538467</v>
      </c>
    </row>
    <row r="215" spans="1:14" ht="13" x14ac:dyDescent="0.15">
      <c r="A215" s="2">
        <f>'Instagram Ads Raw Data'!A215</f>
        <v>45871</v>
      </c>
      <c r="B215" s="3">
        <f t="shared" si="0"/>
        <v>8</v>
      </c>
      <c r="C215" s="3">
        <f>'Instagram Ads Raw Data'!B215</f>
        <v>52511</v>
      </c>
      <c r="D215" s="3">
        <f t="shared" si="1"/>
        <v>1.5196815905238902E-2</v>
      </c>
      <c r="E215" s="3">
        <f>'Instagram Ads Raw Data'!C215</f>
        <v>798</v>
      </c>
      <c r="F215" s="15">
        <f t="shared" si="2"/>
        <v>1.1791979949874687</v>
      </c>
      <c r="G215" s="4">
        <f t="shared" si="3"/>
        <v>17.920054845651386</v>
      </c>
      <c r="H215" s="4">
        <f>'Instagram Ads Raw Data'!D215</f>
        <v>941</v>
      </c>
      <c r="I215" s="3">
        <f t="shared" si="4"/>
        <v>2.3809523809523808E-2</v>
      </c>
      <c r="J215" s="3">
        <f>'Instagram Ads Raw Data'!E215</f>
        <v>19</v>
      </c>
      <c r="K215" s="4">
        <f t="shared" si="5"/>
        <v>125.42105263157895</v>
      </c>
      <c r="L215" s="4">
        <f>'Instagram Ads Raw Data'!F215</f>
        <v>2383</v>
      </c>
      <c r="M215" s="16">
        <f t="shared" si="6"/>
        <v>2.5324123273113708</v>
      </c>
      <c r="N215" s="17">
        <f t="shared" si="7"/>
        <v>49.526315789473685</v>
      </c>
    </row>
    <row r="216" spans="1:14" ht="13" x14ac:dyDescent="0.15">
      <c r="A216" s="2">
        <f>'Instagram Ads Raw Data'!A216</f>
        <v>45872</v>
      </c>
      <c r="B216" s="3">
        <f t="shared" si="0"/>
        <v>8</v>
      </c>
      <c r="C216" s="3">
        <f>'Instagram Ads Raw Data'!B216</f>
        <v>72199</v>
      </c>
      <c r="D216" s="3">
        <f t="shared" si="1"/>
        <v>2.7244144655743156E-2</v>
      </c>
      <c r="E216" s="3">
        <f>'Instagram Ads Raw Data'!C216</f>
        <v>1967</v>
      </c>
      <c r="F216" s="15">
        <f t="shared" si="2"/>
        <v>1.4590747330960854</v>
      </c>
      <c r="G216" s="4">
        <f t="shared" si="3"/>
        <v>39.751243092009588</v>
      </c>
      <c r="H216" s="4">
        <f>'Instagram Ads Raw Data'!D216</f>
        <v>2870</v>
      </c>
      <c r="I216" s="3">
        <f t="shared" si="4"/>
        <v>2.3894255210981191E-2</v>
      </c>
      <c r="J216" s="3">
        <f>'Instagram Ads Raw Data'!E216</f>
        <v>47</v>
      </c>
      <c r="K216" s="4">
        <f t="shared" si="5"/>
        <v>137.44680851063831</v>
      </c>
      <c r="L216" s="4">
        <f>'Instagram Ads Raw Data'!F216</f>
        <v>6460</v>
      </c>
      <c r="M216" s="16">
        <f t="shared" si="6"/>
        <v>2.250871080139373</v>
      </c>
      <c r="N216" s="17">
        <f t="shared" si="7"/>
        <v>61.063829787234042</v>
      </c>
    </row>
    <row r="217" spans="1:14" ht="13" x14ac:dyDescent="0.15">
      <c r="A217" s="2">
        <f>'Instagram Ads Raw Data'!A217</f>
        <v>45873</v>
      </c>
      <c r="B217" s="3">
        <f t="shared" si="0"/>
        <v>8</v>
      </c>
      <c r="C217" s="3">
        <f>'Instagram Ads Raw Data'!B217</f>
        <v>41541</v>
      </c>
      <c r="D217" s="3">
        <f t="shared" si="1"/>
        <v>1.7741508389302135E-2</v>
      </c>
      <c r="E217" s="3">
        <f>'Instagram Ads Raw Data'!C217</f>
        <v>737</v>
      </c>
      <c r="F217" s="15">
        <f t="shared" si="2"/>
        <v>1.7449118046132972</v>
      </c>
      <c r="G217" s="4">
        <f t="shared" si="3"/>
        <v>30.957367420139143</v>
      </c>
      <c r="H217" s="4">
        <f>'Instagram Ads Raw Data'!D217</f>
        <v>1286</v>
      </c>
      <c r="I217" s="3">
        <f t="shared" si="4"/>
        <v>1.7639077340569877E-2</v>
      </c>
      <c r="J217" s="3">
        <f>'Instagram Ads Raw Data'!E217</f>
        <v>13</v>
      </c>
      <c r="K217" s="4">
        <f t="shared" si="5"/>
        <v>159.76923076923077</v>
      </c>
      <c r="L217" s="4">
        <f>'Instagram Ads Raw Data'!F217</f>
        <v>2077</v>
      </c>
      <c r="M217" s="16">
        <f t="shared" si="6"/>
        <v>1.6150855365474339</v>
      </c>
      <c r="N217" s="17">
        <f t="shared" si="7"/>
        <v>98.92307692307692</v>
      </c>
    </row>
    <row r="218" spans="1:14" ht="13" x14ac:dyDescent="0.15">
      <c r="A218" s="2">
        <f>'Instagram Ads Raw Data'!A218</f>
        <v>45874</v>
      </c>
      <c r="B218" s="3">
        <f t="shared" si="0"/>
        <v>8</v>
      </c>
      <c r="C218" s="3">
        <f>'Instagram Ads Raw Data'!B218</f>
        <v>37318</v>
      </c>
      <c r="D218" s="3">
        <f t="shared" si="1"/>
        <v>2.3259553030709042E-2</v>
      </c>
      <c r="E218" s="3">
        <f>'Instagram Ads Raw Data'!C218</f>
        <v>868</v>
      </c>
      <c r="F218" s="15">
        <f t="shared" si="2"/>
        <v>1.564516129032258</v>
      </c>
      <c r="G218" s="4">
        <f t="shared" si="3"/>
        <v>36.389945870625439</v>
      </c>
      <c r="H218" s="4">
        <f>'Instagram Ads Raw Data'!D218</f>
        <v>1358</v>
      </c>
      <c r="I218" s="3">
        <f t="shared" si="4"/>
        <v>1.7281105990783412E-2</v>
      </c>
      <c r="J218" s="3">
        <f>'Instagram Ads Raw Data'!E218</f>
        <v>15</v>
      </c>
      <c r="K218" s="4">
        <f t="shared" si="5"/>
        <v>132.93333333333334</v>
      </c>
      <c r="L218" s="4">
        <f>'Instagram Ads Raw Data'!F218</f>
        <v>1994</v>
      </c>
      <c r="M218" s="16">
        <f t="shared" si="6"/>
        <v>1.4683357879234167</v>
      </c>
      <c r="N218" s="17">
        <f t="shared" si="7"/>
        <v>90.533333333333331</v>
      </c>
    </row>
    <row r="219" spans="1:14" ht="13" x14ac:dyDescent="0.15">
      <c r="A219" s="2">
        <f>'Instagram Ads Raw Data'!A219</f>
        <v>45875</v>
      </c>
      <c r="B219" s="3">
        <f t="shared" si="0"/>
        <v>8</v>
      </c>
      <c r="C219" s="3">
        <f>'Instagram Ads Raw Data'!B219</f>
        <v>44137</v>
      </c>
      <c r="D219" s="3">
        <f t="shared" si="1"/>
        <v>1.4454992409996148E-2</v>
      </c>
      <c r="E219" s="3">
        <f>'Instagram Ads Raw Data'!C219</f>
        <v>638</v>
      </c>
      <c r="F219" s="15">
        <f t="shared" si="2"/>
        <v>1.0752351097178683</v>
      </c>
      <c r="G219" s="4">
        <f t="shared" si="3"/>
        <v>15.542515349933163</v>
      </c>
      <c r="H219" s="4">
        <f>'Instagram Ads Raw Data'!D219</f>
        <v>686</v>
      </c>
      <c r="I219" s="3">
        <f t="shared" si="4"/>
        <v>2.1943573667711599E-2</v>
      </c>
      <c r="J219" s="3">
        <f>'Instagram Ads Raw Data'!E219</f>
        <v>14</v>
      </c>
      <c r="K219" s="4">
        <f t="shared" si="5"/>
        <v>133.5</v>
      </c>
      <c r="L219" s="4">
        <f>'Instagram Ads Raw Data'!F219</f>
        <v>1869</v>
      </c>
      <c r="M219" s="16">
        <f t="shared" si="6"/>
        <v>2.7244897959183674</v>
      </c>
      <c r="N219" s="17">
        <f t="shared" si="7"/>
        <v>49</v>
      </c>
    </row>
    <row r="220" spans="1:14" ht="13" x14ac:dyDescent="0.15">
      <c r="A220" s="2">
        <f>'Instagram Ads Raw Data'!A220</f>
        <v>45876</v>
      </c>
      <c r="B220" s="3">
        <f t="shared" si="0"/>
        <v>8</v>
      </c>
      <c r="C220" s="3">
        <f>'Instagram Ads Raw Data'!B220</f>
        <v>58673</v>
      </c>
      <c r="D220" s="3">
        <f t="shared" si="1"/>
        <v>3.4768973803964348E-2</v>
      </c>
      <c r="E220" s="3">
        <f>'Instagram Ads Raw Data'!C220</f>
        <v>2040</v>
      </c>
      <c r="F220" s="15">
        <f t="shared" si="2"/>
        <v>1.6642156862745099</v>
      </c>
      <c r="G220" s="4">
        <f t="shared" si="3"/>
        <v>57.863071600224977</v>
      </c>
      <c r="H220" s="4">
        <f>'Instagram Ads Raw Data'!D220</f>
        <v>3395</v>
      </c>
      <c r="I220" s="3">
        <f t="shared" si="4"/>
        <v>2.0098039215686276E-2</v>
      </c>
      <c r="J220" s="3">
        <f>'Instagram Ads Raw Data'!E220</f>
        <v>41</v>
      </c>
      <c r="K220" s="4">
        <f t="shared" si="5"/>
        <v>191.78048780487805</v>
      </c>
      <c r="L220" s="4">
        <f>'Instagram Ads Raw Data'!F220</f>
        <v>7863</v>
      </c>
      <c r="M220" s="16">
        <f t="shared" si="6"/>
        <v>2.3160530191458029</v>
      </c>
      <c r="N220" s="17">
        <f t="shared" si="7"/>
        <v>82.804878048780495</v>
      </c>
    </row>
    <row r="221" spans="1:14" ht="13" x14ac:dyDescent="0.15">
      <c r="A221" s="2">
        <f>'Instagram Ads Raw Data'!A221</f>
        <v>45877</v>
      </c>
      <c r="B221" s="3">
        <f t="shared" si="0"/>
        <v>8</v>
      </c>
      <c r="C221" s="3">
        <f>'Instagram Ads Raw Data'!B221</f>
        <v>106960</v>
      </c>
      <c r="D221" s="3">
        <f t="shared" si="1"/>
        <v>1.5510471204188482E-2</v>
      </c>
      <c r="E221" s="3">
        <f>'Instagram Ads Raw Data'!C221</f>
        <v>1659</v>
      </c>
      <c r="F221" s="15">
        <f t="shared" si="2"/>
        <v>1.1470765521398434</v>
      </c>
      <c r="G221" s="4">
        <f t="shared" si="3"/>
        <v>17.791697830964846</v>
      </c>
      <c r="H221" s="4">
        <f>'Instagram Ads Raw Data'!D221</f>
        <v>1903</v>
      </c>
      <c r="I221" s="3">
        <f t="shared" si="4"/>
        <v>1.9891500904159132E-2</v>
      </c>
      <c r="J221" s="3">
        <f>'Instagram Ads Raw Data'!E221</f>
        <v>33</v>
      </c>
      <c r="K221" s="4">
        <f t="shared" si="5"/>
        <v>132.96969696969697</v>
      </c>
      <c r="L221" s="4">
        <f>'Instagram Ads Raw Data'!F221</f>
        <v>4388</v>
      </c>
      <c r="M221" s="16">
        <f t="shared" si="6"/>
        <v>2.3058328954282712</v>
      </c>
      <c r="N221" s="17">
        <f t="shared" si="7"/>
        <v>57.666666666666664</v>
      </c>
    </row>
    <row r="222" spans="1:14" ht="13" x14ac:dyDescent="0.15">
      <c r="A222" s="2">
        <f>'Instagram Ads Raw Data'!A222</f>
        <v>45878</v>
      </c>
      <c r="B222" s="3">
        <f t="shared" si="0"/>
        <v>8</v>
      </c>
      <c r="C222" s="3">
        <f>'Instagram Ads Raw Data'!B222</f>
        <v>35706</v>
      </c>
      <c r="D222" s="3">
        <f t="shared" si="1"/>
        <v>9.9703131126421332E-3</v>
      </c>
      <c r="E222" s="3">
        <f>'Instagram Ads Raw Data'!C222</f>
        <v>356</v>
      </c>
      <c r="F222" s="15">
        <f t="shared" si="2"/>
        <v>1.300561797752809</v>
      </c>
      <c r="G222" s="4">
        <f t="shared" si="3"/>
        <v>12.967008345936256</v>
      </c>
      <c r="H222" s="4">
        <f>'Instagram Ads Raw Data'!D222</f>
        <v>463</v>
      </c>
      <c r="I222" s="3">
        <f t="shared" si="4"/>
        <v>2.5280898876404494E-2</v>
      </c>
      <c r="J222" s="3">
        <f>'Instagram Ads Raw Data'!E222</f>
        <v>9</v>
      </c>
      <c r="K222" s="4">
        <f t="shared" si="5"/>
        <v>118.33333333333333</v>
      </c>
      <c r="L222" s="4">
        <f>'Instagram Ads Raw Data'!F222</f>
        <v>1065</v>
      </c>
      <c r="M222" s="16">
        <f t="shared" si="6"/>
        <v>2.3002159827213822</v>
      </c>
      <c r="N222" s="17">
        <f t="shared" si="7"/>
        <v>51.444444444444443</v>
      </c>
    </row>
    <row r="223" spans="1:14" ht="13" x14ac:dyDescent="0.15">
      <c r="A223" s="2">
        <f>'Instagram Ads Raw Data'!A223</f>
        <v>45879</v>
      </c>
      <c r="B223" s="3">
        <f t="shared" si="0"/>
        <v>8</v>
      </c>
      <c r="C223" s="3">
        <f>'Instagram Ads Raw Data'!B223</f>
        <v>52249</v>
      </c>
      <c r="D223" s="3">
        <f t="shared" si="1"/>
        <v>2.4612911251889989E-2</v>
      </c>
      <c r="E223" s="3">
        <f>'Instagram Ads Raw Data'!C223</f>
        <v>1286</v>
      </c>
      <c r="F223" s="15">
        <f t="shared" si="2"/>
        <v>1.8771384136858476</v>
      </c>
      <c r="G223" s="4">
        <f t="shared" si="3"/>
        <v>46.201841183563317</v>
      </c>
      <c r="H223" s="4">
        <f>'Instagram Ads Raw Data'!D223</f>
        <v>2414</v>
      </c>
      <c r="I223" s="3">
        <f t="shared" si="4"/>
        <v>1.088646967340591E-2</v>
      </c>
      <c r="J223" s="3">
        <f>'Instagram Ads Raw Data'!E223</f>
        <v>14</v>
      </c>
      <c r="K223" s="4">
        <f t="shared" si="5"/>
        <v>164.21428571428572</v>
      </c>
      <c r="L223" s="4">
        <f>'Instagram Ads Raw Data'!F223</f>
        <v>2299</v>
      </c>
      <c r="M223" s="16">
        <f t="shared" si="6"/>
        <v>0.95236122618061314</v>
      </c>
      <c r="N223" s="17">
        <f t="shared" si="7"/>
        <v>172.42857142857142</v>
      </c>
    </row>
    <row r="224" spans="1:14" ht="13" x14ac:dyDescent="0.15">
      <c r="A224" s="2">
        <f>'Instagram Ads Raw Data'!A224</f>
        <v>45880</v>
      </c>
      <c r="B224" s="3">
        <f t="shared" si="0"/>
        <v>8</v>
      </c>
      <c r="C224" s="3">
        <f>'Instagram Ads Raw Data'!B224</f>
        <v>80576</v>
      </c>
      <c r="D224" s="3">
        <f t="shared" si="1"/>
        <v>1.4309471803018269E-2</v>
      </c>
      <c r="E224" s="3">
        <f>'Instagram Ads Raw Data'!C224</f>
        <v>1153</v>
      </c>
      <c r="F224" s="15">
        <f t="shared" si="2"/>
        <v>1.7935819601040763</v>
      </c>
      <c r="G224" s="4">
        <f t="shared" si="3"/>
        <v>25.665210484511519</v>
      </c>
      <c r="H224" s="4">
        <f>'Instagram Ads Raw Data'!D224</f>
        <v>2068</v>
      </c>
      <c r="I224" s="3">
        <f t="shared" si="4"/>
        <v>2.2549869904596703E-2</v>
      </c>
      <c r="J224" s="3">
        <f>'Instagram Ads Raw Data'!E224</f>
        <v>26</v>
      </c>
      <c r="K224" s="4">
        <f t="shared" si="5"/>
        <v>114.61538461538461</v>
      </c>
      <c r="L224" s="4">
        <f>'Instagram Ads Raw Data'!F224</f>
        <v>2980</v>
      </c>
      <c r="M224" s="16">
        <f t="shared" si="6"/>
        <v>1.4410058027079304</v>
      </c>
      <c r="N224" s="17">
        <f t="shared" si="7"/>
        <v>79.538461538461533</v>
      </c>
    </row>
    <row r="225" spans="1:14" ht="13" x14ac:dyDescent="0.15">
      <c r="A225" s="2">
        <f>'Instagram Ads Raw Data'!A225</f>
        <v>45881</v>
      </c>
      <c r="B225" s="3">
        <f t="shared" si="0"/>
        <v>8</v>
      </c>
      <c r="C225" s="3">
        <f>'Instagram Ads Raw Data'!B225</f>
        <v>17630</v>
      </c>
      <c r="D225" s="3">
        <f t="shared" si="1"/>
        <v>1.7413499716392514E-2</v>
      </c>
      <c r="E225" s="3">
        <f>'Instagram Ads Raw Data'!C225</f>
        <v>307</v>
      </c>
      <c r="F225" s="15">
        <f t="shared" si="2"/>
        <v>1.9185667752442996</v>
      </c>
      <c r="G225" s="4">
        <f t="shared" si="3"/>
        <v>33.408961996596709</v>
      </c>
      <c r="H225" s="4">
        <f>'Instagram Ads Raw Data'!D225</f>
        <v>589</v>
      </c>
      <c r="I225" s="3">
        <f t="shared" si="4"/>
        <v>1.9543973941368076E-2</v>
      </c>
      <c r="J225" s="3">
        <f>'Instagram Ads Raw Data'!E225</f>
        <v>6</v>
      </c>
      <c r="K225" s="4">
        <f t="shared" si="5"/>
        <v>181</v>
      </c>
      <c r="L225" s="4">
        <f>'Instagram Ads Raw Data'!F225</f>
        <v>1086</v>
      </c>
      <c r="M225" s="16">
        <f t="shared" si="6"/>
        <v>1.8438030560271648</v>
      </c>
      <c r="N225" s="17">
        <f t="shared" si="7"/>
        <v>98.166666666666671</v>
      </c>
    </row>
    <row r="226" spans="1:14" ht="13" x14ac:dyDescent="0.15">
      <c r="A226" s="2">
        <f>'Instagram Ads Raw Data'!A226</f>
        <v>45882</v>
      </c>
      <c r="B226" s="3">
        <f t="shared" si="0"/>
        <v>8</v>
      </c>
      <c r="C226" s="3">
        <f>'Instagram Ads Raw Data'!B226</f>
        <v>53805</v>
      </c>
      <c r="D226" s="3">
        <f t="shared" si="1"/>
        <v>1.3976396245702072E-2</v>
      </c>
      <c r="E226" s="3">
        <f>'Instagram Ads Raw Data'!C226</f>
        <v>752</v>
      </c>
      <c r="F226" s="15">
        <f t="shared" si="2"/>
        <v>1.5132978723404256</v>
      </c>
      <c r="G226" s="4">
        <f t="shared" si="3"/>
        <v>21.150450701607657</v>
      </c>
      <c r="H226" s="4">
        <f>'Instagram Ads Raw Data'!D226</f>
        <v>1138</v>
      </c>
      <c r="I226" s="3">
        <f t="shared" si="4"/>
        <v>1.1968085106382979E-2</v>
      </c>
      <c r="J226" s="3">
        <f>'Instagram Ads Raw Data'!E226</f>
        <v>9</v>
      </c>
      <c r="K226" s="4">
        <f t="shared" si="5"/>
        <v>114.77777777777777</v>
      </c>
      <c r="L226" s="4">
        <f>'Instagram Ads Raw Data'!F226</f>
        <v>1033</v>
      </c>
      <c r="M226" s="16">
        <f t="shared" si="6"/>
        <v>0.90773286467486825</v>
      </c>
      <c r="N226" s="17">
        <f t="shared" si="7"/>
        <v>126.44444444444444</v>
      </c>
    </row>
    <row r="227" spans="1:14" ht="13" x14ac:dyDescent="0.15">
      <c r="A227" s="2">
        <f>'Instagram Ads Raw Data'!A227</f>
        <v>45883</v>
      </c>
      <c r="B227" s="3">
        <f t="shared" si="0"/>
        <v>8</v>
      </c>
      <c r="C227" s="3">
        <f>'Instagram Ads Raw Data'!B227</f>
        <v>87678</v>
      </c>
      <c r="D227" s="3">
        <f t="shared" si="1"/>
        <v>2.2069390268938616E-2</v>
      </c>
      <c r="E227" s="3">
        <f>'Instagram Ads Raw Data'!C227</f>
        <v>1935</v>
      </c>
      <c r="F227" s="15">
        <f t="shared" si="2"/>
        <v>1.4098191214470284</v>
      </c>
      <c r="G227" s="4">
        <f t="shared" si="3"/>
        <v>31.11384839982664</v>
      </c>
      <c r="H227" s="4">
        <f>'Instagram Ads Raw Data'!D227</f>
        <v>2728</v>
      </c>
      <c r="I227" s="3">
        <f t="shared" si="4"/>
        <v>1.8604651162790697E-2</v>
      </c>
      <c r="J227" s="3">
        <f>'Instagram Ads Raw Data'!E227</f>
        <v>36</v>
      </c>
      <c r="K227" s="4">
        <f t="shared" si="5"/>
        <v>203.27777777777777</v>
      </c>
      <c r="L227" s="4">
        <f>'Instagram Ads Raw Data'!F227</f>
        <v>7318</v>
      </c>
      <c r="M227" s="16">
        <f t="shared" si="6"/>
        <v>2.6825513196480939</v>
      </c>
      <c r="N227" s="17">
        <f t="shared" si="7"/>
        <v>75.777777777777771</v>
      </c>
    </row>
    <row r="228" spans="1:14" ht="13" x14ac:dyDescent="0.15">
      <c r="A228" s="2">
        <f>'Instagram Ads Raw Data'!A228</f>
        <v>45884</v>
      </c>
      <c r="B228" s="3">
        <f t="shared" si="0"/>
        <v>8</v>
      </c>
      <c r="C228" s="3">
        <f>'Instagram Ads Raw Data'!B228</f>
        <v>67967</v>
      </c>
      <c r="D228" s="3">
        <f t="shared" si="1"/>
        <v>3.0514808657142435E-2</v>
      </c>
      <c r="E228" s="3">
        <f>'Instagram Ads Raw Data'!C228</f>
        <v>2074</v>
      </c>
      <c r="F228" s="15">
        <f t="shared" si="2"/>
        <v>1.6967213114754098</v>
      </c>
      <c r="G228" s="4">
        <f t="shared" si="3"/>
        <v>51.775126164167908</v>
      </c>
      <c r="H228" s="4">
        <f>'Instagram Ads Raw Data'!D228</f>
        <v>3519</v>
      </c>
      <c r="I228" s="3">
        <f t="shared" si="4"/>
        <v>1.3500482160077145E-2</v>
      </c>
      <c r="J228" s="3">
        <f>'Instagram Ads Raw Data'!E228</f>
        <v>28</v>
      </c>
      <c r="K228" s="4">
        <f t="shared" si="5"/>
        <v>128.53571428571428</v>
      </c>
      <c r="L228" s="4">
        <f>'Instagram Ads Raw Data'!F228</f>
        <v>3599</v>
      </c>
      <c r="M228" s="16">
        <f t="shared" si="6"/>
        <v>1.0227337311736289</v>
      </c>
      <c r="N228" s="17">
        <f t="shared" si="7"/>
        <v>125.67857142857143</v>
      </c>
    </row>
    <row r="229" spans="1:14" ht="13" x14ac:dyDescent="0.15">
      <c r="A229" s="2">
        <f>'Instagram Ads Raw Data'!A229</f>
        <v>45885</v>
      </c>
      <c r="B229" s="3">
        <f t="shared" si="0"/>
        <v>8</v>
      </c>
      <c r="C229" s="3">
        <f>'Instagram Ads Raw Data'!B229</f>
        <v>28092</v>
      </c>
      <c r="D229" s="3">
        <f t="shared" si="1"/>
        <v>2.523850206464474E-2</v>
      </c>
      <c r="E229" s="3">
        <f>'Instagram Ads Raw Data'!C229</f>
        <v>709</v>
      </c>
      <c r="F229" s="15">
        <f t="shared" si="2"/>
        <v>1.1184767277856136</v>
      </c>
      <c r="G229" s="4">
        <f t="shared" si="3"/>
        <v>28.228677203474302</v>
      </c>
      <c r="H229" s="4">
        <f>'Instagram Ads Raw Data'!D229</f>
        <v>793</v>
      </c>
      <c r="I229" s="3">
        <f t="shared" si="4"/>
        <v>1.4104372355430184E-2</v>
      </c>
      <c r="J229" s="3">
        <f>'Instagram Ads Raw Data'!E229</f>
        <v>10</v>
      </c>
      <c r="K229" s="4">
        <f t="shared" si="5"/>
        <v>147.30000000000001</v>
      </c>
      <c r="L229" s="4">
        <f>'Instagram Ads Raw Data'!F229</f>
        <v>1473</v>
      </c>
      <c r="M229" s="16">
        <f t="shared" si="6"/>
        <v>1.8575031525851198</v>
      </c>
      <c r="N229" s="17">
        <f t="shared" si="7"/>
        <v>79.3</v>
      </c>
    </row>
    <row r="230" spans="1:14" ht="13" x14ac:dyDescent="0.15">
      <c r="A230" s="2">
        <f>'Instagram Ads Raw Data'!A230</f>
        <v>45886</v>
      </c>
      <c r="B230" s="3">
        <f t="shared" si="0"/>
        <v>8</v>
      </c>
      <c r="C230" s="3">
        <f>'Instagram Ads Raw Data'!B230</f>
        <v>95908</v>
      </c>
      <c r="D230" s="3">
        <f t="shared" si="1"/>
        <v>1.3804896359010719E-2</v>
      </c>
      <c r="E230" s="3">
        <f>'Instagram Ads Raw Data'!C230</f>
        <v>1324</v>
      </c>
      <c r="F230" s="15">
        <f t="shared" si="2"/>
        <v>1.6510574018126889</v>
      </c>
      <c r="G230" s="4">
        <f t="shared" si="3"/>
        <v>22.792676314801685</v>
      </c>
      <c r="H230" s="4">
        <f>'Instagram Ads Raw Data'!D230</f>
        <v>2186</v>
      </c>
      <c r="I230" s="3">
        <f t="shared" si="4"/>
        <v>1.7371601208459216E-2</v>
      </c>
      <c r="J230" s="3">
        <f>'Instagram Ads Raw Data'!E230</f>
        <v>23</v>
      </c>
      <c r="K230" s="4">
        <f t="shared" si="5"/>
        <v>164</v>
      </c>
      <c r="L230" s="4">
        <f>'Instagram Ads Raw Data'!F230</f>
        <v>3772</v>
      </c>
      <c r="M230" s="16">
        <f t="shared" si="6"/>
        <v>1.7255260750228729</v>
      </c>
      <c r="N230" s="17">
        <f t="shared" si="7"/>
        <v>95.043478260869563</v>
      </c>
    </row>
    <row r="231" spans="1:14" ht="13" x14ac:dyDescent="0.15">
      <c r="A231" s="2">
        <f>'Instagram Ads Raw Data'!A231</f>
        <v>45887</v>
      </c>
      <c r="B231" s="3">
        <f t="shared" si="0"/>
        <v>8</v>
      </c>
      <c r="C231" s="3">
        <f>'Instagram Ads Raw Data'!B231</f>
        <v>78748</v>
      </c>
      <c r="D231" s="3">
        <f t="shared" si="1"/>
        <v>1.8984609132930361E-2</v>
      </c>
      <c r="E231" s="3">
        <f>'Instagram Ads Raw Data'!C231</f>
        <v>1495</v>
      </c>
      <c r="F231" s="15">
        <f t="shared" si="2"/>
        <v>1.5183946488294315</v>
      </c>
      <c r="G231" s="4">
        <f t="shared" si="3"/>
        <v>28.82612891755981</v>
      </c>
      <c r="H231" s="4">
        <f>'Instagram Ads Raw Data'!D231</f>
        <v>2270</v>
      </c>
      <c r="I231" s="3">
        <f t="shared" si="4"/>
        <v>2.3411371237458192E-2</v>
      </c>
      <c r="J231" s="3">
        <f>'Instagram Ads Raw Data'!E231</f>
        <v>35</v>
      </c>
      <c r="K231" s="4">
        <f t="shared" si="5"/>
        <v>140</v>
      </c>
      <c r="L231" s="4">
        <f>'Instagram Ads Raw Data'!F231</f>
        <v>4900</v>
      </c>
      <c r="M231" s="16">
        <f t="shared" si="6"/>
        <v>2.158590308370044</v>
      </c>
      <c r="N231" s="17">
        <f t="shared" si="7"/>
        <v>64.857142857142861</v>
      </c>
    </row>
    <row r="232" spans="1:14" ht="13" x14ac:dyDescent="0.15">
      <c r="A232" s="2">
        <f>'Instagram Ads Raw Data'!A232</f>
        <v>45888</v>
      </c>
      <c r="B232" s="3">
        <f t="shared" si="0"/>
        <v>8</v>
      </c>
      <c r="C232" s="3">
        <f>'Instagram Ads Raw Data'!B232</f>
        <v>11723</v>
      </c>
      <c r="D232" s="3">
        <f t="shared" si="1"/>
        <v>2.1325599249338908E-2</v>
      </c>
      <c r="E232" s="3">
        <f>'Instagram Ads Raw Data'!C232</f>
        <v>250</v>
      </c>
      <c r="F232" s="15">
        <f t="shared" si="2"/>
        <v>1.5880000000000001</v>
      </c>
      <c r="G232" s="4">
        <f t="shared" si="3"/>
        <v>33.865051607950178</v>
      </c>
      <c r="H232" s="4">
        <f>'Instagram Ads Raw Data'!D232</f>
        <v>397</v>
      </c>
      <c r="I232" s="3">
        <f t="shared" si="4"/>
        <v>0.02</v>
      </c>
      <c r="J232" s="3">
        <f>'Instagram Ads Raw Data'!E232</f>
        <v>5</v>
      </c>
      <c r="K232" s="4">
        <f t="shared" si="5"/>
        <v>142.80000000000001</v>
      </c>
      <c r="L232" s="4">
        <f>'Instagram Ads Raw Data'!F232</f>
        <v>714</v>
      </c>
      <c r="M232" s="16">
        <f t="shared" si="6"/>
        <v>1.7984886649874054</v>
      </c>
      <c r="N232" s="17">
        <f t="shared" si="7"/>
        <v>79.400000000000006</v>
      </c>
    </row>
    <row r="233" spans="1:14" ht="13" x14ac:dyDescent="0.15">
      <c r="A233" s="2">
        <f>'Instagram Ads Raw Data'!A233</f>
        <v>45889</v>
      </c>
      <c r="B233" s="3">
        <f t="shared" si="0"/>
        <v>8</v>
      </c>
      <c r="C233" s="3">
        <f>'Instagram Ads Raw Data'!B233</f>
        <v>13511</v>
      </c>
      <c r="D233" s="3">
        <f t="shared" si="1"/>
        <v>2.0057730737917251E-2</v>
      </c>
      <c r="E233" s="3">
        <f>'Instagram Ads Raw Data'!C233</f>
        <v>271</v>
      </c>
      <c r="F233" s="15">
        <f t="shared" si="2"/>
        <v>1.8228782287822878</v>
      </c>
      <c r="G233" s="4">
        <f t="shared" si="3"/>
        <v>36.562800680926657</v>
      </c>
      <c r="H233" s="4">
        <f>'Instagram Ads Raw Data'!D233</f>
        <v>494</v>
      </c>
      <c r="I233" s="3">
        <f t="shared" si="4"/>
        <v>1.4760147601476014E-2</v>
      </c>
      <c r="J233" s="3">
        <f>'Instagram Ads Raw Data'!E233</f>
        <v>4</v>
      </c>
      <c r="K233" s="4">
        <f t="shared" si="5"/>
        <v>164.25</v>
      </c>
      <c r="L233" s="4">
        <f>'Instagram Ads Raw Data'!F233</f>
        <v>657</v>
      </c>
      <c r="M233" s="16">
        <f t="shared" si="6"/>
        <v>1.3299595141700404</v>
      </c>
      <c r="N233" s="17">
        <f t="shared" si="7"/>
        <v>123.5</v>
      </c>
    </row>
    <row r="234" spans="1:14" ht="13" x14ac:dyDescent="0.15">
      <c r="A234" s="2">
        <f>'Instagram Ads Raw Data'!A234</f>
        <v>45890</v>
      </c>
      <c r="B234" s="3">
        <f t="shared" si="0"/>
        <v>8</v>
      </c>
      <c r="C234" s="3">
        <f>'Instagram Ads Raw Data'!B234</f>
        <v>11744</v>
      </c>
      <c r="D234" s="3">
        <f t="shared" si="1"/>
        <v>1.6433923705722071E-2</v>
      </c>
      <c r="E234" s="3">
        <f>'Instagram Ads Raw Data'!C234</f>
        <v>193</v>
      </c>
      <c r="F234" s="15">
        <f t="shared" si="2"/>
        <v>1.2383419689119171</v>
      </c>
      <c r="G234" s="4">
        <f t="shared" si="3"/>
        <v>20.350817438692097</v>
      </c>
      <c r="H234" s="4">
        <f>'Instagram Ads Raw Data'!D234</f>
        <v>239</v>
      </c>
      <c r="I234" s="3">
        <f t="shared" si="4"/>
        <v>1.5544041450777202E-2</v>
      </c>
      <c r="J234" s="3">
        <f>'Instagram Ads Raw Data'!E234</f>
        <v>3</v>
      </c>
      <c r="K234" s="4">
        <f t="shared" si="5"/>
        <v>213</v>
      </c>
      <c r="L234" s="4">
        <f>'Instagram Ads Raw Data'!F234</f>
        <v>639</v>
      </c>
      <c r="M234" s="16">
        <f t="shared" si="6"/>
        <v>2.6736401673640167</v>
      </c>
      <c r="N234" s="17">
        <f t="shared" si="7"/>
        <v>79.666666666666671</v>
      </c>
    </row>
    <row r="235" spans="1:14" ht="13" x14ac:dyDescent="0.15">
      <c r="A235" s="2">
        <f>'Instagram Ads Raw Data'!A235</f>
        <v>45891</v>
      </c>
      <c r="B235" s="3">
        <f t="shared" si="0"/>
        <v>8</v>
      </c>
      <c r="C235" s="3">
        <f>'Instagram Ads Raw Data'!B235</f>
        <v>55379</v>
      </c>
      <c r="D235" s="3">
        <f t="shared" si="1"/>
        <v>2.3221798876830568E-2</v>
      </c>
      <c r="E235" s="3">
        <f>'Instagram Ads Raw Data'!C235</f>
        <v>1286</v>
      </c>
      <c r="F235" s="15">
        <f t="shared" si="2"/>
        <v>1.9494556765163298</v>
      </c>
      <c r="G235" s="4">
        <f t="shared" si="3"/>
        <v>45.269867639357884</v>
      </c>
      <c r="H235" s="4">
        <f>'Instagram Ads Raw Data'!D235</f>
        <v>2507</v>
      </c>
      <c r="I235" s="3">
        <f t="shared" si="4"/>
        <v>1.3996889580093312E-2</v>
      </c>
      <c r="J235" s="3">
        <f>'Instagram Ads Raw Data'!E235</f>
        <v>18</v>
      </c>
      <c r="K235" s="4">
        <f t="shared" si="5"/>
        <v>178.72222222222223</v>
      </c>
      <c r="L235" s="4">
        <f>'Instagram Ads Raw Data'!F235</f>
        <v>3217</v>
      </c>
      <c r="M235" s="16">
        <f t="shared" si="6"/>
        <v>1.2832070203430395</v>
      </c>
      <c r="N235" s="17">
        <f t="shared" si="7"/>
        <v>139.27777777777777</v>
      </c>
    </row>
    <row r="236" spans="1:14" ht="13" x14ac:dyDescent="0.15">
      <c r="A236" s="2">
        <f>'Instagram Ads Raw Data'!A236</f>
        <v>45892</v>
      </c>
      <c r="B236" s="3">
        <f t="shared" si="0"/>
        <v>8</v>
      </c>
      <c r="C236" s="3">
        <f>'Instagram Ads Raw Data'!B236</f>
        <v>92269</v>
      </c>
      <c r="D236" s="3">
        <f t="shared" si="1"/>
        <v>2.2813729421582548E-2</v>
      </c>
      <c r="E236" s="3">
        <f>'Instagram Ads Raw Data'!C236</f>
        <v>2105</v>
      </c>
      <c r="F236" s="15">
        <f t="shared" si="2"/>
        <v>1.2812351543942992</v>
      </c>
      <c r="G236" s="4">
        <f t="shared" si="3"/>
        <v>29.229752137771079</v>
      </c>
      <c r="H236" s="4">
        <f>'Instagram Ads Raw Data'!D236</f>
        <v>2697</v>
      </c>
      <c r="I236" s="3">
        <f t="shared" si="4"/>
        <v>1.7577197149643706E-2</v>
      </c>
      <c r="J236" s="3">
        <f>'Instagram Ads Raw Data'!E236</f>
        <v>37</v>
      </c>
      <c r="K236" s="4">
        <f t="shared" si="5"/>
        <v>151.51351351351352</v>
      </c>
      <c r="L236" s="4">
        <f>'Instagram Ads Raw Data'!F236</f>
        <v>5606</v>
      </c>
      <c r="M236" s="16">
        <f t="shared" si="6"/>
        <v>2.0786058583611422</v>
      </c>
      <c r="N236" s="17">
        <f t="shared" si="7"/>
        <v>72.891891891891888</v>
      </c>
    </row>
    <row r="237" spans="1:14" ht="13" x14ac:dyDescent="0.15">
      <c r="A237" s="2">
        <f>'Instagram Ads Raw Data'!A237</f>
        <v>45893</v>
      </c>
      <c r="B237" s="3">
        <f t="shared" si="0"/>
        <v>8</v>
      </c>
      <c r="C237" s="3">
        <f>'Instagram Ads Raw Data'!B237</f>
        <v>24200</v>
      </c>
      <c r="D237" s="3">
        <f t="shared" si="1"/>
        <v>3.1115702479338841E-2</v>
      </c>
      <c r="E237" s="3">
        <f>'Instagram Ads Raw Data'!C237</f>
        <v>753</v>
      </c>
      <c r="F237" s="15">
        <f t="shared" si="2"/>
        <v>1.1872509960159363</v>
      </c>
      <c r="G237" s="4">
        <f t="shared" si="3"/>
        <v>36.942148760330582</v>
      </c>
      <c r="H237" s="4">
        <f>'Instagram Ads Raw Data'!D237</f>
        <v>894</v>
      </c>
      <c r="I237" s="3">
        <f t="shared" si="4"/>
        <v>1.9920318725099601E-2</v>
      </c>
      <c r="J237" s="3">
        <f>'Instagram Ads Raw Data'!E237</f>
        <v>15</v>
      </c>
      <c r="K237" s="4">
        <f t="shared" si="5"/>
        <v>156.33333333333334</v>
      </c>
      <c r="L237" s="4">
        <f>'Instagram Ads Raw Data'!F237</f>
        <v>2345</v>
      </c>
      <c r="M237" s="16">
        <f t="shared" si="6"/>
        <v>2.6230425055928412</v>
      </c>
      <c r="N237" s="17">
        <f t="shared" si="7"/>
        <v>59.6</v>
      </c>
    </row>
    <row r="238" spans="1:14" ht="13" x14ac:dyDescent="0.15">
      <c r="A238" s="2">
        <f>'Instagram Ads Raw Data'!A238</f>
        <v>45894</v>
      </c>
      <c r="B238" s="3">
        <f t="shared" si="0"/>
        <v>8</v>
      </c>
      <c r="C238" s="3">
        <f>'Instagram Ads Raw Data'!B238</f>
        <v>94898</v>
      </c>
      <c r="D238" s="3">
        <f t="shared" si="1"/>
        <v>1.4109886404349934E-2</v>
      </c>
      <c r="E238" s="3">
        <f>'Instagram Ads Raw Data'!C238</f>
        <v>1339</v>
      </c>
      <c r="F238" s="15">
        <f t="shared" si="2"/>
        <v>1.9574309185959671</v>
      </c>
      <c r="G238" s="4">
        <f t="shared" si="3"/>
        <v>27.619127905751441</v>
      </c>
      <c r="H238" s="4">
        <f>'Instagram Ads Raw Data'!D238</f>
        <v>2621</v>
      </c>
      <c r="I238" s="3">
        <f t="shared" si="4"/>
        <v>1.7923823749066467E-2</v>
      </c>
      <c r="J238" s="3">
        <f>'Instagram Ads Raw Data'!E238</f>
        <v>24</v>
      </c>
      <c r="K238" s="4">
        <f t="shared" si="5"/>
        <v>185.25</v>
      </c>
      <c r="L238" s="4">
        <f>'Instagram Ads Raw Data'!F238</f>
        <v>4446</v>
      </c>
      <c r="M238" s="16">
        <f t="shared" si="6"/>
        <v>1.6962991224723387</v>
      </c>
      <c r="N238" s="17">
        <f t="shared" si="7"/>
        <v>109.20833333333333</v>
      </c>
    </row>
    <row r="239" spans="1:14" ht="13" x14ac:dyDescent="0.15">
      <c r="A239" s="2">
        <f>'Instagram Ads Raw Data'!A239</f>
        <v>45895</v>
      </c>
      <c r="B239" s="3">
        <f t="shared" si="0"/>
        <v>8</v>
      </c>
      <c r="C239" s="3">
        <f>'Instagram Ads Raw Data'!B239</f>
        <v>82128</v>
      </c>
      <c r="D239" s="3">
        <f t="shared" si="1"/>
        <v>1.5402785895187999E-2</v>
      </c>
      <c r="E239" s="3">
        <f>'Instagram Ads Raw Data'!C239</f>
        <v>1265</v>
      </c>
      <c r="F239" s="15">
        <f t="shared" si="2"/>
        <v>1.8213438735177865</v>
      </c>
      <c r="G239" s="4">
        <f t="shared" si="3"/>
        <v>28.053769725306839</v>
      </c>
      <c r="H239" s="4">
        <f>'Instagram Ads Raw Data'!D239</f>
        <v>2304</v>
      </c>
      <c r="I239" s="3">
        <f t="shared" si="4"/>
        <v>1.9762845849802372E-2</v>
      </c>
      <c r="J239" s="3">
        <f>'Instagram Ads Raw Data'!E239</f>
        <v>25</v>
      </c>
      <c r="K239" s="4">
        <f t="shared" si="5"/>
        <v>144.63999999999999</v>
      </c>
      <c r="L239" s="4">
        <f>'Instagram Ads Raw Data'!F239</f>
        <v>3616</v>
      </c>
      <c r="M239" s="16">
        <f t="shared" si="6"/>
        <v>1.5694444444444444</v>
      </c>
      <c r="N239" s="17">
        <f t="shared" si="7"/>
        <v>92.16</v>
      </c>
    </row>
    <row r="240" spans="1:14" ht="13" x14ac:dyDescent="0.15">
      <c r="A240" s="2">
        <f>'Instagram Ads Raw Data'!A240</f>
        <v>45896</v>
      </c>
      <c r="B240" s="3">
        <f t="shared" si="0"/>
        <v>8</v>
      </c>
      <c r="C240" s="3">
        <f>'Instagram Ads Raw Data'!B240</f>
        <v>59574</v>
      </c>
      <c r="D240" s="3">
        <f t="shared" si="1"/>
        <v>2.3147681874643302E-2</v>
      </c>
      <c r="E240" s="3">
        <f>'Instagram Ads Raw Data'!C240</f>
        <v>1379</v>
      </c>
      <c r="F240" s="15">
        <f t="shared" si="2"/>
        <v>1.9456127628716462</v>
      </c>
      <c r="G240" s="4">
        <f t="shared" si="3"/>
        <v>45.036425286198678</v>
      </c>
      <c r="H240" s="4">
        <f>'Instagram Ads Raw Data'!D240</f>
        <v>2683</v>
      </c>
      <c r="I240" s="3">
        <f t="shared" si="4"/>
        <v>1.7403915881073241E-2</v>
      </c>
      <c r="J240" s="3">
        <f>'Instagram Ads Raw Data'!E240</f>
        <v>24</v>
      </c>
      <c r="K240" s="4">
        <f t="shared" si="5"/>
        <v>126.04166666666667</v>
      </c>
      <c r="L240" s="4">
        <f>'Instagram Ads Raw Data'!F240</f>
        <v>3025</v>
      </c>
      <c r="M240" s="16">
        <f t="shared" si="6"/>
        <v>1.1274692508386135</v>
      </c>
      <c r="N240" s="17">
        <f t="shared" si="7"/>
        <v>111.79166666666667</v>
      </c>
    </row>
    <row r="241" spans="1:14" ht="13" x14ac:dyDescent="0.15">
      <c r="A241" s="2">
        <f>'Instagram Ads Raw Data'!A241</f>
        <v>45897</v>
      </c>
      <c r="B241" s="3">
        <f t="shared" si="0"/>
        <v>8</v>
      </c>
      <c r="C241" s="3">
        <f>'Instagram Ads Raw Data'!B241</f>
        <v>24834</v>
      </c>
      <c r="D241" s="3">
        <f t="shared" si="1"/>
        <v>1.5543206893774664E-2</v>
      </c>
      <c r="E241" s="3">
        <f>'Instagram Ads Raw Data'!C241</f>
        <v>386</v>
      </c>
      <c r="F241" s="15">
        <f t="shared" si="2"/>
        <v>1.7072538860103628</v>
      </c>
      <c r="G241" s="4">
        <f t="shared" si="3"/>
        <v>26.536200370459852</v>
      </c>
      <c r="H241" s="4">
        <f>'Instagram Ads Raw Data'!D241</f>
        <v>659</v>
      </c>
      <c r="I241" s="3">
        <f t="shared" si="4"/>
        <v>1.0362694300518135E-2</v>
      </c>
      <c r="J241" s="3">
        <f>'Instagram Ads Raw Data'!E241</f>
        <v>4</v>
      </c>
      <c r="K241" s="4">
        <f t="shared" si="5"/>
        <v>171.5</v>
      </c>
      <c r="L241" s="4">
        <f>'Instagram Ads Raw Data'!F241</f>
        <v>686</v>
      </c>
      <c r="M241" s="16">
        <f t="shared" si="6"/>
        <v>1.0409711684370258</v>
      </c>
      <c r="N241" s="17">
        <f t="shared" si="7"/>
        <v>164.75</v>
      </c>
    </row>
    <row r="242" spans="1:14" ht="13" x14ac:dyDescent="0.15">
      <c r="A242" s="2">
        <f>'Instagram Ads Raw Data'!A242</f>
        <v>45898</v>
      </c>
      <c r="B242" s="3">
        <f t="shared" si="0"/>
        <v>8</v>
      </c>
      <c r="C242" s="3">
        <f>'Instagram Ads Raw Data'!B242</f>
        <v>52708</v>
      </c>
      <c r="D242" s="3">
        <f t="shared" si="1"/>
        <v>1.1743947787812096E-2</v>
      </c>
      <c r="E242" s="3">
        <f>'Instagram Ads Raw Data'!C242</f>
        <v>619</v>
      </c>
      <c r="F242" s="15">
        <f t="shared" si="2"/>
        <v>1.4474959612277867</v>
      </c>
      <c r="G242" s="4">
        <f t="shared" si="3"/>
        <v>16.999316991728012</v>
      </c>
      <c r="H242" s="4">
        <f>'Instagram Ads Raw Data'!D242</f>
        <v>896</v>
      </c>
      <c r="I242" s="3">
        <f t="shared" si="4"/>
        <v>2.2617124394184167E-2</v>
      </c>
      <c r="J242" s="3">
        <f>'Instagram Ads Raw Data'!E242</f>
        <v>14</v>
      </c>
      <c r="K242" s="4">
        <f t="shared" si="5"/>
        <v>165.21428571428572</v>
      </c>
      <c r="L242" s="4">
        <f>'Instagram Ads Raw Data'!F242</f>
        <v>2313</v>
      </c>
      <c r="M242" s="16">
        <f t="shared" si="6"/>
        <v>2.5814732142857144</v>
      </c>
      <c r="N242" s="17">
        <f t="shared" si="7"/>
        <v>64</v>
      </c>
    </row>
    <row r="243" spans="1:14" ht="13" x14ac:dyDescent="0.15">
      <c r="A243" s="2">
        <f>'Instagram Ads Raw Data'!A243</f>
        <v>45899</v>
      </c>
      <c r="B243" s="3">
        <f t="shared" si="0"/>
        <v>8</v>
      </c>
      <c r="C243" s="3">
        <f>'Instagram Ads Raw Data'!B243</f>
        <v>15425</v>
      </c>
      <c r="D243" s="3">
        <f t="shared" si="1"/>
        <v>1.8930307941653162E-2</v>
      </c>
      <c r="E243" s="3">
        <f>'Instagram Ads Raw Data'!C243</f>
        <v>292</v>
      </c>
      <c r="F243" s="15">
        <f t="shared" si="2"/>
        <v>2.1232876712328768</v>
      </c>
      <c r="G243" s="4">
        <f t="shared" si="3"/>
        <v>40.194489465153971</v>
      </c>
      <c r="H243" s="4">
        <f>'Instagram Ads Raw Data'!D243</f>
        <v>620</v>
      </c>
      <c r="I243" s="3">
        <f t="shared" si="4"/>
        <v>1.7123287671232876E-2</v>
      </c>
      <c r="J243" s="3">
        <f>'Instagram Ads Raw Data'!E243</f>
        <v>5</v>
      </c>
      <c r="K243" s="4">
        <f t="shared" si="5"/>
        <v>120.6</v>
      </c>
      <c r="L243" s="4">
        <f>'Instagram Ads Raw Data'!F243</f>
        <v>603</v>
      </c>
      <c r="M243" s="16">
        <f t="shared" si="6"/>
        <v>0.97258064516129028</v>
      </c>
      <c r="N243" s="17">
        <f t="shared" si="7"/>
        <v>124</v>
      </c>
    </row>
    <row r="244" spans="1:14" ht="13" x14ac:dyDescent="0.15">
      <c r="A244" s="2">
        <f>'Instagram Ads Raw Data'!A244</f>
        <v>45900</v>
      </c>
      <c r="B244" s="3">
        <f t="shared" si="0"/>
        <v>8</v>
      </c>
      <c r="C244" s="3">
        <f>'Instagram Ads Raw Data'!B244</f>
        <v>71281</v>
      </c>
      <c r="D244" s="3">
        <f t="shared" si="1"/>
        <v>1.8784809416253982E-2</v>
      </c>
      <c r="E244" s="3">
        <f>'Instagram Ads Raw Data'!C244</f>
        <v>1339</v>
      </c>
      <c r="F244" s="15">
        <f t="shared" si="2"/>
        <v>0.99402539208364449</v>
      </c>
      <c r="G244" s="4">
        <f t="shared" si="3"/>
        <v>18.672577545208398</v>
      </c>
      <c r="H244" s="4">
        <f>'Instagram Ads Raw Data'!D244</f>
        <v>1331</v>
      </c>
      <c r="I244" s="3">
        <f t="shared" si="4"/>
        <v>1.568334578043316E-2</v>
      </c>
      <c r="J244" s="3">
        <f>'Instagram Ads Raw Data'!E244</f>
        <v>21</v>
      </c>
      <c r="K244" s="4">
        <f t="shared" si="5"/>
        <v>134.33333333333334</v>
      </c>
      <c r="L244" s="4">
        <f>'Instagram Ads Raw Data'!F244</f>
        <v>2821</v>
      </c>
      <c r="M244" s="16">
        <f t="shared" si="6"/>
        <v>2.1194590533433511</v>
      </c>
      <c r="N244" s="17">
        <f t="shared" si="7"/>
        <v>63.38095238095238</v>
      </c>
    </row>
    <row r="245" spans="1:14" ht="13" x14ac:dyDescent="0.15">
      <c r="A245" s="2">
        <f>'Instagram Ads Raw Data'!A245</f>
        <v>45901</v>
      </c>
      <c r="B245" s="3">
        <f t="shared" si="0"/>
        <v>9</v>
      </c>
      <c r="C245" s="3">
        <f>'Instagram Ads Raw Data'!B245</f>
        <v>86224</v>
      </c>
      <c r="D245" s="3">
        <f t="shared" si="1"/>
        <v>1.4729077750974207E-2</v>
      </c>
      <c r="E245" s="3">
        <f>'Instagram Ads Raw Data'!C245</f>
        <v>1270</v>
      </c>
      <c r="F245" s="15">
        <f t="shared" si="2"/>
        <v>2.0677165354330707</v>
      </c>
      <c r="G245" s="4">
        <f t="shared" si="3"/>
        <v>30.455557617368711</v>
      </c>
      <c r="H245" s="4">
        <f>'Instagram Ads Raw Data'!D245</f>
        <v>2626</v>
      </c>
      <c r="I245" s="3">
        <f t="shared" si="4"/>
        <v>2.2047244094488189E-2</v>
      </c>
      <c r="J245" s="3">
        <f>'Instagram Ads Raw Data'!E245</f>
        <v>28</v>
      </c>
      <c r="K245" s="4">
        <f t="shared" si="5"/>
        <v>117.75</v>
      </c>
      <c r="L245" s="4">
        <f>'Instagram Ads Raw Data'!F245</f>
        <v>3297</v>
      </c>
      <c r="M245" s="16">
        <f t="shared" si="6"/>
        <v>1.2555217060167556</v>
      </c>
      <c r="N245" s="17">
        <f t="shared" si="7"/>
        <v>93.785714285714292</v>
      </c>
    </row>
    <row r="246" spans="1:14" ht="13" x14ac:dyDescent="0.15">
      <c r="A246" s="2">
        <f>'Instagram Ads Raw Data'!A246</f>
        <v>45902</v>
      </c>
      <c r="B246" s="3">
        <f t="shared" si="0"/>
        <v>9</v>
      </c>
      <c r="C246" s="3">
        <f>'Instagram Ads Raw Data'!B246</f>
        <v>54980</v>
      </c>
      <c r="D246" s="3">
        <f t="shared" si="1"/>
        <v>2.7937431793379409E-2</v>
      </c>
      <c r="E246" s="3">
        <f>'Instagram Ads Raw Data'!C246</f>
        <v>1536</v>
      </c>
      <c r="F246" s="15">
        <f t="shared" si="2"/>
        <v>0.91927083333333337</v>
      </c>
      <c r="G246" s="4">
        <f t="shared" si="3"/>
        <v>25.682066205893054</v>
      </c>
      <c r="H246" s="4">
        <f>'Instagram Ads Raw Data'!D246</f>
        <v>1412</v>
      </c>
      <c r="I246" s="3">
        <f t="shared" si="4"/>
        <v>1.6276041666666668E-2</v>
      </c>
      <c r="J246" s="3">
        <f>'Instagram Ads Raw Data'!E246</f>
        <v>25</v>
      </c>
      <c r="K246" s="4">
        <f t="shared" si="5"/>
        <v>108.2</v>
      </c>
      <c r="L246" s="4">
        <f>'Instagram Ads Raw Data'!F246</f>
        <v>2705</v>
      </c>
      <c r="M246" s="16">
        <f t="shared" si="6"/>
        <v>1.9157223796033995</v>
      </c>
      <c r="N246" s="17">
        <f t="shared" si="7"/>
        <v>56.48</v>
      </c>
    </row>
    <row r="247" spans="1:14" ht="13" x14ac:dyDescent="0.15">
      <c r="A247" s="2">
        <f>'Instagram Ads Raw Data'!A247</f>
        <v>45903</v>
      </c>
      <c r="B247" s="3">
        <f t="shared" si="0"/>
        <v>9</v>
      </c>
      <c r="C247" s="3">
        <f>'Instagram Ads Raw Data'!B247</f>
        <v>20759</v>
      </c>
      <c r="D247" s="3">
        <f t="shared" si="1"/>
        <v>2.7891516932414855E-2</v>
      </c>
      <c r="E247" s="3">
        <f>'Instagram Ads Raw Data'!C247</f>
        <v>579</v>
      </c>
      <c r="F247" s="15">
        <f t="shared" si="2"/>
        <v>1.1329879101899827</v>
      </c>
      <c r="G247" s="4">
        <f t="shared" si="3"/>
        <v>31.600751481285226</v>
      </c>
      <c r="H247" s="4">
        <f>'Instagram Ads Raw Data'!D247</f>
        <v>656</v>
      </c>
      <c r="I247" s="3">
        <f t="shared" si="4"/>
        <v>1.0362694300518135E-2</v>
      </c>
      <c r="J247" s="3">
        <f>'Instagram Ads Raw Data'!E247</f>
        <v>6</v>
      </c>
      <c r="K247" s="4">
        <f t="shared" si="5"/>
        <v>211.66666666666666</v>
      </c>
      <c r="L247" s="4">
        <f>'Instagram Ads Raw Data'!F247</f>
        <v>1270</v>
      </c>
      <c r="M247" s="16">
        <f t="shared" si="6"/>
        <v>1.9359756097560976</v>
      </c>
      <c r="N247" s="17">
        <f t="shared" si="7"/>
        <v>109.33333333333333</v>
      </c>
    </row>
    <row r="248" spans="1:14" ht="13" x14ac:dyDescent="0.15">
      <c r="A248" s="2">
        <f>'Instagram Ads Raw Data'!A248</f>
        <v>45904</v>
      </c>
      <c r="B248" s="3">
        <f t="shared" si="0"/>
        <v>9</v>
      </c>
      <c r="C248" s="3">
        <f>'Instagram Ads Raw Data'!B248</f>
        <v>88745</v>
      </c>
      <c r="D248" s="3">
        <f t="shared" si="1"/>
        <v>2.6164854357991998E-2</v>
      </c>
      <c r="E248" s="3">
        <f>'Instagram Ads Raw Data'!C248</f>
        <v>2322</v>
      </c>
      <c r="F248" s="15">
        <f t="shared" si="2"/>
        <v>1.3729543496985357</v>
      </c>
      <c r="G248" s="4">
        <f t="shared" si="3"/>
        <v>35.9231506000338</v>
      </c>
      <c r="H248" s="4">
        <f>'Instagram Ads Raw Data'!D248</f>
        <v>3188</v>
      </c>
      <c r="I248" s="3">
        <f t="shared" si="4"/>
        <v>2.3686477174849268E-2</v>
      </c>
      <c r="J248" s="3">
        <f>'Instagram Ads Raw Data'!E248</f>
        <v>55</v>
      </c>
      <c r="K248" s="4">
        <f t="shared" si="5"/>
        <v>154.5090909090909</v>
      </c>
      <c r="L248" s="4">
        <f>'Instagram Ads Raw Data'!F248</f>
        <v>8498</v>
      </c>
      <c r="M248" s="16">
        <f t="shared" si="6"/>
        <v>2.6656210790464239</v>
      </c>
      <c r="N248" s="17">
        <f t="shared" si="7"/>
        <v>57.963636363636361</v>
      </c>
    </row>
    <row r="249" spans="1:14" ht="13" x14ac:dyDescent="0.15">
      <c r="A249" s="2">
        <f>'Instagram Ads Raw Data'!A249</f>
        <v>45905</v>
      </c>
      <c r="B249" s="3">
        <f t="shared" si="0"/>
        <v>9</v>
      </c>
      <c r="C249" s="3">
        <f>'Instagram Ads Raw Data'!B249</f>
        <v>90562</v>
      </c>
      <c r="D249" s="3">
        <f t="shared" si="1"/>
        <v>1.9776506702590492E-2</v>
      </c>
      <c r="E249" s="3">
        <f>'Instagram Ads Raw Data'!C249</f>
        <v>1791</v>
      </c>
      <c r="F249" s="15">
        <f t="shared" si="2"/>
        <v>1.7677275265214965</v>
      </c>
      <c r="G249" s="4">
        <f t="shared" si="3"/>
        <v>34.959475276606085</v>
      </c>
      <c r="H249" s="4">
        <f>'Instagram Ads Raw Data'!D249</f>
        <v>3166</v>
      </c>
      <c r="I249" s="3">
        <f t="shared" si="4"/>
        <v>1.7867113344500279E-2</v>
      </c>
      <c r="J249" s="3">
        <f>'Instagram Ads Raw Data'!E249</f>
        <v>32</v>
      </c>
      <c r="K249" s="4">
        <f t="shared" si="5"/>
        <v>195.1875</v>
      </c>
      <c r="L249" s="4">
        <f>'Instagram Ads Raw Data'!F249</f>
        <v>6246</v>
      </c>
      <c r="M249" s="16">
        <f t="shared" si="6"/>
        <v>1.972836386607707</v>
      </c>
      <c r="N249" s="17">
        <f t="shared" si="7"/>
        <v>98.9375</v>
      </c>
    </row>
    <row r="250" spans="1:14" ht="13" x14ac:dyDescent="0.15">
      <c r="A250" s="2">
        <f>'Instagram Ads Raw Data'!A250</f>
        <v>45906</v>
      </c>
      <c r="B250" s="3">
        <f t="shared" si="0"/>
        <v>9</v>
      </c>
      <c r="C250" s="3">
        <f>'Instagram Ads Raw Data'!B250</f>
        <v>31457</v>
      </c>
      <c r="D250" s="3">
        <f t="shared" si="1"/>
        <v>2.4477858664208284E-2</v>
      </c>
      <c r="E250" s="3">
        <f>'Instagram Ads Raw Data'!C250</f>
        <v>770</v>
      </c>
      <c r="F250" s="15">
        <f t="shared" si="2"/>
        <v>2.02987012987013</v>
      </c>
      <c r="G250" s="4">
        <f t="shared" si="3"/>
        <v>49.686874145659154</v>
      </c>
      <c r="H250" s="4">
        <f>'Instagram Ads Raw Data'!D250</f>
        <v>1563</v>
      </c>
      <c r="I250" s="3">
        <f t="shared" si="4"/>
        <v>1.4285714285714285E-2</v>
      </c>
      <c r="J250" s="3">
        <f>'Instagram Ads Raw Data'!E250</f>
        <v>11</v>
      </c>
      <c r="K250" s="4">
        <f t="shared" si="5"/>
        <v>182.81818181818181</v>
      </c>
      <c r="L250" s="4">
        <f>'Instagram Ads Raw Data'!F250</f>
        <v>2011</v>
      </c>
      <c r="M250" s="16">
        <f t="shared" si="6"/>
        <v>1.2866282789507357</v>
      </c>
      <c r="N250" s="17">
        <f t="shared" si="7"/>
        <v>142.09090909090909</v>
      </c>
    </row>
    <row r="251" spans="1:14" ht="13" x14ac:dyDescent="0.15">
      <c r="A251" s="2">
        <f>'Instagram Ads Raw Data'!A251</f>
        <v>45907</v>
      </c>
      <c r="B251" s="3">
        <f t="shared" si="0"/>
        <v>9</v>
      </c>
      <c r="C251" s="3">
        <f>'Instagram Ads Raw Data'!B251</f>
        <v>16887</v>
      </c>
      <c r="D251" s="3">
        <f t="shared" si="1"/>
        <v>1.1724995558713803E-2</v>
      </c>
      <c r="E251" s="3">
        <f>'Instagram Ads Raw Data'!C251</f>
        <v>198</v>
      </c>
      <c r="F251" s="15">
        <f t="shared" si="2"/>
        <v>1.8434343434343434</v>
      </c>
      <c r="G251" s="4">
        <f t="shared" si="3"/>
        <v>21.614259489548171</v>
      </c>
      <c r="H251" s="4">
        <f>'Instagram Ads Raw Data'!D251</f>
        <v>365</v>
      </c>
      <c r="I251" s="3">
        <f t="shared" si="4"/>
        <v>1.0101010101010102E-2</v>
      </c>
      <c r="J251" s="3">
        <f>'Instagram Ads Raw Data'!E251</f>
        <v>2</v>
      </c>
      <c r="K251" s="4">
        <f t="shared" si="5"/>
        <v>179</v>
      </c>
      <c r="L251" s="4">
        <f>'Instagram Ads Raw Data'!F251</f>
        <v>358</v>
      </c>
      <c r="M251" s="16">
        <f t="shared" si="6"/>
        <v>0.98082191780821915</v>
      </c>
      <c r="N251" s="17">
        <f t="shared" si="7"/>
        <v>182.5</v>
      </c>
    </row>
    <row r="252" spans="1:14" ht="13" x14ac:dyDescent="0.15">
      <c r="A252" s="2">
        <f>'Instagram Ads Raw Data'!A252</f>
        <v>45908</v>
      </c>
      <c r="B252" s="3">
        <f t="shared" si="0"/>
        <v>9</v>
      </c>
      <c r="C252" s="3">
        <f>'Instagram Ads Raw Data'!B252</f>
        <v>52594</v>
      </c>
      <c r="D252" s="3">
        <f t="shared" si="1"/>
        <v>1.1389131840133855E-2</v>
      </c>
      <c r="E252" s="3">
        <f>'Instagram Ads Raw Data'!C252</f>
        <v>599</v>
      </c>
      <c r="F252" s="15">
        <f t="shared" si="2"/>
        <v>1.8230383973288815</v>
      </c>
      <c r="G252" s="4">
        <f t="shared" si="3"/>
        <v>20.762824656804959</v>
      </c>
      <c r="H252" s="4">
        <f>'Instagram Ads Raw Data'!D252</f>
        <v>1092</v>
      </c>
      <c r="I252" s="3">
        <f t="shared" si="4"/>
        <v>2.5041736227045076E-2</v>
      </c>
      <c r="J252" s="3">
        <f>'Instagram Ads Raw Data'!E252</f>
        <v>15</v>
      </c>
      <c r="K252" s="4">
        <f t="shared" si="5"/>
        <v>148.33333333333334</v>
      </c>
      <c r="L252" s="4">
        <f>'Instagram Ads Raw Data'!F252</f>
        <v>2225</v>
      </c>
      <c r="M252" s="16">
        <f t="shared" si="6"/>
        <v>2.0375457875457874</v>
      </c>
      <c r="N252" s="17">
        <f t="shared" si="7"/>
        <v>72.8</v>
      </c>
    </row>
    <row r="253" spans="1:14" ht="13" x14ac:dyDescent="0.15">
      <c r="A253" s="2">
        <f>'Instagram Ads Raw Data'!A253</f>
        <v>45909</v>
      </c>
      <c r="B253" s="3">
        <f t="shared" si="0"/>
        <v>9</v>
      </c>
      <c r="C253" s="3">
        <f>'Instagram Ads Raw Data'!B253</f>
        <v>16880</v>
      </c>
      <c r="D253" s="3">
        <f t="shared" si="1"/>
        <v>2.2274881516587679E-2</v>
      </c>
      <c r="E253" s="3">
        <f>'Instagram Ads Raw Data'!C253</f>
        <v>376</v>
      </c>
      <c r="F253" s="15">
        <f t="shared" si="2"/>
        <v>1.2686170212765957</v>
      </c>
      <c r="G253" s="4">
        <f t="shared" si="3"/>
        <v>28.25829383886256</v>
      </c>
      <c r="H253" s="4">
        <f>'Instagram Ads Raw Data'!D253</f>
        <v>477</v>
      </c>
      <c r="I253" s="3">
        <f t="shared" si="4"/>
        <v>1.3297872340425532E-2</v>
      </c>
      <c r="J253" s="3">
        <f>'Instagram Ads Raw Data'!E253</f>
        <v>5</v>
      </c>
      <c r="K253" s="4">
        <f t="shared" si="5"/>
        <v>180.8</v>
      </c>
      <c r="L253" s="4">
        <f>'Instagram Ads Raw Data'!F253</f>
        <v>904</v>
      </c>
      <c r="M253" s="16">
        <f t="shared" si="6"/>
        <v>1.8951781970649895</v>
      </c>
      <c r="N253" s="17">
        <f t="shared" si="7"/>
        <v>95.4</v>
      </c>
    </row>
    <row r="254" spans="1:14" ht="13" x14ac:dyDescent="0.15">
      <c r="A254" s="2">
        <f>'Instagram Ads Raw Data'!A254</f>
        <v>45910</v>
      </c>
      <c r="B254" s="3">
        <f t="shared" si="0"/>
        <v>9</v>
      </c>
      <c r="C254" s="3">
        <f>'Instagram Ads Raw Data'!B254</f>
        <v>66692</v>
      </c>
      <c r="D254" s="3">
        <f t="shared" si="1"/>
        <v>1.9117735260600972E-2</v>
      </c>
      <c r="E254" s="3">
        <f>'Instagram Ads Raw Data'!C254</f>
        <v>1275</v>
      </c>
      <c r="F254" s="15">
        <f t="shared" si="2"/>
        <v>1.7098039215686274</v>
      </c>
      <c r="G254" s="4">
        <f t="shared" si="3"/>
        <v>32.687578720086371</v>
      </c>
      <c r="H254" s="4">
        <f>'Instagram Ads Raw Data'!D254</f>
        <v>2180</v>
      </c>
      <c r="I254" s="3">
        <f t="shared" si="4"/>
        <v>1.6470588235294119E-2</v>
      </c>
      <c r="J254" s="3">
        <f>'Instagram Ads Raw Data'!E254</f>
        <v>21</v>
      </c>
      <c r="K254" s="4">
        <f t="shared" si="5"/>
        <v>150.28571428571428</v>
      </c>
      <c r="L254" s="4">
        <f>'Instagram Ads Raw Data'!F254</f>
        <v>3156</v>
      </c>
      <c r="M254" s="16">
        <f t="shared" si="6"/>
        <v>1.4477064220183486</v>
      </c>
      <c r="N254" s="17">
        <f t="shared" si="7"/>
        <v>103.80952380952381</v>
      </c>
    </row>
    <row r="255" spans="1:14" ht="13" x14ac:dyDescent="0.15">
      <c r="A255" s="2">
        <f>'Instagram Ads Raw Data'!A255</f>
        <v>45911</v>
      </c>
      <c r="B255" s="3">
        <f t="shared" si="0"/>
        <v>9</v>
      </c>
      <c r="C255" s="3">
        <f>'Instagram Ads Raw Data'!B255</f>
        <v>61970</v>
      </c>
      <c r="D255" s="3">
        <f t="shared" si="1"/>
        <v>1.0327577860254962E-2</v>
      </c>
      <c r="E255" s="3">
        <f>'Instagram Ads Raw Data'!C255</f>
        <v>640</v>
      </c>
      <c r="F255" s="15">
        <f t="shared" si="2"/>
        <v>1.7359374999999999</v>
      </c>
      <c r="G255" s="4">
        <f t="shared" si="3"/>
        <v>17.92802969178635</v>
      </c>
      <c r="H255" s="4">
        <f>'Instagram Ads Raw Data'!D255</f>
        <v>1111</v>
      </c>
      <c r="I255" s="3">
        <f t="shared" si="4"/>
        <v>2.1874999999999999E-2</v>
      </c>
      <c r="J255" s="3">
        <f>'Instagram Ads Raw Data'!E255</f>
        <v>14</v>
      </c>
      <c r="K255" s="4">
        <f t="shared" si="5"/>
        <v>200.57142857142858</v>
      </c>
      <c r="L255" s="4">
        <f>'Instagram Ads Raw Data'!F255</f>
        <v>2808</v>
      </c>
      <c r="M255" s="16">
        <f t="shared" si="6"/>
        <v>2.5274527452745272</v>
      </c>
      <c r="N255" s="17">
        <f t="shared" si="7"/>
        <v>79.357142857142861</v>
      </c>
    </row>
    <row r="256" spans="1:14" ht="13" x14ac:dyDescent="0.15">
      <c r="A256" s="2">
        <f>'Instagram Ads Raw Data'!A256</f>
        <v>45912</v>
      </c>
      <c r="B256" s="3">
        <f t="shared" si="0"/>
        <v>9</v>
      </c>
      <c r="C256" s="3">
        <f>'Instagram Ads Raw Data'!B256</f>
        <v>48632</v>
      </c>
      <c r="D256" s="3">
        <f t="shared" si="1"/>
        <v>1.4414377364698141E-2</v>
      </c>
      <c r="E256" s="3">
        <f>'Instagram Ads Raw Data'!C256</f>
        <v>701</v>
      </c>
      <c r="F256" s="15">
        <f t="shared" si="2"/>
        <v>1.5106990014265336</v>
      </c>
      <c r="G256" s="4">
        <f t="shared" si="3"/>
        <v>21.775785491034711</v>
      </c>
      <c r="H256" s="4">
        <f>'Instagram Ads Raw Data'!D256</f>
        <v>1059</v>
      </c>
      <c r="I256" s="3">
        <f t="shared" si="4"/>
        <v>1.8544935805991442E-2</v>
      </c>
      <c r="J256" s="3">
        <f>'Instagram Ads Raw Data'!E256</f>
        <v>13</v>
      </c>
      <c r="K256" s="4">
        <f t="shared" si="5"/>
        <v>188.23076923076923</v>
      </c>
      <c r="L256" s="4">
        <f>'Instagram Ads Raw Data'!F256</f>
        <v>2447</v>
      </c>
      <c r="M256" s="16">
        <f t="shared" si="6"/>
        <v>2.3106704438149199</v>
      </c>
      <c r="N256" s="17">
        <f t="shared" si="7"/>
        <v>81.461538461538467</v>
      </c>
    </row>
    <row r="257" spans="1:14" ht="13" x14ac:dyDescent="0.15">
      <c r="A257" s="2">
        <f>'Instagram Ads Raw Data'!A257</f>
        <v>45913</v>
      </c>
      <c r="B257" s="3">
        <f t="shared" ref="B257:B366" si="8">MONTH(A257)</f>
        <v>9</v>
      </c>
      <c r="C257" s="3">
        <f>'Instagram Ads Raw Data'!B257</f>
        <v>91672</v>
      </c>
      <c r="D257" s="3">
        <f t="shared" ref="D257:D366" si="9">E257/C257</f>
        <v>1.5042761148442272E-2</v>
      </c>
      <c r="E257" s="3">
        <f>'Instagram Ads Raw Data'!C257</f>
        <v>1379</v>
      </c>
      <c r="F257" s="15">
        <f t="shared" ref="F257:F366" si="10">H257/E257</f>
        <v>1.131979695431472</v>
      </c>
      <c r="G257" s="4">
        <f t="shared" ref="G257:G366" si="11">H257/(C257/1000)</f>
        <v>17.028100183262065</v>
      </c>
      <c r="H257" s="4">
        <f>'Instagram Ads Raw Data'!D257</f>
        <v>1561</v>
      </c>
      <c r="I257" s="3">
        <f t="shared" ref="I257:I366" si="12">J257/E257</f>
        <v>2.5380710659898477E-2</v>
      </c>
      <c r="J257" s="3">
        <f>'Instagram Ads Raw Data'!E257</f>
        <v>35</v>
      </c>
      <c r="K257" s="4">
        <f t="shared" ref="K257:K366" si="13">L257/J257</f>
        <v>155.6</v>
      </c>
      <c r="L257" s="4">
        <f>'Instagram Ads Raw Data'!F257</f>
        <v>5446</v>
      </c>
      <c r="M257" s="16">
        <f t="shared" ref="M257:M366" si="14">L257/H257</f>
        <v>3.4887892376681613</v>
      </c>
      <c r="N257" s="17">
        <f t="shared" ref="N257:N366" si="15">H257/J257</f>
        <v>44.6</v>
      </c>
    </row>
    <row r="258" spans="1:14" ht="13" x14ac:dyDescent="0.15">
      <c r="A258" s="2">
        <f>'Instagram Ads Raw Data'!A258</f>
        <v>45914</v>
      </c>
      <c r="B258" s="3">
        <f t="shared" si="8"/>
        <v>9</v>
      </c>
      <c r="C258" s="3">
        <f>'Instagram Ads Raw Data'!B258</f>
        <v>81449</v>
      </c>
      <c r="D258" s="3">
        <f t="shared" si="9"/>
        <v>1.874792815135852E-2</v>
      </c>
      <c r="E258" s="3">
        <f>'Instagram Ads Raw Data'!C258</f>
        <v>1527</v>
      </c>
      <c r="F258" s="15">
        <f t="shared" si="10"/>
        <v>1.4191224623444663</v>
      </c>
      <c r="G258" s="4">
        <f t="shared" si="11"/>
        <v>26.605605962013041</v>
      </c>
      <c r="H258" s="4">
        <f>'Instagram Ads Raw Data'!D258</f>
        <v>2167</v>
      </c>
      <c r="I258" s="3">
        <f t="shared" si="12"/>
        <v>2.6850032743942372E-2</v>
      </c>
      <c r="J258" s="3">
        <f>'Instagram Ads Raw Data'!E258</f>
        <v>41</v>
      </c>
      <c r="K258" s="4">
        <f t="shared" si="13"/>
        <v>167.39024390243901</v>
      </c>
      <c r="L258" s="4">
        <f>'Instagram Ads Raw Data'!F258</f>
        <v>6863</v>
      </c>
      <c r="M258" s="16">
        <f t="shared" si="14"/>
        <v>3.1670512228887864</v>
      </c>
      <c r="N258" s="17">
        <f t="shared" si="15"/>
        <v>52.853658536585364</v>
      </c>
    </row>
    <row r="259" spans="1:14" ht="13" x14ac:dyDescent="0.15">
      <c r="A259" s="2">
        <f>'Instagram Ads Raw Data'!A259</f>
        <v>45915</v>
      </c>
      <c r="B259" s="3">
        <f t="shared" si="8"/>
        <v>9</v>
      </c>
      <c r="C259" s="3">
        <f>'Instagram Ads Raw Data'!B259</f>
        <v>51464</v>
      </c>
      <c r="D259" s="3">
        <f t="shared" si="9"/>
        <v>1.1503186693611068E-2</v>
      </c>
      <c r="E259" s="3">
        <f>'Instagram Ads Raw Data'!C259</f>
        <v>592</v>
      </c>
      <c r="F259" s="15">
        <f t="shared" si="10"/>
        <v>1.4983108108108107</v>
      </c>
      <c r="G259" s="4">
        <f t="shared" si="11"/>
        <v>17.235348981812528</v>
      </c>
      <c r="H259" s="4">
        <f>'Instagram Ads Raw Data'!D259</f>
        <v>887</v>
      </c>
      <c r="I259" s="3">
        <f t="shared" si="12"/>
        <v>1.5202702702702704E-2</v>
      </c>
      <c r="J259" s="3">
        <f>'Instagram Ads Raw Data'!E259</f>
        <v>9</v>
      </c>
      <c r="K259" s="4">
        <f t="shared" si="13"/>
        <v>138</v>
      </c>
      <c r="L259" s="4">
        <f>'Instagram Ads Raw Data'!F259</f>
        <v>1242</v>
      </c>
      <c r="M259" s="16">
        <f t="shared" si="14"/>
        <v>1.4002254791431792</v>
      </c>
      <c r="N259" s="17">
        <f t="shared" si="15"/>
        <v>98.555555555555557</v>
      </c>
    </row>
    <row r="260" spans="1:14" ht="13" x14ac:dyDescent="0.15">
      <c r="A260" s="2">
        <f>'Instagram Ads Raw Data'!A260</f>
        <v>45916</v>
      </c>
      <c r="B260" s="3">
        <f t="shared" si="8"/>
        <v>9</v>
      </c>
      <c r="C260" s="3">
        <f>'Instagram Ads Raw Data'!B260</f>
        <v>52154</v>
      </c>
      <c r="D260" s="3">
        <f t="shared" si="9"/>
        <v>2.8684281167312191E-2</v>
      </c>
      <c r="E260" s="3">
        <f>'Instagram Ads Raw Data'!C260</f>
        <v>1496</v>
      </c>
      <c r="F260" s="15">
        <f t="shared" si="10"/>
        <v>1.553475935828877</v>
      </c>
      <c r="G260" s="4">
        <f t="shared" si="11"/>
        <v>44.560340529968933</v>
      </c>
      <c r="H260" s="4">
        <f>'Instagram Ads Raw Data'!D260</f>
        <v>2324</v>
      </c>
      <c r="I260" s="3">
        <f t="shared" si="12"/>
        <v>1.3368983957219251E-2</v>
      </c>
      <c r="J260" s="3">
        <f>'Instagram Ads Raw Data'!E260</f>
        <v>20</v>
      </c>
      <c r="K260" s="4">
        <f t="shared" si="13"/>
        <v>179.65</v>
      </c>
      <c r="L260" s="4">
        <f>'Instagram Ads Raw Data'!F260</f>
        <v>3593</v>
      </c>
      <c r="M260" s="16">
        <f t="shared" si="14"/>
        <v>1.5460413080895008</v>
      </c>
      <c r="N260" s="17">
        <f t="shared" si="15"/>
        <v>116.2</v>
      </c>
    </row>
    <row r="261" spans="1:14" ht="13" x14ac:dyDescent="0.15">
      <c r="A261" s="2">
        <f>'Instagram Ads Raw Data'!A261</f>
        <v>45917</v>
      </c>
      <c r="B261" s="3">
        <f t="shared" si="8"/>
        <v>9</v>
      </c>
      <c r="C261" s="3">
        <f>'Instagram Ads Raw Data'!B261</f>
        <v>31475</v>
      </c>
      <c r="D261" s="3">
        <f t="shared" si="9"/>
        <v>1.687053216838761E-2</v>
      </c>
      <c r="E261" s="3">
        <f>'Instagram Ads Raw Data'!C261</f>
        <v>531</v>
      </c>
      <c r="F261" s="15">
        <f t="shared" si="10"/>
        <v>1.9209039548022599</v>
      </c>
      <c r="G261" s="4">
        <f t="shared" si="11"/>
        <v>32.406671961874501</v>
      </c>
      <c r="H261" s="4">
        <f>'Instagram Ads Raw Data'!D261</f>
        <v>1020</v>
      </c>
      <c r="I261" s="3">
        <f t="shared" si="12"/>
        <v>2.0715630885122412E-2</v>
      </c>
      <c r="J261" s="3">
        <f>'Instagram Ads Raw Data'!E261</f>
        <v>11</v>
      </c>
      <c r="K261" s="4">
        <f t="shared" si="13"/>
        <v>130.27272727272728</v>
      </c>
      <c r="L261" s="4">
        <f>'Instagram Ads Raw Data'!F261</f>
        <v>1433</v>
      </c>
      <c r="M261" s="16">
        <f t="shared" si="14"/>
        <v>1.4049019607843136</v>
      </c>
      <c r="N261" s="17">
        <f t="shared" si="15"/>
        <v>92.727272727272734</v>
      </c>
    </row>
    <row r="262" spans="1:14" ht="13" x14ac:dyDescent="0.15">
      <c r="A262" s="2">
        <f>'Instagram Ads Raw Data'!A262</f>
        <v>45918</v>
      </c>
      <c r="B262" s="3">
        <f t="shared" si="8"/>
        <v>9</v>
      </c>
      <c r="C262" s="3">
        <f>'Instagram Ads Raw Data'!B262</f>
        <v>12277</v>
      </c>
      <c r="D262" s="3">
        <f t="shared" si="9"/>
        <v>1.4417202899731205E-2</v>
      </c>
      <c r="E262" s="3">
        <f>'Instagram Ads Raw Data'!C262</f>
        <v>177</v>
      </c>
      <c r="F262" s="15">
        <f t="shared" si="10"/>
        <v>1.6610169491525424</v>
      </c>
      <c r="G262" s="4">
        <f t="shared" si="11"/>
        <v>23.947218375824715</v>
      </c>
      <c r="H262" s="4">
        <f>'Instagram Ads Raw Data'!D262</f>
        <v>294</v>
      </c>
      <c r="I262" s="3">
        <f t="shared" si="12"/>
        <v>1.6949152542372881E-2</v>
      </c>
      <c r="J262" s="3">
        <f>'Instagram Ads Raw Data'!E262</f>
        <v>3</v>
      </c>
      <c r="K262" s="4">
        <f t="shared" si="13"/>
        <v>203</v>
      </c>
      <c r="L262" s="4">
        <f>'Instagram Ads Raw Data'!F262</f>
        <v>609</v>
      </c>
      <c r="M262" s="16">
        <f t="shared" si="14"/>
        <v>2.0714285714285716</v>
      </c>
      <c r="N262" s="17">
        <f t="shared" si="15"/>
        <v>98</v>
      </c>
    </row>
    <row r="263" spans="1:14" ht="13" x14ac:dyDescent="0.15">
      <c r="A263" s="2">
        <f>'Instagram Ads Raw Data'!A263</f>
        <v>45919</v>
      </c>
      <c r="B263" s="3">
        <f t="shared" si="8"/>
        <v>9</v>
      </c>
      <c r="C263" s="3">
        <f>'Instagram Ads Raw Data'!B263</f>
        <v>13766</v>
      </c>
      <c r="D263" s="3">
        <f t="shared" si="9"/>
        <v>1.0315269504576494E-2</v>
      </c>
      <c r="E263" s="3">
        <f>'Instagram Ads Raw Data'!C263</f>
        <v>142</v>
      </c>
      <c r="F263" s="15">
        <f t="shared" si="10"/>
        <v>1.8661971830985915</v>
      </c>
      <c r="G263" s="4">
        <f t="shared" si="11"/>
        <v>19.250326892343455</v>
      </c>
      <c r="H263" s="4">
        <f>'Instagram Ads Raw Data'!D263</f>
        <v>265</v>
      </c>
      <c r="I263" s="3">
        <f t="shared" si="12"/>
        <v>1.4084507042253521E-2</v>
      </c>
      <c r="J263" s="3">
        <f>'Instagram Ads Raw Data'!E263</f>
        <v>2</v>
      </c>
      <c r="K263" s="4">
        <f t="shared" si="13"/>
        <v>132.5</v>
      </c>
      <c r="L263" s="4">
        <f>'Instagram Ads Raw Data'!F263</f>
        <v>265</v>
      </c>
      <c r="M263" s="16">
        <f t="shared" si="14"/>
        <v>1</v>
      </c>
      <c r="N263" s="17">
        <f t="shared" si="15"/>
        <v>132.5</v>
      </c>
    </row>
    <row r="264" spans="1:14" ht="13" x14ac:dyDescent="0.15">
      <c r="A264" s="2">
        <f>'Instagram Ads Raw Data'!A264</f>
        <v>45920</v>
      </c>
      <c r="B264" s="3">
        <f t="shared" si="8"/>
        <v>9</v>
      </c>
      <c r="C264" s="3">
        <f>'Instagram Ads Raw Data'!B264</f>
        <v>10679</v>
      </c>
      <c r="D264" s="3">
        <f t="shared" si="9"/>
        <v>1.4608109373536848E-2</v>
      </c>
      <c r="E264" s="3">
        <f>'Instagram Ads Raw Data'!C264</f>
        <v>156</v>
      </c>
      <c r="F264" s="15">
        <f t="shared" si="10"/>
        <v>2.0256410256410255</v>
      </c>
      <c r="G264" s="4">
        <f t="shared" si="11"/>
        <v>29.590785654087462</v>
      </c>
      <c r="H264" s="4">
        <f>'Instagram Ads Raw Data'!D264</f>
        <v>316</v>
      </c>
      <c r="I264" s="3">
        <f t="shared" si="12"/>
        <v>1.9230769230769232E-2</v>
      </c>
      <c r="J264" s="3">
        <f>'Instagram Ads Raw Data'!E264</f>
        <v>3</v>
      </c>
      <c r="K264" s="4">
        <f t="shared" si="13"/>
        <v>138</v>
      </c>
      <c r="L264" s="4">
        <f>'Instagram Ads Raw Data'!F264</f>
        <v>414</v>
      </c>
      <c r="M264" s="16">
        <f t="shared" si="14"/>
        <v>1.3101265822784811</v>
      </c>
      <c r="N264" s="17">
        <f t="shared" si="15"/>
        <v>105.33333333333333</v>
      </c>
    </row>
    <row r="265" spans="1:14" ht="13" x14ac:dyDescent="0.15">
      <c r="A265" s="2">
        <f>'Instagram Ads Raw Data'!A265</f>
        <v>45921</v>
      </c>
      <c r="B265" s="3">
        <f t="shared" si="8"/>
        <v>9</v>
      </c>
      <c r="C265" s="3">
        <f>'Instagram Ads Raw Data'!B265</f>
        <v>83585</v>
      </c>
      <c r="D265" s="3">
        <f t="shared" si="9"/>
        <v>1.7251899264222048E-2</v>
      </c>
      <c r="E265" s="3">
        <f>'Instagram Ads Raw Data'!C265</f>
        <v>1442</v>
      </c>
      <c r="F265" s="15">
        <f t="shared" si="10"/>
        <v>1.1851595006934812</v>
      </c>
      <c r="G265" s="4">
        <f t="shared" si="11"/>
        <v>20.446252317999644</v>
      </c>
      <c r="H265" s="4">
        <f>'Instagram Ads Raw Data'!D265</f>
        <v>1709</v>
      </c>
      <c r="I265" s="3">
        <f t="shared" si="12"/>
        <v>1.6643550624133148E-2</v>
      </c>
      <c r="J265" s="3">
        <f>'Instagram Ads Raw Data'!E265</f>
        <v>24</v>
      </c>
      <c r="K265" s="4">
        <f t="shared" si="13"/>
        <v>191</v>
      </c>
      <c r="L265" s="4">
        <f>'Instagram Ads Raw Data'!F265</f>
        <v>4584</v>
      </c>
      <c r="M265" s="16">
        <f t="shared" si="14"/>
        <v>2.6822703335283791</v>
      </c>
      <c r="N265" s="17">
        <f t="shared" si="15"/>
        <v>71.208333333333329</v>
      </c>
    </row>
    <row r="266" spans="1:14" ht="13" x14ac:dyDescent="0.15">
      <c r="A266" s="2">
        <f>'Instagram Ads Raw Data'!A266</f>
        <v>45922</v>
      </c>
      <c r="B266" s="3">
        <f t="shared" si="8"/>
        <v>9</v>
      </c>
      <c r="C266" s="3">
        <f>'Instagram Ads Raw Data'!B266</f>
        <v>85216</v>
      </c>
      <c r="D266" s="3">
        <f t="shared" si="9"/>
        <v>1.8928370259106271E-2</v>
      </c>
      <c r="E266" s="3">
        <f>'Instagram Ads Raw Data'!C266</f>
        <v>1613</v>
      </c>
      <c r="F266" s="15">
        <f t="shared" si="10"/>
        <v>1.8927464352138872</v>
      </c>
      <c r="G266" s="4">
        <f t="shared" si="11"/>
        <v>35.826605332331958</v>
      </c>
      <c r="H266" s="4">
        <f>'Instagram Ads Raw Data'!D266</f>
        <v>3053</v>
      </c>
      <c r="I266" s="3">
        <f t="shared" si="12"/>
        <v>1.9218846869187848E-2</v>
      </c>
      <c r="J266" s="3">
        <f>'Instagram Ads Raw Data'!E266</f>
        <v>31</v>
      </c>
      <c r="K266" s="4">
        <f t="shared" si="13"/>
        <v>201.64516129032259</v>
      </c>
      <c r="L266" s="4">
        <f>'Instagram Ads Raw Data'!F266</f>
        <v>6251</v>
      </c>
      <c r="M266" s="16">
        <f t="shared" si="14"/>
        <v>2.0474942679331805</v>
      </c>
      <c r="N266" s="17">
        <f t="shared" si="15"/>
        <v>98.483870967741936</v>
      </c>
    </row>
    <row r="267" spans="1:14" ht="13" x14ac:dyDescent="0.15">
      <c r="A267" s="2">
        <f>'Instagram Ads Raw Data'!A267</f>
        <v>45923</v>
      </c>
      <c r="B267" s="3">
        <f t="shared" si="8"/>
        <v>9</v>
      </c>
      <c r="C267" s="3">
        <f>'Instagram Ads Raw Data'!B267</f>
        <v>24444</v>
      </c>
      <c r="D267" s="3">
        <f t="shared" si="9"/>
        <v>2.9495990836197021E-2</v>
      </c>
      <c r="E267" s="3">
        <f>'Instagram Ads Raw Data'!C267</f>
        <v>721</v>
      </c>
      <c r="F267" s="15">
        <f t="shared" si="10"/>
        <v>1.4382801664355063</v>
      </c>
      <c r="G267" s="4">
        <f t="shared" si="11"/>
        <v>42.423498609065618</v>
      </c>
      <c r="H267" s="4">
        <f>'Instagram Ads Raw Data'!D267</f>
        <v>1037</v>
      </c>
      <c r="I267" s="3">
        <f t="shared" si="12"/>
        <v>1.3869625520110958E-2</v>
      </c>
      <c r="J267" s="3">
        <f>'Instagram Ads Raw Data'!E267</f>
        <v>10</v>
      </c>
      <c r="K267" s="4">
        <f t="shared" si="13"/>
        <v>217.9</v>
      </c>
      <c r="L267" s="4">
        <f>'Instagram Ads Raw Data'!F267</f>
        <v>2179</v>
      </c>
      <c r="M267" s="16">
        <f t="shared" si="14"/>
        <v>2.1012536162005784</v>
      </c>
      <c r="N267" s="17">
        <f t="shared" si="15"/>
        <v>103.7</v>
      </c>
    </row>
    <row r="268" spans="1:14" ht="13" x14ac:dyDescent="0.15">
      <c r="A268" s="2">
        <f>'Instagram Ads Raw Data'!A268</f>
        <v>45924</v>
      </c>
      <c r="B268" s="3">
        <f t="shared" si="8"/>
        <v>9</v>
      </c>
      <c r="C268" s="3">
        <f>'Instagram Ads Raw Data'!B268</f>
        <v>51143</v>
      </c>
      <c r="D268" s="3">
        <f t="shared" si="9"/>
        <v>3.3650743992335218E-2</v>
      </c>
      <c r="E268" s="3">
        <f>'Instagram Ads Raw Data'!C268</f>
        <v>1721</v>
      </c>
      <c r="F268" s="15">
        <f t="shared" si="10"/>
        <v>1.0825101685066822</v>
      </c>
      <c r="G268" s="4">
        <f t="shared" si="11"/>
        <v>36.427272549518015</v>
      </c>
      <c r="H268" s="4">
        <f>'Instagram Ads Raw Data'!D268</f>
        <v>1863</v>
      </c>
      <c r="I268" s="3">
        <f t="shared" si="12"/>
        <v>2.1499128413712959E-2</v>
      </c>
      <c r="J268" s="3">
        <f>'Instagram Ads Raw Data'!E268</f>
        <v>37</v>
      </c>
      <c r="K268" s="4">
        <f t="shared" si="13"/>
        <v>108.13513513513513</v>
      </c>
      <c r="L268" s="4">
        <f>'Instagram Ads Raw Data'!F268</f>
        <v>4001</v>
      </c>
      <c r="M268" s="16">
        <f t="shared" si="14"/>
        <v>2.1476113794954377</v>
      </c>
      <c r="N268" s="17">
        <f t="shared" si="15"/>
        <v>50.351351351351354</v>
      </c>
    </row>
    <row r="269" spans="1:14" ht="13" x14ac:dyDescent="0.15">
      <c r="A269" s="2">
        <f>'Instagram Ads Raw Data'!A269</f>
        <v>45925</v>
      </c>
      <c r="B269" s="3">
        <f t="shared" si="8"/>
        <v>9</v>
      </c>
      <c r="C269" s="3">
        <f>'Instagram Ads Raw Data'!B269</f>
        <v>66440</v>
      </c>
      <c r="D269" s="3">
        <f t="shared" si="9"/>
        <v>1.3064419024683926E-2</v>
      </c>
      <c r="E269" s="3">
        <f>'Instagram Ads Raw Data'!C269</f>
        <v>868</v>
      </c>
      <c r="F269" s="15">
        <f t="shared" si="10"/>
        <v>1.9642857142857142</v>
      </c>
      <c r="G269" s="4">
        <f t="shared" si="11"/>
        <v>25.662251655629142</v>
      </c>
      <c r="H269" s="4">
        <f>'Instagram Ads Raw Data'!D269</f>
        <v>1705</v>
      </c>
      <c r="I269" s="3">
        <f t="shared" si="12"/>
        <v>1.4976958525345621E-2</v>
      </c>
      <c r="J269" s="3">
        <f>'Instagram Ads Raw Data'!E269</f>
        <v>13</v>
      </c>
      <c r="K269" s="4">
        <f t="shared" si="13"/>
        <v>122</v>
      </c>
      <c r="L269" s="4">
        <f>'Instagram Ads Raw Data'!F269</f>
        <v>1586</v>
      </c>
      <c r="M269" s="16">
        <f t="shared" si="14"/>
        <v>0.93020527859237534</v>
      </c>
      <c r="N269" s="17">
        <f t="shared" si="15"/>
        <v>131.15384615384616</v>
      </c>
    </row>
    <row r="270" spans="1:14" ht="13" x14ac:dyDescent="0.15">
      <c r="A270" s="2">
        <f>'Instagram Ads Raw Data'!A270</f>
        <v>45926</v>
      </c>
      <c r="B270" s="3">
        <f t="shared" si="8"/>
        <v>9</v>
      </c>
      <c r="C270" s="3">
        <f>'Instagram Ads Raw Data'!B270</f>
        <v>65236</v>
      </c>
      <c r="D270" s="3">
        <f t="shared" si="9"/>
        <v>2.4602979949721014E-2</v>
      </c>
      <c r="E270" s="3">
        <f>'Instagram Ads Raw Data'!C270</f>
        <v>1605</v>
      </c>
      <c r="F270" s="15">
        <f t="shared" si="10"/>
        <v>1.6168224299065421</v>
      </c>
      <c r="G270" s="4">
        <f t="shared" si="11"/>
        <v>39.778649825249857</v>
      </c>
      <c r="H270" s="4">
        <f>'Instagram Ads Raw Data'!D270</f>
        <v>2595</v>
      </c>
      <c r="I270" s="3">
        <f t="shared" si="12"/>
        <v>2.3052959501557634E-2</v>
      </c>
      <c r="J270" s="3">
        <f>'Instagram Ads Raw Data'!E270</f>
        <v>37</v>
      </c>
      <c r="K270" s="4">
        <f t="shared" si="13"/>
        <v>166.35135135135135</v>
      </c>
      <c r="L270" s="4">
        <f>'Instagram Ads Raw Data'!F270</f>
        <v>6155</v>
      </c>
      <c r="M270" s="16">
        <f t="shared" si="14"/>
        <v>2.371868978805395</v>
      </c>
      <c r="N270" s="17">
        <f t="shared" si="15"/>
        <v>70.13513513513513</v>
      </c>
    </row>
    <row r="271" spans="1:14" ht="13" x14ac:dyDescent="0.15">
      <c r="A271" s="2">
        <f>'Instagram Ads Raw Data'!A271</f>
        <v>45927</v>
      </c>
      <c r="B271" s="3">
        <f t="shared" si="8"/>
        <v>9</v>
      </c>
      <c r="C271" s="3">
        <f>'Instagram Ads Raw Data'!B271</f>
        <v>43894</v>
      </c>
      <c r="D271" s="3">
        <f t="shared" si="9"/>
        <v>1.4307194605185218E-2</v>
      </c>
      <c r="E271" s="3">
        <f>'Instagram Ads Raw Data'!C271</f>
        <v>628</v>
      </c>
      <c r="F271" s="15">
        <f t="shared" si="10"/>
        <v>1.5031847133757963</v>
      </c>
      <c r="G271" s="4">
        <f t="shared" si="11"/>
        <v>21.506356221807081</v>
      </c>
      <c r="H271" s="4">
        <f>'Instagram Ads Raw Data'!D271</f>
        <v>944</v>
      </c>
      <c r="I271" s="3">
        <f t="shared" si="12"/>
        <v>2.0700636942675158E-2</v>
      </c>
      <c r="J271" s="3">
        <f>'Instagram Ads Raw Data'!E271</f>
        <v>13</v>
      </c>
      <c r="K271" s="4">
        <f t="shared" si="13"/>
        <v>196.07692307692307</v>
      </c>
      <c r="L271" s="4">
        <f>'Instagram Ads Raw Data'!F271</f>
        <v>2549</v>
      </c>
      <c r="M271" s="16">
        <f t="shared" si="14"/>
        <v>2.7002118644067798</v>
      </c>
      <c r="N271" s="17">
        <f t="shared" si="15"/>
        <v>72.615384615384613</v>
      </c>
    </row>
    <row r="272" spans="1:14" ht="13" x14ac:dyDescent="0.15">
      <c r="A272" s="2">
        <f>'Instagram Ads Raw Data'!A272</f>
        <v>45928</v>
      </c>
      <c r="B272" s="3">
        <f t="shared" si="8"/>
        <v>9</v>
      </c>
      <c r="C272" s="3">
        <f>'Instagram Ads Raw Data'!B272</f>
        <v>14553</v>
      </c>
      <c r="D272" s="3">
        <f t="shared" si="9"/>
        <v>1.5666872809729952E-2</v>
      </c>
      <c r="E272" s="3">
        <f>'Instagram Ads Raw Data'!C272</f>
        <v>228</v>
      </c>
      <c r="F272" s="15">
        <f t="shared" si="10"/>
        <v>1.1929824561403508</v>
      </c>
      <c r="G272" s="4">
        <f t="shared" si="11"/>
        <v>18.690304404590119</v>
      </c>
      <c r="H272" s="4">
        <f>'Instagram Ads Raw Data'!D272</f>
        <v>272</v>
      </c>
      <c r="I272" s="3">
        <f t="shared" si="12"/>
        <v>2.1929824561403508E-2</v>
      </c>
      <c r="J272" s="3">
        <f>'Instagram Ads Raw Data'!E272</f>
        <v>5</v>
      </c>
      <c r="K272" s="4">
        <f t="shared" si="13"/>
        <v>118.6</v>
      </c>
      <c r="L272" s="4">
        <f>'Instagram Ads Raw Data'!F272</f>
        <v>593</v>
      </c>
      <c r="M272" s="16">
        <f t="shared" si="14"/>
        <v>2.1801470588235294</v>
      </c>
      <c r="N272" s="17">
        <f t="shared" si="15"/>
        <v>54.4</v>
      </c>
    </row>
    <row r="273" spans="1:14" ht="13" x14ac:dyDescent="0.15">
      <c r="A273" s="2">
        <f>'Instagram Ads Raw Data'!A273</f>
        <v>45929</v>
      </c>
      <c r="B273" s="3">
        <f t="shared" si="8"/>
        <v>9</v>
      </c>
      <c r="C273" s="3">
        <f>'Instagram Ads Raw Data'!B273</f>
        <v>28284</v>
      </c>
      <c r="D273" s="3">
        <f t="shared" si="9"/>
        <v>2.6233913166454532E-2</v>
      </c>
      <c r="E273" s="3">
        <f>'Instagram Ads Raw Data'!C273</f>
        <v>742</v>
      </c>
      <c r="F273" s="15">
        <f t="shared" si="10"/>
        <v>1.3463611859838276</v>
      </c>
      <c r="G273" s="4">
        <f t="shared" si="11"/>
        <v>35.32032244378447</v>
      </c>
      <c r="H273" s="4">
        <f>'Instagram Ads Raw Data'!D273</f>
        <v>999</v>
      </c>
      <c r="I273" s="3">
        <f t="shared" si="12"/>
        <v>1.4824797843665768E-2</v>
      </c>
      <c r="J273" s="3">
        <f>'Instagram Ads Raw Data'!E273</f>
        <v>11</v>
      </c>
      <c r="K273" s="4">
        <f t="shared" si="13"/>
        <v>124.27272727272727</v>
      </c>
      <c r="L273" s="4">
        <f>'Instagram Ads Raw Data'!F273</f>
        <v>1367</v>
      </c>
      <c r="M273" s="16">
        <f t="shared" si="14"/>
        <v>1.3683683683683683</v>
      </c>
      <c r="N273" s="17">
        <f t="shared" si="15"/>
        <v>90.818181818181813</v>
      </c>
    </row>
    <row r="274" spans="1:14" ht="13" x14ac:dyDescent="0.15">
      <c r="A274" s="2">
        <f>'Instagram Ads Raw Data'!A274</f>
        <v>45930</v>
      </c>
      <c r="B274" s="3">
        <f t="shared" si="8"/>
        <v>9</v>
      </c>
      <c r="C274" s="3">
        <f>'Instagram Ads Raw Data'!B274</f>
        <v>42083</v>
      </c>
      <c r="D274" s="3">
        <f t="shared" si="9"/>
        <v>2.471306703419433E-2</v>
      </c>
      <c r="E274" s="3">
        <f>'Instagram Ads Raw Data'!C274</f>
        <v>1040</v>
      </c>
      <c r="F274" s="15">
        <f t="shared" si="10"/>
        <v>1.5528846153846154</v>
      </c>
      <c r="G274" s="4">
        <f t="shared" si="11"/>
        <v>38.37654159636908</v>
      </c>
      <c r="H274" s="4">
        <f>'Instagram Ads Raw Data'!D274</f>
        <v>1615</v>
      </c>
      <c r="I274" s="3">
        <f t="shared" si="12"/>
        <v>1.826923076923077E-2</v>
      </c>
      <c r="J274" s="3">
        <f>'Instagram Ads Raw Data'!E274</f>
        <v>19</v>
      </c>
      <c r="K274" s="4">
        <f t="shared" si="13"/>
        <v>112.68421052631579</v>
      </c>
      <c r="L274" s="4">
        <f>'Instagram Ads Raw Data'!F274</f>
        <v>2141</v>
      </c>
      <c r="M274" s="16">
        <f t="shared" si="14"/>
        <v>1.3256965944272445</v>
      </c>
      <c r="N274" s="17">
        <f t="shared" si="15"/>
        <v>85</v>
      </c>
    </row>
    <row r="275" spans="1:14" ht="13" x14ac:dyDescent="0.15">
      <c r="A275" s="2">
        <f>'Instagram Ads Raw Data'!A275</f>
        <v>45931</v>
      </c>
      <c r="B275" s="3">
        <f t="shared" si="8"/>
        <v>10</v>
      </c>
      <c r="C275" s="3">
        <f>'Instagram Ads Raw Data'!B275</f>
        <v>61042</v>
      </c>
      <c r="D275" s="3">
        <f t="shared" si="9"/>
        <v>2.7374594541463255E-2</v>
      </c>
      <c r="E275" s="3">
        <f>'Instagram Ads Raw Data'!C275</f>
        <v>1671</v>
      </c>
      <c r="F275" s="15">
        <f t="shared" si="10"/>
        <v>1.6050269299820468</v>
      </c>
      <c r="G275" s="4">
        <f t="shared" si="11"/>
        <v>43.93696143638806</v>
      </c>
      <c r="H275" s="4">
        <f>'Instagram Ads Raw Data'!D275</f>
        <v>2682</v>
      </c>
      <c r="I275" s="3">
        <f t="shared" si="12"/>
        <v>1.7953321364452424E-2</v>
      </c>
      <c r="J275" s="3">
        <f>'Instagram Ads Raw Data'!E275</f>
        <v>30</v>
      </c>
      <c r="K275" s="4">
        <f t="shared" si="13"/>
        <v>204.36666666666667</v>
      </c>
      <c r="L275" s="4">
        <f>'Instagram Ads Raw Data'!F275</f>
        <v>6131</v>
      </c>
      <c r="M275" s="16">
        <f t="shared" si="14"/>
        <v>2.2859806114839674</v>
      </c>
      <c r="N275" s="17">
        <f t="shared" si="15"/>
        <v>89.4</v>
      </c>
    </row>
    <row r="276" spans="1:14" ht="13" x14ac:dyDescent="0.15">
      <c r="A276" s="2">
        <f>'Instagram Ads Raw Data'!A276</f>
        <v>45932</v>
      </c>
      <c r="B276" s="3">
        <f t="shared" si="8"/>
        <v>10</v>
      </c>
      <c r="C276" s="3">
        <f>'Instagram Ads Raw Data'!B276</f>
        <v>76058</v>
      </c>
      <c r="D276" s="3">
        <f t="shared" si="9"/>
        <v>3.1042099450419417E-2</v>
      </c>
      <c r="E276" s="3">
        <f>'Instagram Ads Raw Data'!C276</f>
        <v>2361</v>
      </c>
      <c r="F276" s="15">
        <f t="shared" si="10"/>
        <v>1.4256670902160102</v>
      </c>
      <c r="G276" s="4">
        <f t="shared" si="11"/>
        <v>44.255699597675452</v>
      </c>
      <c r="H276" s="4">
        <f>'Instagram Ads Raw Data'!D276</f>
        <v>3366</v>
      </c>
      <c r="I276" s="3">
        <f t="shared" si="12"/>
        <v>2.0753917831427361E-2</v>
      </c>
      <c r="J276" s="3">
        <f>'Instagram Ads Raw Data'!E276</f>
        <v>49</v>
      </c>
      <c r="K276" s="4">
        <f t="shared" si="13"/>
        <v>100.34693877551021</v>
      </c>
      <c r="L276" s="4">
        <f>'Instagram Ads Raw Data'!F276</f>
        <v>4917</v>
      </c>
      <c r="M276" s="16">
        <f t="shared" si="14"/>
        <v>1.4607843137254901</v>
      </c>
      <c r="N276" s="17">
        <f t="shared" si="15"/>
        <v>68.693877551020407</v>
      </c>
    </row>
    <row r="277" spans="1:14" ht="13" x14ac:dyDescent="0.15">
      <c r="A277" s="2">
        <f>'Instagram Ads Raw Data'!A277</f>
        <v>45933</v>
      </c>
      <c r="B277" s="3">
        <f t="shared" si="8"/>
        <v>10</v>
      </c>
      <c r="C277" s="3">
        <f>'Instagram Ads Raw Data'!B277</f>
        <v>92404</v>
      </c>
      <c r="D277" s="3">
        <f t="shared" si="9"/>
        <v>1.9490498246829142E-2</v>
      </c>
      <c r="E277" s="3">
        <f>'Instagram Ads Raw Data'!C277</f>
        <v>1801</v>
      </c>
      <c r="F277" s="15">
        <f t="shared" si="10"/>
        <v>1.036646307606885</v>
      </c>
      <c r="G277" s="4">
        <f t="shared" si="11"/>
        <v>20.204753040993896</v>
      </c>
      <c r="H277" s="4">
        <f>'Instagram Ads Raw Data'!D277</f>
        <v>1867</v>
      </c>
      <c r="I277" s="3">
        <f t="shared" si="12"/>
        <v>2.2209883398112161E-2</v>
      </c>
      <c r="J277" s="3">
        <f>'Instagram Ads Raw Data'!E277</f>
        <v>40</v>
      </c>
      <c r="K277" s="4">
        <f t="shared" si="13"/>
        <v>184.17500000000001</v>
      </c>
      <c r="L277" s="4">
        <f>'Instagram Ads Raw Data'!F277</f>
        <v>7367</v>
      </c>
      <c r="M277" s="16">
        <f t="shared" si="14"/>
        <v>3.9459025174076059</v>
      </c>
      <c r="N277" s="17">
        <f t="shared" si="15"/>
        <v>46.674999999999997</v>
      </c>
    </row>
    <row r="278" spans="1:14" ht="13" x14ac:dyDescent="0.15">
      <c r="A278" s="2">
        <f>'Instagram Ads Raw Data'!A278</f>
        <v>45934</v>
      </c>
      <c r="B278" s="3">
        <f t="shared" si="8"/>
        <v>10</v>
      </c>
      <c r="C278" s="3">
        <f>'Instagram Ads Raw Data'!B278</f>
        <v>87773</v>
      </c>
      <c r="D278" s="3">
        <f t="shared" si="9"/>
        <v>1.6588244676608979E-2</v>
      </c>
      <c r="E278" s="3">
        <f>'Instagram Ads Raw Data'!C278</f>
        <v>1456</v>
      </c>
      <c r="F278" s="15">
        <f t="shared" si="10"/>
        <v>1.4972527472527473</v>
      </c>
      <c r="G278" s="4">
        <f t="shared" si="11"/>
        <v>24.836794914153558</v>
      </c>
      <c r="H278" s="4">
        <f>'Instagram Ads Raw Data'!D278</f>
        <v>2180</v>
      </c>
      <c r="I278" s="3">
        <f t="shared" si="12"/>
        <v>2.5412087912087912E-2</v>
      </c>
      <c r="J278" s="3">
        <f>'Instagram Ads Raw Data'!E278</f>
        <v>37</v>
      </c>
      <c r="K278" s="4">
        <f t="shared" si="13"/>
        <v>194.70270270270271</v>
      </c>
      <c r="L278" s="4">
        <f>'Instagram Ads Raw Data'!F278</f>
        <v>7204</v>
      </c>
      <c r="M278" s="16">
        <f t="shared" si="14"/>
        <v>3.3045871559633029</v>
      </c>
      <c r="N278" s="17">
        <f t="shared" si="15"/>
        <v>58.918918918918919</v>
      </c>
    </row>
    <row r="279" spans="1:14" ht="13" x14ac:dyDescent="0.15">
      <c r="A279" s="2">
        <f>'Instagram Ads Raw Data'!A279</f>
        <v>45935</v>
      </c>
      <c r="B279" s="3">
        <f t="shared" si="8"/>
        <v>10</v>
      </c>
      <c r="C279" s="3">
        <f>'Instagram Ads Raw Data'!B279</f>
        <v>45616</v>
      </c>
      <c r="D279" s="3">
        <f t="shared" si="9"/>
        <v>1.8326902841108383E-2</v>
      </c>
      <c r="E279" s="3">
        <f>'Instagram Ads Raw Data'!C279</f>
        <v>836</v>
      </c>
      <c r="F279" s="15">
        <f t="shared" si="10"/>
        <v>1.5</v>
      </c>
      <c r="G279" s="4">
        <f t="shared" si="11"/>
        <v>27.490354261662574</v>
      </c>
      <c r="H279" s="4">
        <f>'Instagram Ads Raw Data'!D279</f>
        <v>1254</v>
      </c>
      <c r="I279" s="3">
        <f t="shared" si="12"/>
        <v>1.7942583732057416E-2</v>
      </c>
      <c r="J279" s="3">
        <f>'Instagram Ads Raw Data'!E279</f>
        <v>15</v>
      </c>
      <c r="K279" s="4">
        <f t="shared" si="13"/>
        <v>146.19999999999999</v>
      </c>
      <c r="L279" s="4">
        <f>'Instagram Ads Raw Data'!F279</f>
        <v>2193</v>
      </c>
      <c r="M279" s="16">
        <f t="shared" si="14"/>
        <v>1.7488038277511961</v>
      </c>
      <c r="N279" s="17">
        <f t="shared" si="15"/>
        <v>83.6</v>
      </c>
    </row>
    <row r="280" spans="1:14" ht="13" x14ac:dyDescent="0.15">
      <c r="A280" s="2">
        <f>'Instagram Ads Raw Data'!A280</f>
        <v>45936</v>
      </c>
      <c r="B280" s="3">
        <f t="shared" si="8"/>
        <v>10</v>
      </c>
      <c r="C280" s="3">
        <f>'Instagram Ads Raw Data'!B280</f>
        <v>51574</v>
      </c>
      <c r="D280" s="3">
        <f t="shared" si="9"/>
        <v>2.5671850157055882E-2</v>
      </c>
      <c r="E280" s="3">
        <f>'Instagram Ads Raw Data'!C280</f>
        <v>1324</v>
      </c>
      <c r="F280" s="15">
        <f t="shared" si="10"/>
        <v>1.7726586102719033</v>
      </c>
      <c r="G280" s="4">
        <f t="shared" si="11"/>
        <v>45.507426222515221</v>
      </c>
      <c r="H280" s="4">
        <f>'Instagram Ads Raw Data'!D280</f>
        <v>2347</v>
      </c>
      <c r="I280" s="3">
        <f t="shared" si="12"/>
        <v>1.6616314199395771E-2</v>
      </c>
      <c r="J280" s="3">
        <f>'Instagram Ads Raw Data'!E280</f>
        <v>22</v>
      </c>
      <c r="K280" s="4">
        <f t="shared" si="13"/>
        <v>179.59090909090909</v>
      </c>
      <c r="L280" s="4">
        <f>'Instagram Ads Raw Data'!F280</f>
        <v>3951</v>
      </c>
      <c r="M280" s="16">
        <f t="shared" si="14"/>
        <v>1.6834256497656583</v>
      </c>
      <c r="N280" s="17">
        <f t="shared" si="15"/>
        <v>106.68181818181819</v>
      </c>
    </row>
    <row r="281" spans="1:14" ht="13" x14ac:dyDescent="0.15">
      <c r="A281" s="2">
        <f>'Instagram Ads Raw Data'!A281</f>
        <v>45937</v>
      </c>
      <c r="B281" s="3">
        <f t="shared" si="8"/>
        <v>10</v>
      </c>
      <c r="C281" s="3">
        <f>'Instagram Ads Raw Data'!B281</f>
        <v>19918</v>
      </c>
      <c r="D281" s="3">
        <f t="shared" si="9"/>
        <v>2.0283160959935737E-2</v>
      </c>
      <c r="E281" s="3">
        <f>'Instagram Ads Raw Data'!C281</f>
        <v>404</v>
      </c>
      <c r="F281" s="15">
        <f t="shared" si="10"/>
        <v>1.2079207920792079</v>
      </c>
      <c r="G281" s="4">
        <f t="shared" si="11"/>
        <v>24.500451852595642</v>
      </c>
      <c r="H281" s="4">
        <f>'Instagram Ads Raw Data'!D281</f>
        <v>488</v>
      </c>
      <c r="I281" s="3">
        <f t="shared" si="12"/>
        <v>1.2376237623762377E-2</v>
      </c>
      <c r="J281" s="3">
        <f>'Instagram Ads Raw Data'!E281</f>
        <v>5</v>
      </c>
      <c r="K281" s="4">
        <f t="shared" si="13"/>
        <v>205.8</v>
      </c>
      <c r="L281" s="4">
        <f>'Instagram Ads Raw Data'!F281</f>
        <v>1029</v>
      </c>
      <c r="M281" s="16">
        <f t="shared" si="14"/>
        <v>2.1086065573770494</v>
      </c>
      <c r="N281" s="17">
        <f t="shared" si="15"/>
        <v>97.6</v>
      </c>
    </row>
    <row r="282" spans="1:14" ht="13" x14ac:dyDescent="0.15">
      <c r="A282" s="2">
        <f>'Instagram Ads Raw Data'!A282</f>
        <v>45938</v>
      </c>
      <c r="B282" s="3">
        <f t="shared" si="8"/>
        <v>10</v>
      </c>
      <c r="C282" s="3">
        <f>'Instagram Ads Raw Data'!B282</f>
        <v>91666</v>
      </c>
      <c r="D282" s="3">
        <f t="shared" si="9"/>
        <v>1.9887417363035367E-2</v>
      </c>
      <c r="E282" s="3">
        <f>'Instagram Ads Raw Data'!C282</f>
        <v>1823</v>
      </c>
      <c r="F282" s="15">
        <f t="shared" si="10"/>
        <v>1.8239166209544706</v>
      </c>
      <c r="G282" s="4">
        <f t="shared" si="11"/>
        <v>36.272991076298737</v>
      </c>
      <c r="H282" s="4">
        <f>'Instagram Ads Raw Data'!D282</f>
        <v>3325</v>
      </c>
      <c r="I282" s="3">
        <f t="shared" si="12"/>
        <v>2.1393307734503566E-2</v>
      </c>
      <c r="J282" s="3">
        <f>'Instagram Ads Raw Data'!E282</f>
        <v>39</v>
      </c>
      <c r="K282" s="4">
        <f t="shared" si="13"/>
        <v>131.46153846153845</v>
      </c>
      <c r="L282" s="4">
        <f>'Instagram Ads Raw Data'!F282</f>
        <v>5127</v>
      </c>
      <c r="M282" s="16">
        <f t="shared" si="14"/>
        <v>1.5419548872180451</v>
      </c>
      <c r="N282" s="17">
        <f t="shared" si="15"/>
        <v>85.256410256410263</v>
      </c>
    </row>
    <row r="283" spans="1:14" ht="13" x14ac:dyDescent="0.15">
      <c r="A283" s="2">
        <f>'Instagram Ads Raw Data'!A283</f>
        <v>45939</v>
      </c>
      <c r="B283" s="3">
        <f t="shared" si="8"/>
        <v>10</v>
      </c>
      <c r="C283" s="3">
        <f>'Instagram Ads Raw Data'!B283</f>
        <v>61157</v>
      </c>
      <c r="D283" s="3">
        <f t="shared" si="9"/>
        <v>1.8509737233677256E-2</v>
      </c>
      <c r="E283" s="3">
        <f>'Instagram Ads Raw Data'!C283</f>
        <v>1132</v>
      </c>
      <c r="F283" s="15">
        <f t="shared" si="10"/>
        <v>1.2482332155477032</v>
      </c>
      <c r="G283" s="4">
        <f t="shared" si="11"/>
        <v>23.104468826136014</v>
      </c>
      <c r="H283" s="4">
        <f>'Instagram Ads Raw Data'!D283</f>
        <v>1413</v>
      </c>
      <c r="I283" s="3">
        <f t="shared" si="12"/>
        <v>1.3250883392226149E-2</v>
      </c>
      <c r="J283" s="3">
        <f>'Instagram Ads Raw Data'!E283</f>
        <v>15</v>
      </c>
      <c r="K283" s="4">
        <f t="shared" si="13"/>
        <v>172.33333333333334</v>
      </c>
      <c r="L283" s="4">
        <f>'Instagram Ads Raw Data'!F283</f>
        <v>2585</v>
      </c>
      <c r="M283" s="16">
        <f t="shared" si="14"/>
        <v>1.8294409058740269</v>
      </c>
      <c r="N283" s="17">
        <f t="shared" si="15"/>
        <v>94.2</v>
      </c>
    </row>
    <row r="284" spans="1:14" ht="13" x14ac:dyDescent="0.15">
      <c r="A284" s="2">
        <f>'Instagram Ads Raw Data'!A284</f>
        <v>45940</v>
      </c>
      <c r="B284" s="3">
        <f t="shared" si="8"/>
        <v>10</v>
      </c>
      <c r="C284" s="3">
        <f>'Instagram Ads Raw Data'!B284</f>
        <v>82264</v>
      </c>
      <c r="D284" s="3">
        <f t="shared" si="9"/>
        <v>1.7601867159389283E-2</v>
      </c>
      <c r="E284" s="3">
        <f>'Instagram Ads Raw Data'!C284</f>
        <v>1448</v>
      </c>
      <c r="F284" s="15">
        <f t="shared" si="10"/>
        <v>1.2209944751381216</v>
      </c>
      <c r="G284" s="4">
        <f t="shared" si="11"/>
        <v>21.491782553729458</v>
      </c>
      <c r="H284" s="4">
        <f>'Instagram Ads Raw Data'!D284</f>
        <v>1768</v>
      </c>
      <c r="I284" s="3">
        <f t="shared" si="12"/>
        <v>2.6933701657458564E-2</v>
      </c>
      <c r="J284" s="3">
        <f>'Instagram Ads Raw Data'!E284</f>
        <v>39</v>
      </c>
      <c r="K284" s="4">
        <f t="shared" si="13"/>
        <v>126.17948717948718</v>
      </c>
      <c r="L284" s="4">
        <f>'Instagram Ads Raw Data'!F284</f>
        <v>4921</v>
      </c>
      <c r="M284" s="16">
        <f t="shared" si="14"/>
        <v>2.7833710407239818</v>
      </c>
      <c r="N284" s="17">
        <f t="shared" si="15"/>
        <v>45.333333333333336</v>
      </c>
    </row>
    <row r="285" spans="1:14" ht="13" x14ac:dyDescent="0.15">
      <c r="A285" s="2">
        <f>'Instagram Ads Raw Data'!A285</f>
        <v>45941</v>
      </c>
      <c r="B285" s="3">
        <f t="shared" si="8"/>
        <v>10</v>
      </c>
      <c r="C285" s="3">
        <f>'Instagram Ads Raw Data'!B285</f>
        <v>65303</v>
      </c>
      <c r="D285" s="3">
        <f t="shared" si="9"/>
        <v>1.6017640843452828E-2</v>
      </c>
      <c r="E285" s="3">
        <f>'Instagram Ads Raw Data'!C285</f>
        <v>1046</v>
      </c>
      <c r="F285" s="15">
        <f t="shared" si="10"/>
        <v>1.4435946462715106</v>
      </c>
      <c r="G285" s="4">
        <f t="shared" si="11"/>
        <v>23.122980567508385</v>
      </c>
      <c r="H285" s="4">
        <f>'Instagram Ads Raw Data'!D285</f>
        <v>1510</v>
      </c>
      <c r="I285" s="3">
        <f t="shared" si="12"/>
        <v>1.8164435946462717E-2</v>
      </c>
      <c r="J285" s="3">
        <f>'Instagram Ads Raw Data'!E285</f>
        <v>19</v>
      </c>
      <c r="K285" s="4">
        <f t="shared" si="13"/>
        <v>130</v>
      </c>
      <c r="L285" s="4">
        <f>'Instagram Ads Raw Data'!F285</f>
        <v>2470</v>
      </c>
      <c r="M285" s="16">
        <f t="shared" si="14"/>
        <v>1.6357615894039734</v>
      </c>
      <c r="N285" s="17">
        <f t="shared" si="15"/>
        <v>79.473684210526315</v>
      </c>
    </row>
    <row r="286" spans="1:14" ht="13" x14ac:dyDescent="0.15">
      <c r="A286" s="2">
        <f>'Instagram Ads Raw Data'!A286</f>
        <v>45942</v>
      </c>
      <c r="B286" s="3">
        <f t="shared" si="8"/>
        <v>10</v>
      </c>
      <c r="C286" s="3">
        <f>'Instagram Ads Raw Data'!B286</f>
        <v>18331</v>
      </c>
      <c r="D286" s="3">
        <f t="shared" si="9"/>
        <v>1.352899459931264E-2</v>
      </c>
      <c r="E286" s="3">
        <f>'Instagram Ads Raw Data'!C286</f>
        <v>248</v>
      </c>
      <c r="F286" s="15">
        <f t="shared" si="10"/>
        <v>1.0362903225806452</v>
      </c>
      <c r="G286" s="4">
        <f t="shared" si="11"/>
        <v>14.019966177513503</v>
      </c>
      <c r="H286" s="4">
        <f>'Instagram Ads Raw Data'!D286</f>
        <v>257</v>
      </c>
      <c r="I286" s="3">
        <f t="shared" si="12"/>
        <v>1.2096774193548387E-2</v>
      </c>
      <c r="J286" s="3">
        <f>'Instagram Ads Raw Data'!E286</f>
        <v>3</v>
      </c>
      <c r="K286" s="4">
        <f t="shared" si="13"/>
        <v>169.33333333333334</v>
      </c>
      <c r="L286" s="4">
        <f>'Instagram Ads Raw Data'!F286</f>
        <v>508</v>
      </c>
      <c r="M286" s="16">
        <f t="shared" si="14"/>
        <v>1.9766536964980546</v>
      </c>
      <c r="N286" s="17">
        <f t="shared" si="15"/>
        <v>85.666666666666671</v>
      </c>
    </row>
    <row r="287" spans="1:14" ht="13" x14ac:dyDescent="0.15">
      <c r="A287" s="2">
        <f>'Instagram Ads Raw Data'!A287</f>
        <v>45943</v>
      </c>
      <c r="B287" s="3">
        <f t="shared" si="8"/>
        <v>10</v>
      </c>
      <c r="C287" s="3">
        <f>'Instagram Ads Raw Data'!B287</f>
        <v>91113</v>
      </c>
      <c r="D287" s="3">
        <f t="shared" si="9"/>
        <v>2.9743285809928331E-2</v>
      </c>
      <c r="E287" s="3">
        <f>'Instagram Ads Raw Data'!C287</f>
        <v>2710</v>
      </c>
      <c r="F287" s="15">
        <f t="shared" si="10"/>
        <v>0.91476014760147606</v>
      </c>
      <c r="G287" s="4">
        <f t="shared" si="11"/>
        <v>27.207972517642926</v>
      </c>
      <c r="H287" s="4">
        <f>'Instagram Ads Raw Data'!D287</f>
        <v>2479</v>
      </c>
      <c r="I287" s="3">
        <f t="shared" si="12"/>
        <v>1.9926199261992621E-2</v>
      </c>
      <c r="J287" s="3">
        <f>'Instagram Ads Raw Data'!E287</f>
        <v>54</v>
      </c>
      <c r="K287" s="4">
        <f t="shared" si="13"/>
        <v>109.31481481481481</v>
      </c>
      <c r="L287" s="4">
        <f>'Instagram Ads Raw Data'!F287</f>
        <v>5903</v>
      </c>
      <c r="M287" s="16">
        <f t="shared" si="14"/>
        <v>2.3812020976200081</v>
      </c>
      <c r="N287" s="17">
        <f t="shared" si="15"/>
        <v>45.907407407407405</v>
      </c>
    </row>
    <row r="288" spans="1:14" ht="13" x14ac:dyDescent="0.15">
      <c r="A288" s="2">
        <f>'Instagram Ads Raw Data'!A288</f>
        <v>45944</v>
      </c>
      <c r="B288" s="3">
        <f t="shared" si="8"/>
        <v>10</v>
      </c>
      <c r="C288" s="3">
        <f>'Instagram Ads Raw Data'!B288</f>
        <v>35818</v>
      </c>
      <c r="D288" s="3">
        <f t="shared" si="9"/>
        <v>2.5601652800268021E-2</v>
      </c>
      <c r="E288" s="3">
        <f>'Instagram Ads Raw Data'!C288</f>
        <v>917</v>
      </c>
      <c r="F288" s="15">
        <f t="shared" si="10"/>
        <v>1.5823336968375137</v>
      </c>
      <c r="G288" s="4">
        <f t="shared" si="11"/>
        <v>40.510357920598587</v>
      </c>
      <c r="H288" s="4">
        <f>'Instagram Ads Raw Data'!D288</f>
        <v>1451</v>
      </c>
      <c r="I288" s="3">
        <f t="shared" si="12"/>
        <v>1.6357688113413305E-2</v>
      </c>
      <c r="J288" s="3">
        <f>'Instagram Ads Raw Data'!E288</f>
        <v>15</v>
      </c>
      <c r="K288" s="4">
        <f t="shared" si="13"/>
        <v>159.73333333333332</v>
      </c>
      <c r="L288" s="4">
        <f>'Instagram Ads Raw Data'!F288</f>
        <v>2396</v>
      </c>
      <c r="M288" s="16">
        <f t="shared" si="14"/>
        <v>1.6512749827705031</v>
      </c>
      <c r="N288" s="17">
        <f t="shared" si="15"/>
        <v>96.733333333333334</v>
      </c>
    </row>
    <row r="289" spans="1:14" ht="13" x14ac:dyDescent="0.15">
      <c r="A289" s="2">
        <f>'Instagram Ads Raw Data'!A289</f>
        <v>45945</v>
      </c>
      <c r="B289" s="3">
        <f t="shared" si="8"/>
        <v>10</v>
      </c>
      <c r="C289" s="3">
        <f>'Instagram Ads Raw Data'!B289</f>
        <v>53530</v>
      </c>
      <c r="D289" s="3">
        <f t="shared" si="9"/>
        <v>2.0605268073977209E-2</v>
      </c>
      <c r="E289" s="3">
        <f>'Instagram Ads Raw Data'!C289</f>
        <v>1103</v>
      </c>
      <c r="F289" s="15">
        <f t="shared" si="10"/>
        <v>1.4732547597461469</v>
      </c>
      <c r="G289" s="4">
        <f t="shared" si="11"/>
        <v>30.356809265832243</v>
      </c>
      <c r="H289" s="4">
        <f>'Instagram Ads Raw Data'!D289</f>
        <v>1625</v>
      </c>
      <c r="I289" s="3">
        <f t="shared" si="12"/>
        <v>1.9945602901178604E-2</v>
      </c>
      <c r="J289" s="3">
        <f>'Instagram Ads Raw Data'!E289</f>
        <v>22</v>
      </c>
      <c r="K289" s="4">
        <f t="shared" si="13"/>
        <v>169.5</v>
      </c>
      <c r="L289" s="4">
        <f>'Instagram Ads Raw Data'!F289</f>
        <v>3729</v>
      </c>
      <c r="M289" s="16">
        <f t="shared" si="14"/>
        <v>2.2947692307692309</v>
      </c>
      <c r="N289" s="17">
        <f t="shared" si="15"/>
        <v>73.86363636363636</v>
      </c>
    </row>
    <row r="290" spans="1:14" ht="13" x14ac:dyDescent="0.15">
      <c r="A290" s="2">
        <f>'Instagram Ads Raw Data'!A290</f>
        <v>45946</v>
      </c>
      <c r="B290" s="3">
        <f t="shared" si="8"/>
        <v>10</v>
      </c>
      <c r="C290" s="3">
        <f>'Instagram Ads Raw Data'!B290</f>
        <v>55679</v>
      </c>
      <c r="D290" s="3">
        <f t="shared" si="9"/>
        <v>1.5301998958314625E-2</v>
      </c>
      <c r="E290" s="3">
        <f>'Instagram Ads Raw Data'!C290</f>
        <v>852</v>
      </c>
      <c r="F290" s="15">
        <f t="shared" si="10"/>
        <v>1.0434272300469483</v>
      </c>
      <c r="G290" s="4">
        <f t="shared" si="11"/>
        <v>15.966522387255518</v>
      </c>
      <c r="H290" s="4">
        <f>'Instagram Ads Raw Data'!D290</f>
        <v>889</v>
      </c>
      <c r="I290" s="3">
        <f t="shared" si="12"/>
        <v>1.8779342723004695E-2</v>
      </c>
      <c r="J290" s="3">
        <f>'Instagram Ads Raw Data'!E290</f>
        <v>16</v>
      </c>
      <c r="K290" s="4">
        <f t="shared" si="13"/>
        <v>166.1875</v>
      </c>
      <c r="L290" s="4">
        <f>'Instagram Ads Raw Data'!F290</f>
        <v>2659</v>
      </c>
      <c r="M290" s="16">
        <f t="shared" si="14"/>
        <v>2.9910011248593924</v>
      </c>
      <c r="N290" s="17">
        <f t="shared" si="15"/>
        <v>55.5625</v>
      </c>
    </row>
    <row r="291" spans="1:14" ht="13" x14ac:dyDescent="0.15">
      <c r="A291" s="2">
        <f>'Instagram Ads Raw Data'!A291</f>
        <v>45947</v>
      </c>
      <c r="B291" s="3">
        <f t="shared" si="8"/>
        <v>10</v>
      </c>
      <c r="C291" s="3">
        <f>'Instagram Ads Raw Data'!B291</f>
        <v>46054</v>
      </c>
      <c r="D291" s="3">
        <f t="shared" si="9"/>
        <v>1.5503539323402963E-2</v>
      </c>
      <c r="E291" s="3">
        <f>'Instagram Ads Raw Data'!C291</f>
        <v>714</v>
      </c>
      <c r="F291" s="15">
        <f t="shared" si="10"/>
        <v>1.9411764705882353</v>
      </c>
      <c r="G291" s="4">
        <f t="shared" si="11"/>
        <v>30.095105745429276</v>
      </c>
      <c r="H291" s="4">
        <f>'Instagram Ads Raw Data'!D291</f>
        <v>1386</v>
      </c>
      <c r="I291" s="3">
        <f t="shared" si="12"/>
        <v>1.4005602240896359E-2</v>
      </c>
      <c r="J291" s="3">
        <f>'Instagram Ads Raw Data'!E291</f>
        <v>10</v>
      </c>
      <c r="K291" s="4">
        <f t="shared" si="13"/>
        <v>119.5</v>
      </c>
      <c r="L291" s="4">
        <f>'Instagram Ads Raw Data'!F291</f>
        <v>1195</v>
      </c>
      <c r="M291" s="16">
        <f t="shared" si="14"/>
        <v>0.86219336219336218</v>
      </c>
      <c r="N291" s="17">
        <f t="shared" si="15"/>
        <v>138.6</v>
      </c>
    </row>
    <row r="292" spans="1:14" ht="13" x14ac:dyDescent="0.15">
      <c r="A292" s="2">
        <f>'Instagram Ads Raw Data'!A292</f>
        <v>45948</v>
      </c>
      <c r="B292" s="3">
        <f t="shared" si="8"/>
        <v>10</v>
      </c>
      <c r="C292" s="3">
        <f>'Instagram Ads Raw Data'!B292</f>
        <v>24167</v>
      </c>
      <c r="D292" s="3">
        <f t="shared" si="9"/>
        <v>1.2537758099888278E-2</v>
      </c>
      <c r="E292" s="3">
        <f>'Instagram Ads Raw Data'!C292</f>
        <v>303</v>
      </c>
      <c r="F292" s="15">
        <f t="shared" si="10"/>
        <v>1.5874587458745875</v>
      </c>
      <c r="G292" s="4">
        <f t="shared" si="11"/>
        <v>19.903173749327593</v>
      </c>
      <c r="H292" s="4">
        <f>'Instagram Ads Raw Data'!D292</f>
        <v>481</v>
      </c>
      <c r="I292" s="3">
        <f t="shared" si="12"/>
        <v>2.6402640264026403E-2</v>
      </c>
      <c r="J292" s="3">
        <f>'Instagram Ads Raw Data'!E292</f>
        <v>8</v>
      </c>
      <c r="K292" s="4">
        <f t="shared" si="13"/>
        <v>130.875</v>
      </c>
      <c r="L292" s="4">
        <f>'Instagram Ads Raw Data'!F292</f>
        <v>1047</v>
      </c>
      <c r="M292" s="16">
        <f t="shared" si="14"/>
        <v>2.1767151767151769</v>
      </c>
      <c r="N292" s="17">
        <f t="shared" si="15"/>
        <v>60.125</v>
      </c>
    </row>
    <row r="293" spans="1:14" ht="13" x14ac:dyDescent="0.15">
      <c r="A293" s="2">
        <f>'Instagram Ads Raw Data'!A293</f>
        <v>45949</v>
      </c>
      <c r="B293" s="3">
        <f t="shared" si="8"/>
        <v>10</v>
      </c>
      <c r="C293" s="3">
        <f>'Instagram Ads Raw Data'!B293</f>
        <v>15830</v>
      </c>
      <c r="D293" s="3">
        <f t="shared" si="9"/>
        <v>1.5476942514213519E-2</v>
      </c>
      <c r="E293" s="3">
        <f>'Instagram Ads Raw Data'!C293</f>
        <v>245</v>
      </c>
      <c r="F293" s="15">
        <f t="shared" si="10"/>
        <v>1.4938775510204081</v>
      </c>
      <c r="G293" s="4">
        <f t="shared" si="11"/>
        <v>23.120656980416928</v>
      </c>
      <c r="H293" s="4">
        <f>'Instagram Ads Raw Data'!D293</f>
        <v>366</v>
      </c>
      <c r="I293" s="3">
        <f t="shared" si="12"/>
        <v>1.2244897959183673E-2</v>
      </c>
      <c r="J293" s="3">
        <f>'Instagram Ads Raw Data'!E293</f>
        <v>3</v>
      </c>
      <c r="K293" s="4">
        <f t="shared" si="13"/>
        <v>184.33333333333334</v>
      </c>
      <c r="L293" s="4">
        <f>'Instagram Ads Raw Data'!F293</f>
        <v>553</v>
      </c>
      <c r="M293" s="16">
        <f t="shared" si="14"/>
        <v>1.5109289617486339</v>
      </c>
      <c r="N293" s="17">
        <f t="shared" si="15"/>
        <v>122</v>
      </c>
    </row>
    <row r="294" spans="1:14" ht="13" x14ac:dyDescent="0.15">
      <c r="A294" s="2">
        <f>'Instagram Ads Raw Data'!A294</f>
        <v>45950</v>
      </c>
      <c r="B294" s="3">
        <f t="shared" si="8"/>
        <v>10</v>
      </c>
      <c r="C294" s="3">
        <f>'Instagram Ads Raw Data'!B294</f>
        <v>77941</v>
      </c>
      <c r="D294" s="3">
        <f t="shared" si="9"/>
        <v>2.5172887183895511E-2</v>
      </c>
      <c r="E294" s="3">
        <f>'Instagram Ads Raw Data'!C294</f>
        <v>1962</v>
      </c>
      <c r="F294" s="15">
        <f t="shared" si="10"/>
        <v>0.94648318042813451</v>
      </c>
      <c r="G294" s="4">
        <f t="shared" si="11"/>
        <v>23.82571432237205</v>
      </c>
      <c r="H294" s="4">
        <f>'Instagram Ads Raw Data'!D294</f>
        <v>1857</v>
      </c>
      <c r="I294" s="3">
        <f t="shared" si="12"/>
        <v>1.8858307849133536E-2</v>
      </c>
      <c r="J294" s="3">
        <f>'Instagram Ads Raw Data'!E294</f>
        <v>37</v>
      </c>
      <c r="K294" s="4">
        <f t="shared" si="13"/>
        <v>133.83783783783784</v>
      </c>
      <c r="L294" s="4">
        <f>'Instagram Ads Raw Data'!F294</f>
        <v>4952</v>
      </c>
      <c r="M294" s="16">
        <f t="shared" si="14"/>
        <v>2.6666666666666665</v>
      </c>
      <c r="N294" s="17">
        <f t="shared" si="15"/>
        <v>50.189189189189186</v>
      </c>
    </row>
    <row r="295" spans="1:14" ht="13" x14ac:dyDescent="0.15">
      <c r="A295" s="2">
        <f>'Instagram Ads Raw Data'!A295</f>
        <v>45951</v>
      </c>
      <c r="B295" s="3">
        <f t="shared" si="8"/>
        <v>10</v>
      </c>
      <c r="C295" s="3">
        <f>'Instagram Ads Raw Data'!B295</f>
        <v>86583</v>
      </c>
      <c r="D295" s="3">
        <f t="shared" si="9"/>
        <v>2.4034741230957578E-2</v>
      </c>
      <c r="E295" s="3">
        <f>'Instagram Ads Raw Data'!C295</f>
        <v>2081</v>
      </c>
      <c r="F295" s="15">
        <f t="shared" si="10"/>
        <v>1.382988947621336</v>
      </c>
      <c r="G295" s="4">
        <f t="shared" si="11"/>
        <v>33.239781481353155</v>
      </c>
      <c r="H295" s="4">
        <f>'Instagram Ads Raw Data'!D295</f>
        <v>2878</v>
      </c>
      <c r="I295" s="3">
        <f t="shared" si="12"/>
        <v>1.7299375300336376E-2</v>
      </c>
      <c r="J295" s="3">
        <f>'Instagram Ads Raw Data'!E295</f>
        <v>36</v>
      </c>
      <c r="K295" s="4">
        <f t="shared" si="13"/>
        <v>105.27777777777777</v>
      </c>
      <c r="L295" s="4">
        <f>'Instagram Ads Raw Data'!F295</f>
        <v>3790</v>
      </c>
      <c r="M295" s="16">
        <f t="shared" si="14"/>
        <v>1.3168867268936761</v>
      </c>
      <c r="N295" s="17">
        <f t="shared" si="15"/>
        <v>79.944444444444443</v>
      </c>
    </row>
    <row r="296" spans="1:14" ht="13" x14ac:dyDescent="0.15">
      <c r="A296" s="2">
        <f>'Instagram Ads Raw Data'!A296</f>
        <v>45952</v>
      </c>
      <c r="B296" s="3">
        <f t="shared" si="8"/>
        <v>10</v>
      </c>
      <c r="C296" s="3">
        <f>'Instagram Ads Raw Data'!B296</f>
        <v>63208</v>
      </c>
      <c r="D296" s="3">
        <f t="shared" si="9"/>
        <v>1.5314517149727883E-2</v>
      </c>
      <c r="E296" s="3">
        <f>'Instagram Ads Raw Data'!C296</f>
        <v>968</v>
      </c>
      <c r="F296" s="15">
        <f t="shared" si="10"/>
        <v>1.3832644628099173</v>
      </c>
      <c r="G296" s="4">
        <f t="shared" si="11"/>
        <v>21.184027338311605</v>
      </c>
      <c r="H296" s="4">
        <f>'Instagram Ads Raw Data'!D296</f>
        <v>1339</v>
      </c>
      <c r="I296" s="3">
        <f t="shared" si="12"/>
        <v>1.3429752066115703E-2</v>
      </c>
      <c r="J296" s="3">
        <f>'Instagram Ads Raw Data'!E296</f>
        <v>13</v>
      </c>
      <c r="K296" s="4">
        <f t="shared" si="13"/>
        <v>124.61538461538461</v>
      </c>
      <c r="L296" s="4">
        <f>'Instagram Ads Raw Data'!F296</f>
        <v>1620</v>
      </c>
      <c r="M296" s="16">
        <f t="shared" si="14"/>
        <v>1.2098581030619866</v>
      </c>
      <c r="N296" s="17">
        <f t="shared" si="15"/>
        <v>103</v>
      </c>
    </row>
    <row r="297" spans="1:14" ht="13" x14ac:dyDescent="0.15">
      <c r="A297" s="2">
        <f>'Instagram Ads Raw Data'!A297</f>
        <v>45953</v>
      </c>
      <c r="B297" s="3">
        <f t="shared" si="8"/>
        <v>10</v>
      </c>
      <c r="C297" s="3">
        <f>'Instagram Ads Raw Data'!B297</f>
        <v>53761</v>
      </c>
      <c r="D297" s="3">
        <f t="shared" si="9"/>
        <v>1.7149978609028851E-2</v>
      </c>
      <c r="E297" s="3">
        <f>'Instagram Ads Raw Data'!C297</f>
        <v>922</v>
      </c>
      <c r="F297" s="15">
        <f t="shared" si="10"/>
        <v>0.98806941431670281</v>
      </c>
      <c r="G297" s="4">
        <f t="shared" si="11"/>
        <v>16.945369319767117</v>
      </c>
      <c r="H297" s="4">
        <f>'Instagram Ads Raw Data'!D297</f>
        <v>911</v>
      </c>
      <c r="I297" s="3">
        <f t="shared" si="12"/>
        <v>1.9522776572668113E-2</v>
      </c>
      <c r="J297" s="3">
        <f>'Instagram Ads Raw Data'!E297</f>
        <v>18</v>
      </c>
      <c r="K297" s="4">
        <f t="shared" si="13"/>
        <v>186.66666666666666</v>
      </c>
      <c r="L297" s="4">
        <f>'Instagram Ads Raw Data'!F297</f>
        <v>3360</v>
      </c>
      <c r="M297" s="16">
        <f t="shared" si="14"/>
        <v>3.6882546652030737</v>
      </c>
      <c r="N297" s="17">
        <f t="shared" si="15"/>
        <v>50.611111111111114</v>
      </c>
    </row>
    <row r="298" spans="1:14" ht="13" x14ac:dyDescent="0.15">
      <c r="A298" s="2">
        <f>'Instagram Ads Raw Data'!A298</f>
        <v>45954</v>
      </c>
      <c r="B298" s="3">
        <f t="shared" si="8"/>
        <v>10</v>
      </c>
      <c r="C298" s="3">
        <f>'Instagram Ads Raw Data'!B298</f>
        <v>19823</v>
      </c>
      <c r="D298" s="3">
        <f t="shared" si="9"/>
        <v>2.6585279725571308E-2</v>
      </c>
      <c r="E298" s="3">
        <f>'Instagram Ads Raw Data'!C298</f>
        <v>527</v>
      </c>
      <c r="F298" s="15">
        <f t="shared" si="10"/>
        <v>1.2106261859582543</v>
      </c>
      <c r="G298" s="4">
        <f t="shared" si="11"/>
        <v>32.184835796801693</v>
      </c>
      <c r="H298" s="4">
        <f>'Instagram Ads Raw Data'!D298</f>
        <v>638</v>
      </c>
      <c r="I298" s="3">
        <f t="shared" si="12"/>
        <v>2.2770398481973434E-2</v>
      </c>
      <c r="J298" s="3">
        <f>'Instagram Ads Raw Data'!E298</f>
        <v>12</v>
      </c>
      <c r="K298" s="4">
        <f t="shared" si="13"/>
        <v>118.08333333333333</v>
      </c>
      <c r="L298" s="4">
        <f>'Instagram Ads Raw Data'!F298</f>
        <v>1417</v>
      </c>
      <c r="M298" s="16">
        <f t="shared" si="14"/>
        <v>2.2210031347962382</v>
      </c>
      <c r="N298" s="17">
        <f t="shared" si="15"/>
        <v>53.166666666666664</v>
      </c>
    </row>
    <row r="299" spans="1:14" ht="13" x14ac:dyDescent="0.15">
      <c r="A299" s="2">
        <f>'Instagram Ads Raw Data'!A299</f>
        <v>45955</v>
      </c>
      <c r="B299" s="3">
        <f t="shared" si="8"/>
        <v>10</v>
      </c>
      <c r="C299" s="3">
        <f>'Instagram Ads Raw Data'!B299</f>
        <v>73157</v>
      </c>
      <c r="D299" s="3">
        <f t="shared" si="9"/>
        <v>1.6471424470658993E-2</v>
      </c>
      <c r="E299" s="3">
        <f>'Instagram Ads Raw Data'!C299</f>
        <v>1205</v>
      </c>
      <c r="F299" s="15">
        <f t="shared" si="10"/>
        <v>1.4514522821576763</v>
      </c>
      <c r="G299" s="4">
        <f t="shared" si="11"/>
        <v>23.907486638325793</v>
      </c>
      <c r="H299" s="4">
        <f>'Instagram Ads Raw Data'!D299</f>
        <v>1749</v>
      </c>
      <c r="I299" s="3">
        <f t="shared" si="12"/>
        <v>2.2406639004149378E-2</v>
      </c>
      <c r="J299" s="3">
        <f>'Instagram Ads Raw Data'!E299</f>
        <v>27</v>
      </c>
      <c r="K299" s="4">
        <f t="shared" si="13"/>
        <v>119.25925925925925</v>
      </c>
      <c r="L299" s="4">
        <f>'Instagram Ads Raw Data'!F299</f>
        <v>3220</v>
      </c>
      <c r="M299" s="16">
        <f t="shared" si="14"/>
        <v>1.8410520297312749</v>
      </c>
      <c r="N299" s="17">
        <f t="shared" si="15"/>
        <v>64.777777777777771</v>
      </c>
    </row>
    <row r="300" spans="1:14" ht="13" x14ac:dyDescent="0.15">
      <c r="A300" s="2">
        <f>'Instagram Ads Raw Data'!A300</f>
        <v>45956</v>
      </c>
      <c r="B300" s="3">
        <f t="shared" si="8"/>
        <v>10</v>
      </c>
      <c r="C300" s="3">
        <f>'Instagram Ads Raw Data'!B300</f>
        <v>17151</v>
      </c>
      <c r="D300" s="3">
        <f t="shared" si="9"/>
        <v>2.4663284939653665E-2</v>
      </c>
      <c r="E300" s="3">
        <f>'Instagram Ads Raw Data'!C300</f>
        <v>423</v>
      </c>
      <c r="F300" s="15">
        <f t="shared" si="10"/>
        <v>1.1820330969267139</v>
      </c>
      <c r="G300" s="4">
        <f t="shared" si="11"/>
        <v>29.152819077604804</v>
      </c>
      <c r="H300" s="4">
        <f>'Instagram Ads Raw Data'!D300</f>
        <v>500</v>
      </c>
      <c r="I300" s="3">
        <f t="shared" si="12"/>
        <v>1.8912529550827423E-2</v>
      </c>
      <c r="J300" s="3">
        <f>'Instagram Ads Raw Data'!E300</f>
        <v>8</v>
      </c>
      <c r="K300" s="4">
        <f t="shared" si="13"/>
        <v>171.5</v>
      </c>
      <c r="L300" s="4">
        <f>'Instagram Ads Raw Data'!F300</f>
        <v>1372</v>
      </c>
      <c r="M300" s="16">
        <f t="shared" si="14"/>
        <v>2.7440000000000002</v>
      </c>
      <c r="N300" s="17">
        <f t="shared" si="15"/>
        <v>62.5</v>
      </c>
    </row>
    <row r="301" spans="1:14" ht="13" x14ac:dyDescent="0.15">
      <c r="A301" s="2">
        <f>'Instagram Ads Raw Data'!A301</f>
        <v>45957</v>
      </c>
      <c r="B301" s="3">
        <f t="shared" si="8"/>
        <v>10</v>
      </c>
      <c r="C301" s="3">
        <f>'Instagram Ads Raw Data'!B301</f>
        <v>47443</v>
      </c>
      <c r="D301" s="3">
        <f t="shared" si="9"/>
        <v>1.8970132580148812E-2</v>
      </c>
      <c r="E301" s="3">
        <f>'Instagram Ads Raw Data'!C301</f>
        <v>900</v>
      </c>
      <c r="F301" s="15">
        <f t="shared" si="10"/>
        <v>1.08</v>
      </c>
      <c r="G301" s="4">
        <f t="shared" si="11"/>
        <v>20.487743186560717</v>
      </c>
      <c r="H301" s="4">
        <f>'Instagram Ads Raw Data'!D301</f>
        <v>972</v>
      </c>
      <c r="I301" s="3">
        <f t="shared" si="12"/>
        <v>1.6666666666666666E-2</v>
      </c>
      <c r="J301" s="3">
        <f>'Instagram Ads Raw Data'!E301</f>
        <v>15</v>
      </c>
      <c r="K301" s="4">
        <f t="shared" si="13"/>
        <v>183</v>
      </c>
      <c r="L301" s="4">
        <f>'Instagram Ads Raw Data'!F301</f>
        <v>2745</v>
      </c>
      <c r="M301" s="16">
        <f t="shared" si="14"/>
        <v>2.824074074074074</v>
      </c>
      <c r="N301" s="17">
        <f t="shared" si="15"/>
        <v>64.8</v>
      </c>
    </row>
    <row r="302" spans="1:14" ht="13" x14ac:dyDescent="0.15">
      <c r="A302" s="2">
        <f>'Instagram Ads Raw Data'!A302</f>
        <v>45958</v>
      </c>
      <c r="B302" s="3">
        <f t="shared" si="8"/>
        <v>10</v>
      </c>
      <c r="C302" s="3">
        <f>'Instagram Ads Raw Data'!B302</f>
        <v>56847</v>
      </c>
      <c r="D302" s="3">
        <f t="shared" si="9"/>
        <v>1.7116118704593029E-2</v>
      </c>
      <c r="E302" s="3">
        <f>'Instagram Ads Raw Data'!C302</f>
        <v>973</v>
      </c>
      <c r="F302" s="15">
        <f t="shared" si="10"/>
        <v>1.3196300102774923</v>
      </c>
      <c r="G302" s="4">
        <f t="shared" si="11"/>
        <v>22.586943902052877</v>
      </c>
      <c r="H302" s="4">
        <f>'Instagram Ads Raw Data'!D302</f>
        <v>1284</v>
      </c>
      <c r="I302" s="3">
        <f t="shared" si="12"/>
        <v>2.3638232271325797E-2</v>
      </c>
      <c r="J302" s="3">
        <f>'Instagram Ads Raw Data'!E302</f>
        <v>23</v>
      </c>
      <c r="K302" s="4">
        <f t="shared" si="13"/>
        <v>126.43478260869566</v>
      </c>
      <c r="L302" s="4">
        <f>'Instagram Ads Raw Data'!F302</f>
        <v>2908</v>
      </c>
      <c r="M302" s="16">
        <f t="shared" si="14"/>
        <v>2.2647975077881619</v>
      </c>
      <c r="N302" s="17">
        <f t="shared" si="15"/>
        <v>55.826086956521742</v>
      </c>
    </row>
    <row r="303" spans="1:14" ht="13" x14ac:dyDescent="0.15">
      <c r="A303" s="2">
        <f>'Instagram Ads Raw Data'!A303</f>
        <v>45959</v>
      </c>
      <c r="B303" s="3">
        <f t="shared" si="8"/>
        <v>10</v>
      </c>
      <c r="C303" s="3">
        <f>'Instagram Ads Raw Data'!B303</f>
        <v>103800</v>
      </c>
      <c r="D303" s="3">
        <f t="shared" si="9"/>
        <v>1.8371868978805394E-2</v>
      </c>
      <c r="E303" s="3">
        <f>'Instagram Ads Raw Data'!C303</f>
        <v>1907</v>
      </c>
      <c r="F303" s="15">
        <f t="shared" si="10"/>
        <v>1.6953329837441007</v>
      </c>
      <c r="G303" s="4">
        <f t="shared" si="11"/>
        <v>31.146435452793835</v>
      </c>
      <c r="H303" s="4">
        <f>'Instagram Ads Raw Data'!D303</f>
        <v>3233</v>
      </c>
      <c r="I303" s="3">
        <f t="shared" si="12"/>
        <v>1.7304667016255899E-2</v>
      </c>
      <c r="J303" s="3">
        <f>'Instagram Ads Raw Data'!E303</f>
        <v>33</v>
      </c>
      <c r="K303" s="4">
        <f t="shared" si="13"/>
        <v>138.27272727272728</v>
      </c>
      <c r="L303" s="4">
        <f>'Instagram Ads Raw Data'!F303</f>
        <v>4563</v>
      </c>
      <c r="M303" s="16">
        <f t="shared" si="14"/>
        <v>1.4113826167646149</v>
      </c>
      <c r="N303" s="17">
        <f t="shared" si="15"/>
        <v>97.969696969696969</v>
      </c>
    </row>
    <row r="304" spans="1:14" ht="13" x14ac:dyDescent="0.15">
      <c r="A304" s="2">
        <f>'Instagram Ads Raw Data'!A304</f>
        <v>45960</v>
      </c>
      <c r="B304" s="3">
        <f t="shared" si="8"/>
        <v>10</v>
      </c>
      <c r="C304" s="3">
        <f>'Instagram Ads Raw Data'!B304</f>
        <v>61699</v>
      </c>
      <c r="D304" s="3">
        <f t="shared" si="9"/>
        <v>1.8266098316018088E-2</v>
      </c>
      <c r="E304" s="3">
        <f>'Instagram Ads Raw Data'!C304</f>
        <v>1127</v>
      </c>
      <c r="F304" s="15">
        <f t="shared" si="10"/>
        <v>1.2617568766637091</v>
      </c>
      <c r="G304" s="4">
        <f t="shared" si="11"/>
        <v>23.047375160051217</v>
      </c>
      <c r="H304" s="4">
        <f>'Instagram Ads Raw Data'!D304</f>
        <v>1422</v>
      </c>
      <c r="I304" s="3">
        <f t="shared" si="12"/>
        <v>1.8633540372670808E-2</v>
      </c>
      <c r="J304" s="3">
        <f>'Instagram Ads Raw Data'!E304</f>
        <v>21</v>
      </c>
      <c r="K304" s="4">
        <f t="shared" si="13"/>
        <v>185.95238095238096</v>
      </c>
      <c r="L304" s="4">
        <f>'Instagram Ads Raw Data'!F304</f>
        <v>3905</v>
      </c>
      <c r="M304" s="16">
        <f t="shared" si="14"/>
        <v>2.7461322081575248</v>
      </c>
      <c r="N304" s="17">
        <f t="shared" si="15"/>
        <v>67.714285714285708</v>
      </c>
    </row>
    <row r="305" spans="1:14" ht="13" x14ac:dyDescent="0.15">
      <c r="A305" s="2">
        <f>'Instagram Ads Raw Data'!A305</f>
        <v>45961</v>
      </c>
      <c r="B305" s="3">
        <f t="shared" si="8"/>
        <v>10</v>
      </c>
      <c r="C305" s="3">
        <f>'Instagram Ads Raw Data'!B305</f>
        <v>43734</v>
      </c>
      <c r="D305" s="3">
        <f t="shared" si="9"/>
        <v>3.1462935016234511E-2</v>
      </c>
      <c r="E305" s="3">
        <f>'Instagram Ads Raw Data'!C305</f>
        <v>1376</v>
      </c>
      <c r="F305" s="15">
        <f t="shared" si="10"/>
        <v>1.4542151162790697</v>
      </c>
      <c r="G305" s="4">
        <f t="shared" si="11"/>
        <v>45.753875703114282</v>
      </c>
      <c r="H305" s="4">
        <f>'Instagram Ads Raw Data'!D305</f>
        <v>2001</v>
      </c>
      <c r="I305" s="3">
        <f t="shared" si="12"/>
        <v>2.1802325581395349E-2</v>
      </c>
      <c r="J305" s="3">
        <f>'Instagram Ads Raw Data'!E305</f>
        <v>30</v>
      </c>
      <c r="K305" s="4">
        <f t="shared" si="13"/>
        <v>127.9</v>
      </c>
      <c r="L305" s="4">
        <f>'Instagram Ads Raw Data'!F305</f>
        <v>3837</v>
      </c>
      <c r="M305" s="16">
        <f t="shared" si="14"/>
        <v>1.9175412293853074</v>
      </c>
      <c r="N305" s="17">
        <f t="shared" si="15"/>
        <v>66.7</v>
      </c>
    </row>
    <row r="306" spans="1:14" ht="13" x14ac:dyDescent="0.15">
      <c r="A306" s="2">
        <f>'Instagram Ads Raw Data'!A306</f>
        <v>45962</v>
      </c>
      <c r="B306" s="3">
        <f t="shared" si="8"/>
        <v>11</v>
      </c>
      <c r="C306" s="3">
        <f>'Instagram Ads Raw Data'!B306</f>
        <v>18145</v>
      </c>
      <c r="D306" s="3">
        <f t="shared" si="9"/>
        <v>2.3863323229539816E-2</v>
      </c>
      <c r="E306" s="3">
        <f>'Instagram Ads Raw Data'!C306</f>
        <v>433</v>
      </c>
      <c r="F306" s="15">
        <f t="shared" si="10"/>
        <v>1.7990762124711317</v>
      </c>
      <c r="G306" s="4">
        <f t="shared" si="11"/>
        <v>42.931937172774873</v>
      </c>
      <c r="H306" s="4">
        <f>'Instagram Ads Raw Data'!D306</f>
        <v>779</v>
      </c>
      <c r="I306" s="3">
        <f t="shared" si="12"/>
        <v>1.8475750577367205E-2</v>
      </c>
      <c r="J306" s="3">
        <f>'Instagram Ads Raw Data'!E306</f>
        <v>8</v>
      </c>
      <c r="K306" s="4">
        <f t="shared" si="13"/>
        <v>163.75</v>
      </c>
      <c r="L306" s="4">
        <f>'Instagram Ads Raw Data'!F306</f>
        <v>1310</v>
      </c>
      <c r="M306" s="16">
        <f t="shared" si="14"/>
        <v>1.6816431322207959</v>
      </c>
      <c r="N306" s="17">
        <f t="shared" si="15"/>
        <v>97.375</v>
      </c>
    </row>
    <row r="307" spans="1:14" ht="13" x14ac:dyDescent="0.15">
      <c r="A307" s="2">
        <f>'Instagram Ads Raw Data'!A307</f>
        <v>45963</v>
      </c>
      <c r="B307" s="3">
        <f t="shared" si="8"/>
        <v>11</v>
      </c>
      <c r="C307" s="3">
        <f>'Instagram Ads Raw Data'!B307</f>
        <v>95605</v>
      </c>
      <c r="D307" s="3">
        <f t="shared" si="9"/>
        <v>2.0563778045081325E-2</v>
      </c>
      <c r="E307" s="3">
        <f>'Instagram Ads Raw Data'!C307</f>
        <v>1966</v>
      </c>
      <c r="F307" s="15">
        <f t="shared" si="10"/>
        <v>1.0437436419125128</v>
      </c>
      <c r="G307" s="4">
        <f t="shared" si="11"/>
        <v>21.46331258825375</v>
      </c>
      <c r="H307" s="4">
        <f>'Instagram Ads Raw Data'!D307</f>
        <v>2052</v>
      </c>
      <c r="I307" s="3">
        <f t="shared" si="12"/>
        <v>1.3224821973550356E-2</v>
      </c>
      <c r="J307" s="3">
        <f>'Instagram Ads Raw Data'!E307</f>
        <v>26</v>
      </c>
      <c r="K307" s="4">
        <f t="shared" si="13"/>
        <v>180.34615384615384</v>
      </c>
      <c r="L307" s="4">
        <f>'Instagram Ads Raw Data'!F307</f>
        <v>4689</v>
      </c>
      <c r="M307" s="16">
        <f t="shared" si="14"/>
        <v>2.2850877192982457</v>
      </c>
      <c r="N307" s="17">
        <f t="shared" si="15"/>
        <v>78.92307692307692</v>
      </c>
    </row>
    <row r="308" spans="1:14" ht="13" x14ac:dyDescent="0.15">
      <c r="A308" s="2">
        <f>'Instagram Ads Raw Data'!A308</f>
        <v>45964</v>
      </c>
      <c r="B308" s="3">
        <f t="shared" si="8"/>
        <v>11</v>
      </c>
      <c r="C308" s="3">
        <f>'Instagram Ads Raw Data'!B308</f>
        <v>12276</v>
      </c>
      <c r="D308" s="3">
        <f t="shared" si="9"/>
        <v>1.6536331052460086E-2</v>
      </c>
      <c r="E308" s="3">
        <f>'Instagram Ads Raw Data'!C308</f>
        <v>203</v>
      </c>
      <c r="F308" s="15">
        <f t="shared" si="10"/>
        <v>1.9014778325123152</v>
      </c>
      <c r="G308" s="4">
        <f t="shared" si="11"/>
        <v>31.443466927337894</v>
      </c>
      <c r="H308" s="4">
        <f>'Instagram Ads Raw Data'!D308</f>
        <v>386</v>
      </c>
      <c r="I308" s="3">
        <f t="shared" si="12"/>
        <v>1.9704433497536946E-2</v>
      </c>
      <c r="J308" s="3">
        <f>'Instagram Ads Raw Data'!E308</f>
        <v>4</v>
      </c>
      <c r="K308" s="4">
        <f t="shared" si="13"/>
        <v>183.5</v>
      </c>
      <c r="L308" s="4">
        <f>'Instagram Ads Raw Data'!F308</f>
        <v>734</v>
      </c>
      <c r="M308" s="16">
        <f t="shared" si="14"/>
        <v>1.9015544041450778</v>
      </c>
      <c r="N308" s="17">
        <f t="shared" si="15"/>
        <v>96.5</v>
      </c>
    </row>
    <row r="309" spans="1:14" ht="13" x14ac:dyDescent="0.15">
      <c r="A309" s="2">
        <f>'Instagram Ads Raw Data'!A309</f>
        <v>45965</v>
      </c>
      <c r="B309" s="3">
        <f t="shared" si="8"/>
        <v>11</v>
      </c>
      <c r="C309" s="3">
        <f>'Instagram Ads Raw Data'!B309</f>
        <v>13289</v>
      </c>
      <c r="D309" s="3">
        <f t="shared" si="9"/>
        <v>1.7608548423508164E-2</v>
      </c>
      <c r="E309" s="3">
        <f>'Instagram Ads Raw Data'!C309</f>
        <v>234</v>
      </c>
      <c r="F309" s="15">
        <f t="shared" si="10"/>
        <v>1.9230769230769231</v>
      </c>
      <c r="G309" s="4">
        <f t="shared" si="11"/>
        <v>33.862593122131088</v>
      </c>
      <c r="H309" s="4">
        <f>'Instagram Ads Raw Data'!D309</f>
        <v>450</v>
      </c>
      <c r="I309" s="3">
        <f t="shared" si="12"/>
        <v>1.7094017094017096E-2</v>
      </c>
      <c r="J309" s="3">
        <f>'Instagram Ads Raw Data'!E309</f>
        <v>4</v>
      </c>
      <c r="K309" s="4">
        <f t="shared" si="13"/>
        <v>130.25</v>
      </c>
      <c r="L309" s="4">
        <f>'Instagram Ads Raw Data'!F309</f>
        <v>521</v>
      </c>
      <c r="M309" s="16">
        <f t="shared" si="14"/>
        <v>1.1577777777777778</v>
      </c>
      <c r="N309" s="17">
        <f t="shared" si="15"/>
        <v>112.5</v>
      </c>
    </row>
    <row r="310" spans="1:14" ht="13" x14ac:dyDescent="0.15">
      <c r="A310" s="2">
        <f>'Instagram Ads Raw Data'!A310</f>
        <v>45966</v>
      </c>
      <c r="B310" s="3">
        <f t="shared" si="8"/>
        <v>11</v>
      </c>
      <c r="C310" s="3">
        <f>'Instagram Ads Raw Data'!B310</f>
        <v>20703</v>
      </c>
      <c r="D310" s="3">
        <f t="shared" si="9"/>
        <v>2.6131478529681687E-2</v>
      </c>
      <c r="E310" s="3">
        <f>'Instagram Ads Raw Data'!C310</f>
        <v>541</v>
      </c>
      <c r="F310" s="15">
        <f t="shared" si="10"/>
        <v>1.3881700554528651</v>
      </c>
      <c r="G310" s="4">
        <f t="shared" si="11"/>
        <v>36.274935999613582</v>
      </c>
      <c r="H310" s="4">
        <f>'Instagram Ads Raw Data'!D310</f>
        <v>751</v>
      </c>
      <c r="I310" s="3">
        <f t="shared" si="12"/>
        <v>1.8484288354898338E-2</v>
      </c>
      <c r="J310" s="3">
        <f>'Instagram Ads Raw Data'!E310</f>
        <v>10</v>
      </c>
      <c r="K310" s="4">
        <f t="shared" si="13"/>
        <v>157.30000000000001</v>
      </c>
      <c r="L310" s="4">
        <f>'Instagram Ads Raw Data'!F310</f>
        <v>1573</v>
      </c>
      <c r="M310" s="16">
        <f t="shared" si="14"/>
        <v>2.0945406125166444</v>
      </c>
      <c r="N310" s="17">
        <f t="shared" si="15"/>
        <v>75.099999999999994</v>
      </c>
    </row>
    <row r="311" spans="1:14" ht="13" x14ac:dyDescent="0.15">
      <c r="A311" s="2">
        <f>'Instagram Ads Raw Data'!A311</f>
        <v>45967</v>
      </c>
      <c r="B311" s="3">
        <f t="shared" si="8"/>
        <v>11</v>
      </c>
      <c r="C311" s="3">
        <f>'Instagram Ads Raw Data'!B311</f>
        <v>91303</v>
      </c>
      <c r="D311" s="3">
        <f t="shared" si="9"/>
        <v>2.9615675279016023E-2</v>
      </c>
      <c r="E311" s="3">
        <f>'Instagram Ads Raw Data'!C311</f>
        <v>2704</v>
      </c>
      <c r="F311" s="15">
        <f t="shared" si="10"/>
        <v>1.0151627218934911</v>
      </c>
      <c r="G311" s="4">
        <f t="shared" si="11"/>
        <v>30.064729526959685</v>
      </c>
      <c r="H311" s="4">
        <f>'Instagram Ads Raw Data'!D311</f>
        <v>2745</v>
      </c>
      <c r="I311" s="3">
        <f t="shared" si="12"/>
        <v>2.3298816568047338E-2</v>
      </c>
      <c r="J311" s="3">
        <f>'Instagram Ads Raw Data'!E311</f>
        <v>63</v>
      </c>
      <c r="K311" s="4">
        <f t="shared" si="13"/>
        <v>163.36507936507937</v>
      </c>
      <c r="L311" s="4">
        <f>'Instagram Ads Raw Data'!F311</f>
        <v>10292</v>
      </c>
      <c r="M311" s="16">
        <f t="shared" si="14"/>
        <v>3.7493624772313296</v>
      </c>
      <c r="N311" s="17">
        <f t="shared" si="15"/>
        <v>43.571428571428569</v>
      </c>
    </row>
    <row r="312" spans="1:14" ht="13" x14ac:dyDescent="0.15">
      <c r="A312" s="2">
        <f>'Instagram Ads Raw Data'!A312</f>
        <v>45968</v>
      </c>
      <c r="B312" s="3">
        <f t="shared" si="8"/>
        <v>11</v>
      </c>
      <c r="C312" s="3">
        <f>'Instagram Ads Raw Data'!B312</f>
        <v>35422</v>
      </c>
      <c r="D312" s="3">
        <f t="shared" si="9"/>
        <v>1.8152560555586922E-2</v>
      </c>
      <c r="E312" s="3">
        <f>'Instagram Ads Raw Data'!C312</f>
        <v>643</v>
      </c>
      <c r="F312" s="15">
        <f t="shared" si="10"/>
        <v>1.7371695178849145</v>
      </c>
      <c r="G312" s="4">
        <f t="shared" si="11"/>
        <v>31.534074868725654</v>
      </c>
      <c r="H312" s="4">
        <f>'Instagram Ads Raw Data'!D312</f>
        <v>1117</v>
      </c>
      <c r="I312" s="3">
        <f t="shared" si="12"/>
        <v>2.0217729393468119E-2</v>
      </c>
      <c r="J312" s="3">
        <f>'Instagram Ads Raw Data'!E312</f>
        <v>13</v>
      </c>
      <c r="K312" s="4">
        <f t="shared" si="13"/>
        <v>134.30769230769232</v>
      </c>
      <c r="L312" s="4">
        <f>'Instagram Ads Raw Data'!F312</f>
        <v>1746</v>
      </c>
      <c r="M312" s="16">
        <f t="shared" si="14"/>
        <v>1.5631154879140554</v>
      </c>
      <c r="N312" s="17">
        <f t="shared" si="15"/>
        <v>85.92307692307692</v>
      </c>
    </row>
    <row r="313" spans="1:14" ht="13" x14ac:dyDescent="0.15">
      <c r="A313" s="2">
        <f>'Instagram Ads Raw Data'!A313</f>
        <v>45969</v>
      </c>
      <c r="B313" s="3">
        <f t="shared" si="8"/>
        <v>11</v>
      </c>
      <c r="C313" s="3">
        <f>'Instagram Ads Raw Data'!B313</f>
        <v>86793</v>
      </c>
      <c r="D313" s="3">
        <f t="shared" si="9"/>
        <v>2.629244293894669E-2</v>
      </c>
      <c r="E313" s="3">
        <f>'Instagram Ads Raw Data'!C313</f>
        <v>2282</v>
      </c>
      <c r="F313" s="15">
        <f t="shared" si="10"/>
        <v>1.1152497808939528</v>
      </c>
      <c r="G313" s="4">
        <f t="shared" si="11"/>
        <v>29.322641226827045</v>
      </c>
      <c r="H313" s="4">
        <f>'Instagram Ads Raw Data'!D313</f>
        <v>2545</v>
      </c>
      <c r="I313" s="3">
        <f t="shared" si="12"/>
        <v>2.3663453111305872E-2</v>
      </c>
      <c r="J313" s="3">
        <f>'Instagram Ads Raw Data'!E313</f>
        <v>54</v>
      </c>
      <c r="K313" s="4">
        <f t="shared" si="13"/>
        <v>154.5</v>
      </c>
      <c r="L313" s="4">
        <f>'Instagram Ads Raw Data'!F313</f>
        <v>8343</v>
      </c>
      <c r="M313" s="16">
        <f t="shared" si="14"/>
        <v>3.2781925343811396</v>
      </c>
      <c r="N313" s="17">
        <f t="shared" si="15"/>
        <v>47.129629629629626</v>
      </c>
    </row>
    <row r="314" spans="1:14" ht="13" x14ac:dyDescent="0.15">
      <c r="A314" s="2">
        <f>'Instagram Ads Raw Data'!A314</f>
        <v>45970</v>
      </c>
      <c r="B314" s="3">
        <f t="shared" si="8"/>
        <v>11</v>
      </c>
      <c r="C314" s="3">
        <f>'Instagram Ads Raw Data'!B314</f>
        <v>70545</v>
      </c>
      <c r="D314" s="3">
        <f t="shared" si="9"/>
        <v>2.2992416188248637E-2</v>
      </c>
      <c r="E314" s="3">
        <f>'Instagram Ads Raw Data'!C314</f>
        <v>1622</v>
      </c>
      <c r="F314" s="15">
        <f t="shared" si="10"/>
        <v>1.5234278668310728</v>
      </c>
      <c r="G314" s="4">
        <f t="shared" si="11"/>
        <v>35.02728754695584</v>
      </c>
      <c r="H314" s="4">
        <f>'Instagram Ads Raw Data'!D314</f>
        <v>2471</v>
      </c>
      <c r="I314" s="3">
        <f t="shared" si="12"/>
        <v>2.2194821208384709E-2</v>
      </c>
      <c r="J314" s="3">
        <f>'Instagram Ads Raw Data'!E314</f>
        <v>36</v>
      </c>
      <c r="K314" s="4">
        <f t="shared" si="13"/>
        <v>186.08333333333334</v>
      </c>
      <c r="L314" s="4">
        <f>'Instagram Ads Raw Data'!F314</f>
        <v>6699</v>
      </c>
      <c r="M314" s="16">
        <f t="shared" si="14"/>
        <v>2.7110481586402266</v>
      </c>
      <c r="N314" s="17">
        <f t="shared" si="15"/>
        <v>68.638888888888886</v>
      </c>
    </row>
    <row r="315" spans="1:14" ht="13" x14ac:dyDescent="0.15">
      <c r="A315" s="2">
        <f>'Instagram Ads Raw Data'!A315</f>
        <v>45971</v>
      </c>
      <c r="B315" s="3">
        <f t="shared" si="8"/>
        <v>11</v>
      </c>
      <c r="C315" s="3">
        <f>'Instagram Ads Raw Data'!B315</f>
        <v>21885</v>
      </c>
      <c r="D315" s="3">
        <f t="shared" si="9"/>
        <v>2.1612976924834361E-2</v>
      </c>
      <c r="E315" s="3">
        <f>'Instagram Ads Raw Data'!C315</f>
        <v>473</v>
      </c>
      <c r="F315" s="15">
        <f t="shared" si="10"/>
        <v>1.2198731501057083</v>
      </c>
      <c r="G315" s="4">
        <f t="shared" si="11"/>
        <v>26.365090244459672</v>
      </c>
      <c r="H315" s="4">
        <f>'Instagram Ads Raw Data'!D315</f>
        <v>577</v>
      </c>
      <c r="I315" s="3">
        <f t="shared" si="12"/>
        <v>2.1141649048625793E-2</v>
      </c>
      <c r="J315" s="3">
        <f>'Instagram Ads Raw Data'!E315</f>
        <v>10</v>
      </c>
      <c r="K315" s="4">
        <f t="shared" si="13"/>
        <v>150.69999999999999</v>
      </c>
      <c r="L315" s="4">
        <f>'Instagram Ads Raw Data'!F315</f>
        <v>1507</v>
      </c>
      <c r="M315" s="16">
        <f t="shared" si="14"/>
        <v>2.6117850953206241</v>
      </c>
      <c r="N315" s="17">
        <f t="shared" si="15"/>
        <v>57.7</v>
      </c>
    </row>
    <row r="316" spans="1:14" ht="13" x14ac:dyDescent="0.15">
      <c r="A316" s="2">
        <f>'Instagram Ads Raw Data'!A316</f>
        <v>45972</v>
      </c>
      <c r="B316" s="3">
        <f t="shared" si="8"/>
        <v>11</v>
      </c>
      <c r="C316" s="3">
        <f>'Instagram Ads Raw Data'!B316</f>
        <v>34153</v>
      </c>
      <c r="D316" s="3">
        <f t="shared" si="9"/>
        <v>1.2971042075366732E-2</v>
      </c>
      <c r="E316" s="3">
        <f>'Instagram Ads Raw Data'!C316</f>
        <v>443</v>
      </c>
      <c r="F316" s="15">
        <f t="shared" si="10"/>
        <v>0.8510158013544018</v>
      </c>
      <c r="G316" s="4">
        <f t="shared" si="11"/>
        <v>11.038561766169883</v>
      </c>
      <c r="H316" s="4">
        <f>'Instagram Ads Raw Data'!D316</f>
        <v>377</v>
      </c>
      <c r="I316" s="3">
        <f t="shared" si="12"/>
        <v>2.0316027088036117E-2</v>
      </c>
      <c r="J316" s="3">
        <f>'Instagram Ads Raw Data'!E316</f>
        <v>9</v>
      </c>
      <c r="K316" s="4">
        <f t="shared" si="13"/>
        <v>160.88888888888889</v>
      </c>
      <c r="L316" s="4">
        <f>'Instagram Ads Raw Data'!F316</f>
        <v>1448</v>
      </c>
      <c r="M316" s="16">
        <f t="shared" si="14"/>
        <v>3.8408488063660475</v>
      </c>
      <c r="N316" s="17">
        <f t="shared" si="15"/>
        <v>41.888888888888886</v>
      </c>
    </row>
    <row r="317" spans="1:14" ht="13" x14ac:dyDescent="0.15">
      <c r="A317" s="2">
        <f>'Instagram Ads Raw Data'!A317</f>
        <v>45973</v>
      </c>
      <c r="B317" s="3">
        <f t="shared" si="8"/>
        <v>11</v>
      </c>
      <c r="C317" s="3">
        <f>'Instagram Ads Raw Data'!B317</f>
        <v>55954</v>
      </c>
      <c r="D317" s="3">
        <f t="shared" si="9"/>
        <v>1.2814097294205955E-2</v>
      </c>
      <c r="E317" s="3">
        <f>'Instagram Ads Raw Data'!C317</f>
        <v>717</v>
      </c>
      <c r="F317" s="15">
        <f t="shared" si="10"/>
        <v>1.9525801952580195</v>
      </c>
      <c r="G317" s="4">
        <f t="shared" si="11"/>
        <v>25.020552596775921</v>
      </c>
      <c r="H317" s="4">
        <f>'Instagram Ads Raw Data'!D317</f>
        <v>1400</v>
      </c>
      <c r="I317" s="3">
        <f t="shared" si="12"/>
        <v>1.9525801952580194E-2</v>
      </c>
      <c r="J317" s="3">
        <f>'Instagram Ads Raw Data'!E317</f>
        <v>14</v>
      </c>
      <c r="K317" s="4">
        <f t="shared" si="13"/>
        <v>205.71428571428572</v>
      </c>
      <c r="L317" s="4">
        <f>'Instagram Ads Raw Data'!F317</f>
        <v>2880</v>
      </c>
      <c r="M317" s="16">
        <f t="shared" si="14"/>
        <v>2.0571428571428569</v>
      </c>
      <c r="N317" s="17">
        <f t="shared" si="15"/>
        <v>100</v>
      </c>
    </row>
    <row r="318" spans="1:14" ht="13" x14ac:dyDescent="0.15">
      <c r="A318" s="2">
        <f>'Instagram Ads Raw Data'!A318</f>
        <v>45974</v>
      </c>
      <c r="B318" s="3">
        <f t="shared" si="8"/>
        <v>11</v>
      </c>
      <c r="C318" s="3">
        <f>'Instagram Ads Raw Data'!B318</f>
        <v>101056</v>
      </c>
      <c r="D318" s="3">
        <f t="shared" si="9"/>
        <v>2.4303356554781507E-2</v>
      </c>
      <c r="E318" s="3">
        <f>'Instagram Ads Raw Data'!C318</f>
        <v>2456</v>
      </c>
      <c r="F318" s="15">
        <f t="shared" si="10"/>
        <v>1.0810260586319218</v>
      </c>
      <c r="G318" s="4">
        <f t="shared" si="11"/>
        <v>26.272561747941737</v>
      </c>
      <c r="H318" s="4">
        <f>'Instagram Ads Raw Data'!D318</f>
        <v>2655</v>
      </c>
      <c r="I318" s="3">
        <f t="shared" si="12"/>
        <v>1.2214983713355049E-2</v>
      </c>
      <c r="J318" s="3">
        <f>'Instagram Ads Raw Data'!E318</f>
        <v>30</v>
      </c>
      <c r="K318" s="4">
        <f t="shared" si="13"/>
        <v>119.23333333333333</v>
      </c>
      <c r="L318" s="4">
        <f>'Instagram Ads Raw Data'!F318</f>
        <v>3577</v>
      </c>
      <c r="M318" s="16">
        <f t="shared" si="14"/>
        <v>1.3472693032015066</v>
      </c>
      <c r="N318" s="17">
        <f t="shared" si="15"/>
        <v>88.5</v>
      </c>
    </row>
    <row r="319" spans="1:14" ht="13" x14ac:dyDescent="0.15">
      <c r="A319" s="2">
        <f>'Instagram Ads Raw Data'!A319</f>
        <v>45975</v>
      </c>
      <c r="B319" s="3">
        <f t="shared" si="8"/>
        <v>11</v>
      </c>
      <c r="C319" s="3">
        <f>'Instagram Ads Raw Data'!B319</f>
        <v>78238</v>
      </c>
      <c r="D319" s="3">
        <f t="shared" si="9"/>
        <v>1.5606227153045835E-2</v>
      </c>
      <c r="E319" s="3">
        <f>'Instagram Ads Raw Data'!C319</f>
        <v>1221</v>
      </c>
      <c r="F319" s="15">
        <f t="shared" si="10"/>
        <v>1.6773136773136774</v>
      </c>
      <c r="G319" s="4">
        <f t="shared" si="11"/>
        <v>26.176538255067872</v>
      </c>
      <c r="H319" s="4">
        <f>'Instagram Ads Raw Data'!D319</f>
        <v>2048</v>
      </c>
      <c r="I319" s="3">
        <f t="shared" si="12"/>
        <v>1.5561015561015561E-2</v>
      </c>
      <c r="J319" s="3">
        <f>'Instagram Ads Raw Data'!E319</f>
        <v>19</v>
      </c>
      <c r="K319" s="4">
        <f t="shared" si="13"/>
        <v>151.26315789473685</v>
      </c>
      <c r="L319" s="4">
        <f>'Instagram Ads Raw Data'!F319</f>
        <v>2874</v>
      </c>
      <c r="M319" s="16">
        <f t="shared" si="14"/>
        <v>1.4033203125</v>
      </c>
      <c r="N319" s="17">
        <f t="shared" si="15"/>
        <v>107.78947368421052</v>
      </c>
    </row>
    <row r="320" spans="1:14" ht="13" x14ac:dyDescent="0.15">
      <c r="A320" s="2">
        <f>'Instagram Ads Raw Data'!A320</f>
        <v>45976</v>
      </c>
      <c r="B320" s="3">
        <f t="shared" si="8"/>
        <v>11</v>
      </c>
      <c r="C320" s="3">
        <f>'Instagram Ads Raw Data'!B320</f>
        <v>73143</v>
      </c>
      <c r="D320" s="3">
        <f t="shared" si="9"/>
        <v>1.7294888095921689E-2</v>
      </c>
      <c r="E320" s="3">
        <f>'Instagram Ads Raw Data'!C320</f>
        <v>1265</v>
      </c>
      <c r="F320" s="15">
        <f t="shared" si="10"/>
        <v>1.0727272727272728</v>
      </c>
      <c r="G320" s="4">
        <f t="shared" si="11"/>
        <v>18.552698139261448</v>
      </c>
      <c r="H320" s="4">
        <f>'Instagram Ads Raw Data'!D320</f>
        <v>1357</v>
      </c>
      <c r="I320" s="3">
        <f t="shared" si="12"/>
        <v>1.4229249011857707E-2</v>
      </c>
      <c r="J320" s="3">
        <f>'Instagram Ads Raw Data'!E320</f>
        <v>18</v>
      </c>
      <c r="K320" s="4">
        <f t="shared" si="13"/>
        <v>128</v>
      </c>
      <c r="L320" s="4">
        <f>'Instagram Ads Raw Data'!F320</f>
        <v>2304</v>
      </c>
      <c r="M320" s="16">
        <f t="shared" si="14"/>
        <v>1.6978629329403094</v>
      </c>
      <c r="N320" s="17">
        <f t="shared" si="15"/>
        <v>75.388888888888886</v>
      </c>
    </row>
    <row r="321" spans="1:14" ht="13" x14ac:dyDescent="0.15">
      <c r="A321" s="2">
        <f>'Instagram Ads Raw Data'!A321</f>
        <v>45977</v>
      </c>
      <c r="B321" s="3">
        <f t="shared" si="8"/>
        <v>11</v>
      </c>
      <c r="C321" s="3">
        <f>'Instagram Ads Raw Data'!B321</f>
        <v>59011</v>
      </c>
      <c r="D321" s="3">
        <f t="shared" si="9"/>
        <v>8.964430360441273E-3</v>
      </c>
      <c r="E321" s="3">
        <f>'Instagram Ads Raw Data'!C321</f>
        <v>529</v>
      </c>
      <c r="F321" s="15">
        <f t="shared" si="10"/>
        <v>1.4196597353497165</v>
      </c>
      <c r="G321" s="4">
        <f t="shared" si="11"/>
        <v>12.726440833065022</v>
      </c>
      <c r="H321" s="4">
        <f>'Instagram Ads Raw Data'!D321</f>
        <v>751</v>
      </c>
      <c r="I321" s="3">
        <f t="shared" si="12"/>
        <v>2.2684310018903593E-2</v>
      </c>
      <c r="J321" s="3">
        <f>'Instagram Ads Raw Data'!E321</f>
        <v>12</v>
      </c>
      <c r="K321" s="4">
        <f t="shared" si="13"/>
        <v>132.91666666666666</v>
      </c>
      <c r="L321" s="4">
        <f>'Instagram Ads Raw Data'!F321</f>
        <v>1595</v>
      </c>
      <c r="M321" s="16">
        <f t="shared" si="14"/>
        <v>2.1238348868175767</v>
      </c>
      <c r="N321" s="17">
        <f t="shared" si="15"/>
        <v>62.583333333333336</v>
      </c>
    </row>
    <row r="322" spans="1:14" ht="13" x14ac:dyDescent="0.15">
      <c r="A322" s="2">
        <f>'Instagram Ads Raw Data'!A322</f>
        <v>45978</v>
      </c>
      <c r="B322" s="3">
        <f t="shared" si="8"/>
        <v>11</v>
      </c>
      <c r="C322" s="3">
        <f>'Instagram Ads Raw Data'!B322</f>
        <v>68100</v>
      </c>
      <c r="D322" s="3">
        <f t="shared" si="9"/>
        <v>2.9133627019089576E-2</v>
      </c>
      <c r="E322" s="3">
        <f>'Instagram Ads Raw Data'!C322</f>
        <v>1984</v>
      </c>
      <c r="F322" s="15">
        <f t="shared" si="10"/>
        <v>1.2862903225806452</v>
      </c>
      <c r="G322" s="4">
        <f t="shared" si="11"/>
        <v>37.474302496328932</v>
      </c>
      <c r="H322" s="4">
        <f>'Instagram Ads Raw Data'!D322</f>
        <v>2552</v>
      </c>
      <c r="I322" s="3">
        <f t="shared" si="12"/>
        <v>2.5201612903225805E-2</v>
      </c>
      <c r="J322" s="3">
        <f>'Instagram Ads Raw Data'!E322</f>
        <v>50</v>
      </c>
      <c r="K322" s="4">
        <f t="shared" si="13"/>
        <v>150.91999999999999</v>
      </c>
      <c r="L322" s="4">
        <f>'Instagram Ads Raw Data'!F322</f>
        <v>7546</v>
      </c>
      <c r="M322" s="16">
        <f t="shared" si="14"/>
        <v>2.9568965517241379</v>
      </c>
      <c r="N322" s="17">
        <f t="shared" si="15"/>
        <v>51.04</v>
      </c>
    </row>
    <row r="323" spans="1:14" ht="13" x14ac:dyDescent="0.15">
      <c r="A323" s="2">
        <f>'Instagram Ads Raw Data'!A323</f>
        <v>45979</v>
      </c>
      <c r="B323" s="3">
        <f t="shared" si="8"/>
        <v>11</v>
      </c>
      <c r="C323" s="3">
        <f>'Instagram Ads Raw Data'!B323</f>
        <v>72521</v>
      </c>
      <c r="D323" s="3">
        <f t="shared" si="9"/>
        <v>1.3471959846113539E-2</v>
      </c>
      <c r="E323" s="3">
        <f>'Instagram Ads Raw Data'!C323</f>
        <v>977</v>
      </c>
      <c r="F323" s="15">
        <f t="shared" si="10"/>
        <v>1.6878198567041964</v>
      </c>
      <c r="G323" s="4">
        <f t="shared" si="11"/>
        <v>22.738241336992044</v>
      </c>
      <c r="H323" s="4">
        <f>'Instagram Ads Raw Data'!D323</f>
        <v>1649</v>
      </c>
      <c r="I323" s="3">
        <f t="shared" si="12"/>
        <v>2.4564994882292732E-2</v>
      </c>
      <c r="J323" s="3">
        <f>'Instagram Ads Raw Data'!E323</f>
        <v>24</v>
      </c>
      <c r="K323" s="4">
        <f t="shared" si="13"/>
        <v>138.875</v>
      </c>
      <c r="L323" s="4">
        <f>'Instagram Ads Raw Data'!F323</f>
        <v>3333</v>
      </c>
      <c r="M323" s="16">
        <f t="shared" si="14"/>
        <v>2.0212249848392965</v>
      </c>
      <c r="N323" s="17">
        <f t="shared" si="15"/>
        <v>68.708333333333329</v>
      </c>
    </row>
    <row r="324" spans="1:14" ht="13" x14ac:dyDescent="0.15">
      <c r="A324" s="2">
        <f>'Instagram Ads Raw Data'!A324</f>
        <v>45980</v>
      </c>
      <c r="B324" s="3">
        <f t="shared" si="8"/>
        <v>11</v>
      </c>
      <c r="C324" s="3">
        <f>'Instagram Ads Raw Data'!B324</f>
        <v>61360</v>
      </c>
      <c r="D324" s="3">
        <f t="shared" si="9"/>
        <v>1.2760756192959582E-2</v>
      </c>
      <c r="E324" s="3">
        <f>'Instagram Ads Raw Data'!C324</f>
        <v>783</v>
      </c>
      <c r="F324" s="15">
        <f t="shared" si="10"/>
        <v>1.6947637292464879</v>
      </c>
      <c r="G324" s="4">
        <f t="shared" si="11"/>
        <v>21.626466753585397</v>
      </c>
      <c r="H324" s="4">
        <f>'Instagram Ads Raw Data'!D324</f>
        <v>1327</v>
      </c>
      <c r="I324" s="3">
        <f t="shared" si="12"/>
        <v>1.40485312899106E-2</v>
      </c>
      <c r="J324" s="3">
        <f>'Instagram Ads Raw Data'!E324</f>
        <v>11</v>
      </c>
      <c r="K324" s="4">
        <f t="shared" si="13"/>
        <v>159.72727272727272</v>
      </c>
      <c r="L324" s="4">
        <f>'Instagram Ads Raw Data'!F324</f>
        <v>1757</v>
      </c>
      <c r="M324" s="16">
        <f t="shared" si="14"/>
        <v>1.3240391861341372</v>
      </c>
      <c r="N324" s="17">
        <f t="shared" si="15"/>
        <v>120.63636363636364</v>
      </c>
    </row>
    <row r="325" spans="1:14" ht="13" x14ac:dyDescent="0.15">
      <c r="A325" s="2">
        <f>'Instagram Ads Raw Data'!A325</f>
        <v>45981</v>
      </c>
      <c r="B325" s="3">
        <f t="shared" si="8"/>
        <v>11</v>
      </c>
      <c r="C325" s="3">
        <f>'Instagram Ads Raw Data'!B325</f>
        <v>79103</v>
      </c>
      <c r="D325" s="3">
        <f t="shared" si="9"/>
        <v>1.8532799008887147E-2</v>
      </c>
      <c r="E325" s="3">
        <f>'Instagram Ads Raw Data'!C325</f>
        <v>1466</v>
      </c>
      <c r="F325" s="15">
        <f t="shared" si="10"/>
        <v>1.2128240109140518</v>
      </c>
      <c r="G325" s="4">
        <f t="shared" si="11"/>
        <v>22.477023627422476</v>
      </c>
      <c r="H325" s="4">
        <f>'Instagram Ads Raw Data'!D325</f>
        <v>1778</v>
      </c>
      <c r="I325" s="3">
        <f t="shared" si="12"/>
        <v>2.1828103683492497E-2</v>
      </c>
      <c r="J325" s="3">
        <f>'Instagram Ads Raw Data'!E325</f>
        <v>32</v>
      </c>
      <c r="K325" s="4">
        <f t="shared" si="13"/>
        <v>195.90625</v>
      </c>
      <c r="L325" s="4">
        <f>'Instagram Ads Raw Data'!F325</f>
        <v>6269</v>
      </c>
      <c r="M325" s="16">
        <f t="shared" si="14"/>
        <v>3.5258717660292462</v>
      </c>
      <c r="N325" s="17">
        <f t="shared" si="15"/>
        <v>55.5625</v>
      </c>
    </row>
    <row r="326" spans="1:14" ht="13" x14ac:dyDescent="0.15">
      <c r="A326" s="2">
        <f>'Instagram Ads Raw Data'!A326</f>
        <v>45982</v>
      </c>
      <c r="B326" s="3">
        <f t="shared" si="8"/>
        <v>11</v>
      </c>
      <c r="C326" s="3">
        <f>'Instagram Ads Raw Data'!B326</f>
        <v>24707</v>
      </c>
      <c r="D326" s="3">
        <f t="shared" si="9"/>
        <v>1.1413769377099607E-2</v>
      </c>
      <c r="E326" s="3">
        <f>'Instagram Ads Raw Data'!C326</f>
        <v>282</v>
      </c>
      <c r="F326" s="15">
        <f t="shared" si="10"/>
        <v>1.4716312056737588</v>
      </c>
      <c r="G326" s="4">
        <f t="shared" si="11"/>
        <v>16.796859189703323</v>
      </c>
      <c r="H326" s="4">
        <f>'Instagram Ads Raw Data'!D326</f>
        <v>415</v>
      </c>
      <c r="I326" s="3">
        <f t="shared" si="12"/>
        <v>2.1276595744680851E-2</v>
      </c>
      <c r="J326" s="3">
        <f>'Instagram Ads Raw Data'!E326</f>
        <v>6</v>
      </c>
      <c r="K326" s="4">
        <f t="shared" si="13"/>
        <v>186.5</v>
      </c>
      <c r="L326" s="4">
        <f>'Instagram Ads Raw Data'!F326</f>
        <v>1119</v>
      </c>
      <c r="M326" s="16">
        <f t="shared" si="14"/>
        <v>2.6963855421686747</v>
      </c>
      <c r="N326" s="17">
        <f t="shared" si="15"/>
        <v>69.166666666666671</v>
      </c>
    </row>
    <row r="327" spans="1:14" ht="13" x14ac:dyDescent="0.15">
      <c r="A327" s="2">
        <f>'Instagram Ads Raw Data'!A327</f>
        <v>45983</v>
      </c>
      <c r="B327" s="3">
        <f t="shared" si="8"/>
        <v>11</v>
      </c>
      <c r="C327" s="3">
        <f>'Instagram Ads Raw Data'!B327</f>
        <v>90610</v>
      </c>
      <c r="D327" s="3">
        <f t="shared" si="9"/>
        <v>2.5615274252290033E-2</v>
      </c>
      <c r="E327" s="3">
        <f>'Instagram Ads Raw Data'!C327</f>
        <v>2321</v>
      </c>
      <c r="F327" s="15">
        <f t="shared" si="10"/>
        <v>1.3907798362774666</v>
      </c>
      <c r="G327" s="4">
        <f t="shared" si="11"/>
        <v>35.625206930802342</v>
      </c>
      <c r="H327" s="4">
        <f>'Instagram Ads Raw Data'!D327</f>
        <v>3228</v>
      </c>
      <c r="I327" s="3">
        <f t="shared" si="12"/>
        <v>1.5941404566996983E-2</v>
      </c>
      <c r="J327" s="3">
        <f>'Instagram Ads Raw Data'!E327</f>
        <v>37</v>
      </c>
      <c r="K327" s="4">
        <f t="shared" si="13"/>
        <v>106.08108108108108</v>
      </c>
      <c r="L327" s="4">
        <f>'Instagram Ads Raw Data'!F327</f>
        <v>3925</v>
      </c>
      <c r="M327" s="16">
        <f t="shared" si="14"/>
        <v>1.2159231722428749</v>
      </c>
      <c r="N327" s="17">
        <f t="shared" si="15"/>
        <v>87.243243243243242</v>
      </c>
    </row>
    <row r="328" spans="1:14" ht="13" x14ac:dyDescent="0.15">
      <c r="A328" s="2">
        <f>'Instagram Ads Raw Data'!A328</f>
        <v>45984</v>
      </c>
      <c r="B328" s="3">
        <f t="shared" si="8"/>
        <v>11</v>
      </c>
      <c r="C328" s="3">
        <f>'Instagram Ads Raw Data'!B328</f>
        <v>65307</v>
      </c>
      <c r="D328" s="3">
        <f t="shared" si="9"/>
        <v>1.200483868498017E-2</v>
      </c>
      <c r="E328" s="3">
        <f>'Instagram Ads Raw Data'!C328</f>
        <v>784</v>
      </c>
      <c r="F328" s="15">
        <f t="shared" si="10"/>
        <v>1.4681122448979591</v>
      </c>
      <c r="G328" s="4">
        <f t="shared" si="11"/>
        <v>17.624450671444102</v>
      </c>
      <c r="H328" s="4">
        <f>'Instagram Ads Raw Data'!D328</f>
        <v>1151</v>
      </c>
      <c r="I328" s="3">
        <f t="shared" si="12"/>
        <v>1.1479591836734694E-2</v>
      </c>
      <c r="J328" s="3">
        <f>'Instagram Ads Raw Data'!E328</f>
        <v>9</v>
      </c>
      <c r="K328" s="4">
        <f t="shared" si="13"/>
        <v>180.66666666666666</v>
      </c>
      <c r="L328" s="4">
        <f>'Instagram Ads Raw Data'!F328</f>
        <v>1626</v>
      </c>
      <c r="M328" s="16">
        <f t="shared" si="14"/>
        <v>1.4126846220677671</v>
      </c>
      <c r="N328" s="17">
        <f t="shared" si="15"/>
        <v>127.88888888888889</v>
      </c>
    </row>
    <row r="329" spans="1:14" ht="13" x14ac:dyDescent="0.15">
      <c r="A329" s="2">
        <f>'Instagram Ads Raw Data'!A329</f>
        <v>45985</v>
      </c>
      <c r="B329" s="3">
        <f t="shared" si="8"/>
        <v>11</v>
      </c>
      <c r="C329" s="3">
        <f>'Instagram Ads Raw Data'!B329</f>
        <v>48991</v>
      </c>
      <c r="D329" s="3">
        <f t="shared" si="9"/>
        <v>1.5166050907309506E-2</v>
      </c>
      <c r="E329" s="3">
        <f>'Instagram Ads Raw Data'!C329</f>
        <v>743</v>
      </c>
      <c r="F329" s="15">
        <f t="shared" si="10"/>
        <v>1.7523553162853298</v>
      </c>
      <c r="G329" s="4">
        <f t="shared" si="11"/>
        <v>26.576309934477763</v>
      </c>
      <c r="H329" s="4">
        <f>'Instagram Ads Raw Data'!D329</f>
        <v>1302</v>
      </c>
      <c r="I329" s="3">
        <f t="shared" si="12"/>
        <v>1.3458950201884253E-2</v>
      </c>
      <c r="J329" s="3">
        <f>'Instagram Ads Raw Data'!E329</f>
        <v>10</v>
      </c>
      <c r="K329" s="4">
        <f t="shared" si="13"/>
        <v>148.4</v>
      </c>
      <c r="L329" s="4">
        <f>'Instagram Ads Raw Data'!F329</f>
        <v>1484</v>
      </c>
      <c r="M329" s="16">
        <f t="shared" si="14"/>
        <v>1.1397849462365592</v>
      </c>
      <c r="N329" s="17">
        <f t="shared" si="15"/>
        <v>130.19999999999999</v>
      </c>
    </row>
    <row r="330" spans="1:14" ht="13" x14ac:dyDescent="0.15">
      <c r="A330" s="2">
        <f>'Instagram Ads Raw Data'!A330</f>
        <v>45986</v>
      </c>
      <c r="B330" s="3">
        <f t="shared" si="8"/>
        <v>11</v>
      </c>
      <c r="C330" s="3">
        <f>'Instagram Ads Raw Data'!B330</f>
        <v>17772</v>
      </c>
      <c r="D330" s="3">
        <f t="shared" si="9"/>
        <v>1.2660364618501013E-2</v>
      </c>
      <c r="E330" s="3">
        <f>'Instagram Ads Raw Data'!C330</f>
        <v>225</v>
      </c>
      <c r="F330" s="15">
        <f t="shared" si="10"/>
        <v>1.5555555555555556</v>
      </c>
      <c r="G330" s="4">
        <f t="shared" si="11"/>
        <v>19.693900517668244</v>
      </c>
      <c r="H330" s="4">
        <f>'Instagram Ads Raw Data'!D330</f>
        <v>350</v>
      </c>
      <c r="I330" s="3">
        <f t="shared" si="12"/>
        <v>1.3333333333333334E-2</v>
      </c>
      <c r="J330" s="3">
        <f>'Instagram Ads Raw Data'!E330</f>
        <v>3</v>
      </c>
      <c r="K330" s="4">
        <f t="shared" si="13"/>
        <v>197.33333333333334</v>
      </c>
      <c r="L330" s="4">
        <f>'Instagram Ads Raw Data'!F330</f>
        <v>592</v>
      </c>
      <c r="M330" s="16">
        <f t="shared" si="14"/>
        <v>1.6914285714285715</v>
      </c>
      <c r="N330" s="17">
        <f t="shared" si="15"/>
        <v>116.66666666666667</v>
      </c>
    </row>
    <row r="331" spans="1:14" ht="13" x14ac:dyDescent="0.15">
      <c r="A331" s="2">
        <f>'Instagram Ads Raw Data'!A331</f>
        <v>45987</v>
      </c>
      <c r="B331" s="3">
        <f t="shared" si="8"/>
        <v>11</v>
      </c>
      <c r="C331" s="3">
        <f>'Instagram Ads Raw Data'!B331</f>
        <v>15340</v>
      </c>
      <c r="D331" s="3">
        <f t="shared" si="9"/>
        <v>1.0495436766623208E-2</v>
      </c>
      <c r="E331" s="3">
        <f>'Instagram Ads Raw Data'!C331</f>
        <v>161</v>
      </c>
      <c r="F331" s="15">
        <f t="shared" si="10"/>
        <v>1.8881987577639752</v>
      </c>
      <c r="G331" s="4">
        <f t="shared" si="11"/>
        <v>19.817470664928294</v>
      </c>
      <c r="H331" s="4">
        <f>'Instagram Ads Raw Data'!D331</f>
        <v>304</v>
      </c>
      <c r="I331" s="3">
        <f t="shared" si="12"/>
        <v>1.8633540372670808E-2</v>
      </c>
      <c r="J331" s="3">
        <f>'Instagram Ads Raw Data'!E331</f>
        <v>3</v>
      </c>
      <c r="K331" s="4">
        <f t="shared" si="13"/>
        <v>143.33333333333334</v>
      </c>
      <c r="L331" s="4">
        <f>'Instagram Ads Raw Data'!F331</f>
        <v>430</v>
      </c>
      <c r="M331" s="16">
        <f t="shared" si="14"/>
        <v>1.4144736842105263</v>
      </c>
      <c r="N331" s="17">
        <f t="shared" si="15"/>
        <v>101.33333333333333</v>
      </c>
    </row>
    <row r="332" spans="1:14" ht="13" x14ac:dyDescent="0.15">
      <c r="A332" s="2">
        <f>'Instagram Ads Raw Data'!A332</f>
        <v>45988</v>
      </c>
      <c r="B332" s="3">
        <f t="shared" si="8"/>
        <v>11</v>
      </c>
      <c r="C332" s="3">
        <f>'Instagram Ads Raw Data'!B332</f>
        <v>14040</v>
      </c>
      <c r="D332" s="3">
        <f t="shared" si="9"/>
        <v>1.6737891737891739E-2</v>
      </c>
      <c r="E332" s="3">
        <f>'Instagram Ads Raw Data'!C332</f>
        <v>235</v>
      </c>
      <c r="F332" s="15">
        <f t="shared" si="10"/>
        <v>1.574468085106383</v>
      </c>
      <c r="G332" s="4">
        <f t="shared" si="11"/>
        <v>26.353276353276353</v>
      </c>
      <c r="H332" s="4">
        <f>'Instagram Ads Raw Data'!D332</f>
        <v>370</v>
      </c>
      <c r="I332" s="3">
        <f t="shared" si="12"/>
        <v>1.276595744680851E-2</v>
      </c>
      <c r="J332" s="3">
        <f>'Instagram Ads Raw Data'!E332</f>
        <v>3</v>
      </c>
      <c r="K332" s="4">
        <f t="shared" si="13"/>
        <v>195.33333333333334</v>
      </c>
      <c r="L332" s="4">
        <f>'Instagram Ads Raw Data'!F332</f>
        <v>586</v>
      </c>
      <c r="M332" s="16">
        <f t="shared" si="14"/>
        <v>1.5837837837837838</v>
      </c>
      <c r="N332" s="17">
        <f t="shared" si="15"/>
        <v>123.33333333333333</v>
      </c>
    </row>
    <row r="333" spans="1:14" ht="13" x14ac:dyDescent="0.15">
      <c r="A333" s="2">
        <f>'Instagram Ads Raw Data'!A333</f>
        <v>45989</v>
      </c>
      <c r="B333" s="3">
        <f t="shared" si="8"/>
        <v>11</v>
      </c>
      <c r="C333" s="3">
        <f>'Instagram Ads Raw Data'!B333</f>
        <v>76119</v>
      </c>
      <c r="D333" s="3">
        <f t="shared" si="9"/>
        <v>2.3174240334213534E-2</v>
      </c>
      <c r="E333" s="3">
        <f>'Instagram Ads Raw Data'!C333</f>
        <v>1764</v>
      </c>
      <c r="F333" s="15">
        <f t="shared" si="10"/>
        <v>1.7879818594104309</v>
      </c>
      <c r="G333" s="4">
        <f t="shared" si="11"/>
        <v>41.435121323191318</v>
      </c>
      <c r="H333" s="4">
        <f>'Instagram Ads Raw Data'!D333</f>
        <v>3154</v>
      </c>
      <c r="I333" s="3">
        <f t="shared" si="12"/>
        <v>1.2471655328798186E-2</v>
      </c>
      <c r="J333" s="3">
        <f>'Instagram Ads Raw Data'!E333</f>
        <v>22</v>
      </c>
      <c r="K333" s="4">
        <f t="shared" si="13"/>
        <v>127.81818181818181</v>
      </c>
      <c r="L333" s="4">
        <f>'Instagram Ads Raw Data'!F333</f>
        <v>2812</v>
      </c>
      <c r="M333" s="16">
        <f t="shared" si="14"/>
        <v>0.89156626506024095</v>
      </c>
      <c r="N333" s="17">
        <f t="shared" si="15"/>
        <v>143.36363636363637</v>
      </c>
    </row>
    <row r="334" spans="1:14" ht="13" x14ac:dyDescent="0.15">
      <c r="A334" s="2">
        <f>'Instagram Ads Raw Data'!A334</f>
        <v>45990</v>
      </c>
      <c r="B334" s="3">
        <f t="shared" si="8"/>
        <v>11</v>
      </c>
      <c r="C334" s="3">
        <f>'Instagram Ads Raw Data'!B334</f>
        <v>27517</v>
      </c>
      <c r="D334" s="3">
        <f t="shared" si="9"/>
        <v>2.5511501980593813E-2</v>
      </c>
      <c r="E334" s="3">
        <f>'Instagram Ads Raw Data'!C334</f>
        <v>702</v>
      </c>
      <c r="F334" s="15">
        <f t="shared" si="10"/>
        <v>1.5498575498575498</v>
      </c>
      <c r="G334" s="4">
        <f t="shared" si="11"/>
        <v>39.539193952829159</v>
      </c>
      <c r="H334" s="4">
        <f>'Instagram Ads Raw Data'!D334</f>
        <v>1088</v>
      </c>
      <c r="I334" s="3">
        <f t="shared" si="12"/>
        <v>1.4245014245014245E-2</v>
      </c>
      <c r="J334" s="3">
        <f>'Instagram Ads Raw Data'!E334</f>
        <v>10</v>
      </c>
      <c r="K334" s="4">
        <f t="shared" si="13"/>
        <v>190.5</v>
      </c>
      <c r="L334" s="4">
        <f>'Instagram Ads Raw Data'!F334</f>
        <v>1905</v>
      </c>
      <c r="M334" s="16">
        <f t="shared" si="14"/>
        <v>1.7509191176470589</v>
      </c>
      <c r="N334" s="17">
        <f t="shared" si="15"/>
        <v>108.8</v>
      </c>
    </row>
    <row r="335" spans="1:14" ht="13" x14ac:dyDescent="0.15">
      <c r="A335" s="2">
        <f>'Instagram Ads Raw Data'!A335</f>
        <v>45991</v>
      </c>
      <c r="B335" s="3">
        <f t="shared" si="8"/>
        <v>11</v>
      </c>
      <c r="C335" s="3">
        <f>'Instagram Ads Raw Data'!B335</f>
        <v>38969</v>
      </c>
      <c r="D335" s="3">
        <f t="shared" si="9"/>
        <v>2.6302958762092946E-2</v>
      </c>
      <c r="E335" s="3">
        <f>'Instagram Ads Raw Data'!C335</f>
        <v>1025</v>
      </c>
      <c r="F335" s="15">
        <f t="shared" si="10"/>
        <v>1.4156097560975609</v>
      </c>
      <c r="G335" s="4">
        <f t="shared" si="11"/>
        <v>37.234725037850595</v>
      </c>
      <c r="H335" s="4">
        <f>'Instagram Ads Raw Data'!D335</f>
        <v>1451</v>
      </c>
      <c r="I335" s="3">
        <f t="shared" si="12"/>
        <v>1.6585365853658537E-2</v>
      </c>
      <c r="J335" s="3">
        <f>'Instagram Ads Raw Data'!E335</f>
        <v>17</v>
      </c>
      <c r="K335" s="4">
        <f t="shared" si="13"/>
        <v>168.70588235294119</v>
      </c>
      <c r="L335" s="4">
        <f>'Instagram Ads Raw Data'!F335</f>
        <v>2868</v>
      </c>
      <c r="M335" s="16">
        <f t="shared" si="14"/>
        <v>1.9765678842177807</v>
      </c>
      <c r="N335" s="17">
        <f t="shared" si="15"/>
        <v>85.352941176470594</v>
      </c>
    </row>
    <row r="336" spans="1:14" ht="13" x14ac:dyDescent="0.15">
      <c r="A336" s="2">
        <f>'Instagram Ads Raw Data'!A336</f>
        <v>45992</v>
      </c>
      <c r="B336" s="3">
        <f t="shared" si="8"/>
        <v>12</v>
      </c>
      <c r="C336" s="3">
        <f>'Instagram Ads Raw Data'!B336</f>
        <v>106305</v>
      </c>
      <c r="D336" s="3">
        <f t="shared" si="9"/>
        <v>2.3808851888434221E-2</v>
      </c>
      <c r="E336" s="3">
        <f>'Instagram Ads Raw Data'!C336</f>
        <v>2531</v>
      </c>
      <c r="F336" s="15">
        <f t="shared" si="10"/>
        <v>1.1477676807585935</v>
      </c>
      <c r="G336" s="4">
        <f t="shared" si="11"/>
        <v>27.327030713513004</v>
      </c>
      <c r="H336" s="4">
        <f>'Instagram Ads Raw Data'!D336</f>
        <v>2905</v>
      </c>
      <c r="I336" s="3">
        <f t="shared" si="12"/>
        <v>1.2248123271434215E-2</v>
      </c>
      <c r="J336" s="3">
        <f>'Instagram Ads Raw Data'!E336</f>
        <v>31</v>
      </c>
      <c r="K336" s="4">
        <f t="shared" si="13"/>
        <v>188.16129032258064</v>
      </c>
      <c r="L336" s="4">
        <f>'Instagram Ads Raw Data'!F336</f>
        <v>5833</v>
      </c>
      <c r="M336" s="16">
        <f t="shared" si="14"/>
        <v>2.0079173838209985</v>
      </c>
      <c r="N336" s="17">
        <f t="shared" si="15"/>
        <v>93.709677419354833</v>
      </c>
    </row>
    <row r="337" spans="1:14" ht="13" x14ac:dyDescent="0.15">
      <c r="A337" s="2">
        <f>'Instagram Ads Raw Data'!A337</f>
        <v>45993</v>
      </c>
      <c r="B337" s="3">
        <f t="shared" si="8"/>
        <v>12</v>
      </c>
      <c r="C337" s="3">
        <f>'Instagram Ads Raw Data'!B337</f>
        <v>86838</v>
      </c>
      <c r="D337" s="3">
        <f t="shared" si="9"/>
        <v>2.0785831087772634E-2</v>
      </c>
      <c r="E337" s="3">
        <f>'Instagram Ads Raw Data'!C337</f>
        <v>1805</v>
      </c>
      <c r="F337" s="15">
        <f t="shared" si="10"/>
        <v>1.4277008310249308</v>
      </c>
      <c r="G337" s="4">
        <f t="shared" si="11"/>
        <v>29.675948317556831</v>
      </c>
      <c r="H337" s="4">
        <f>'Instagram Ads Raw Data'!D337</f>
        <v>2577</v>
      </c>
      <c r="I337" s="3">
        <f t="shared" si="12"/>
        <v>2.0498614958448753E-2</v>
      </c>
      <c r="J337" s="3">
        <f>'Instagram Ads Raw Data'!E337</f>
        <v>37</v>
      </c>
      <c r="K337" s="4">
        <f t="shared" si="13"/>
        <v>177.67567567567568</v>
      </c>
      <c r="L337" s="4">
        <f>'Instagram Ads Raw Data'!F337</f>
        <v>6574</v>
      </c>
      <c r="M337" s="16">
        <f t="shared" si="14"/>
        <v>2.5510283275126118</v>
      </c>
      <c r="N337" s="17">
        <f t="shared" si="15"/>
        <v>69.648648648648646</v>
      </c>
    </row>
    <row r="338" spans="1:14" ht="13" x14ac:dyDescent="0.15">
      <c r="A338" s="2">
        <f>'Instagram Ads Raw Data'!A338</f>
        <v>45994</v>
      </c>
      <c r="B338" s="3">
        <f t="shared" si="8"/>
        <v>12</v>
      </c>
      <c r="C338" s="3">
        <f>'Instagram Ads Raw Data'!B338</f>
        <v>63290</v>
      </c>
      <c r="D338" s="3">
        <f t="shared" si="9"/>
        <v>1.1534207615737084E-2</v>
      </c>
      <c r="E338" s="3">
        <f>'Instagram Ads Raw Data'!C338</f>
        <v>730</v>
      </c>
      <c r="F338" s="15">
        <f t="shared" si="10"/>
        <v>1.7219178082191782</v>
      </c>
      <c r="G338" s="4">
        <f t="shared" si="11"/>
        <v>19.860957497234949</v>
      </c>
      <c r="H338" s="4">
        <f>'Instagram Ads Raw Data'!D338</f>
        <v>1257</v>
      </c>
      <c r="I338" s="3">
        <f t="shared" si="12"/>
        <v>1.643835616438356E-2</v>
      </c>
      <c r="J338" s="3">
        <f>'Instagram Ads Raw Data'!E338</f>
        <v>12</v>
      </c>
      <c r="K338" s="4">
        <f t="shared" si="13"/>
        <v>206.33333333333334</v>
      </c>
      <c r="L338" s="4">
        <f>'Instagram Ads Raw Data'!F338</f>
        <v>2476</v>
      </c>
      <c r="M338" s="16">
        <f t="shared" si="14"/>
        <v>1.9697692919649961</v>
      </c>
      <c r="N338" s="17">
        <f t="shared" si="15"/>
        <v>104.75</v>
      </c>
    </row>
    <row r="339" spans="1:14" ht="13" x14ac:dyDescent="0.15">
      <c r="A339" s="2">
        <f>'Instagram Ads Raw Data'!A339</f>
        <v>45995</v>
      </c>
      <c r="B339" s="3">
        <f t="shared" si="8"/>
        <v>12</v>
      </c>
      <c r="C339" s="3">
        <f>'Instagram Ads Raw Data'!B339</f>
        <v>110538</v>
      </c>
      <c r="D339" s="3">
        <f t="shared" si="9"/>
        <v>2.4136496046608405E-2</v>
      </c>
      <c r="E339" s="3">
        <f>'Instagram Ads Raw Data'!C339</f>
        <v>2668</v>
      </c>
      <c r="F339" s="15">
        <f t="shared" si="10"/>
        <v>1.896551724137931</v>
      </c>
      <c r="G339" s="4">
        <f t="shared" si="11"/>
        <v>45.776113191843528</v>
      </c>
      <c r="H339" s="4">
        <f>'Instagram Ads Raw Data'!D339</f>
        <v>5060</v>
      </c>
      <c r="I339" s="3">
        <f t="shared" si="12"/>
        <v>2.4737631184407798E-2</v>
      </c>
      <c r="J339" s="3">
        <f>'Instagram Ads Raw Data'!E339</f>
        <v>66</v>
      </c>
      <c r="K339" s="4">
        <f t="shared" si="13"/>
        <v>167.04545454545453</v>
      </c>
      <c r="L339" s="4">
        <f>'Instagram Ads Raw Data'!F339</f>
        <v>11025</v>
      </c>
      <c r="M339" s="16">
        <f t="shared" si="14"/>
        <v>2.1788537549407114</v>
      </c>
      <c r="N339" s="17">
        <f t="shared" si="15"/>
        <v>76.666666666666671</v>
      </c>
    </row>
    <row r="340" spans="1:14" ht="13" x14ac:dyDescent="0.15">
      <c r="A340" s="2">
        <f>'Instagram Ads Raw Data'!A340</f>
        <v>45996</v>
      </c>
      <c r="B340" s="3">
        <f t="shared" si="8"/>
        <v>12</v>
      </c>
      <c r="C340" s="3">
        <f>'Instagram Ads Raw Data'!B340</f>
        <v>78543</v>
      </c>
      <c r="D340" s="3">
        <f t="shared" si="9"/>
        <v>9.536177635180729E-3</v>
      </c>
      <c r="E340" s="3">
        <f>'Instagram Ads Raw Data'!C340</f>
        <v>749</v>
      </c>
      <c r="F340" s="15">
        <f t="shared" si="10"/>
        <v>1.6168224299065421</v>
      </c>
      <c r="G340" s="4">
        <f t="shared" si="11"/>
        <v>15.418305896133328</v>
      </c>
      <c r="H340" s="4">
        <f>'Instagram Ads Raw Data'!D340</f>
        <v>1211</v>
      </c>
      <c r="I340" s="3">
        <f t="shared" si="12"/>
        <v>2.2696929238985315E-2</v>
      </c>
      <c r="J340" s="3">
        <f>'Instagram Ads Raw Data'!E340</f>
        <v>17</v>
      </c>
      <c r="K340" s="4">
        <f t="shared" si="13"/>
        <v>140.8235294117647</v>
      </c>
      <c r="L340" s="4">
        <f>'Instagram Ads Raw Data'!F340</f>
        <v>2394</v>
      </c>
      <c r="M340" s="16">
        <f t="shared" si="14"/>
        <v>1.976878612716763</v>
      </c>
      <c r="N340" s="17">
        <f t="shared" si="15"/>
        <v>71.235294117647058</v>
      </c>
    </row>
    <row r="341" spans="1:14" ht="13" x14ac:dyDescent="0.15">
      <c r="A341" s="2">
        <f>'Instagram Ads Raw Data'!A341</f>
        <v>45997</v>
      </c>
      <c r="B341" s="3">
        <f t="shared" si="8"/>
        <v>12</v>
      </c>
      <c r="C341" s="3">
        <f>'Instagram Ads Raw Data'!B341</f>
        <v>51464</v>
      </c>
      <c r="D341" s="3">
        <f t="shared" si="9"/>
        <v>3.1594901290222292E-2</v>
      </c>
      <c r="E341" s="3">
        <f>'Instagram Ads Raw Data'!C341</f>
        <v>1626</v>
      </c>
      <c r="F341" s="15">
        <f t="shared" si="10"/>
        <v>1.7140221402214022</v>
      </c>
      <c r="G341" s="4">
        <f t="shared" si="11"/>
        <v>54.154360329550755</v>
      </c>
      <c r="H341" s="4">
        <f>'Instagram Ads Raw Data'!D341</f>
        <v>2787</v>
      </c>
      <c r="I341" s="3">
        <f t="shared" si="12"/>
        <v>1.3530135301353014E-2</v>
      </c>
      <c r="J341" s="3">
        <f>'Instagram Ads Raw Data'!E341</f>
        <v>22</v>
      </c>
      <c r="K341" s="4">
        <f t="shared" si="13"/>
        <v>206.86363636363637</v>
      </c>
      <c r="L341" s="4">
        <f>'Instagram Ads Raw Data'!F341</f>
        <v>4551</v>
      </c>
      <c r="M341" s="16">
        <f t="shared" si="14"/>
        <v>1.6329386437029063</v>
      </c>
      <c r="N341" s="17">
        <f t="shared" si="15"/>
        <v>126.68181818181819</v>
      </c>
    </row>
    <row r="342" spans="1:14" ht="13" x14ac:dyDescent="0.15">
      <c r="A342" s="2">
        <f>'Instagram Ads Raw Data'!A342</f>
        <v>45998</v>
      </c>
      <c r="B342" s="3">
        <f t="shared" si="8"/>
        <v>12</v>
      </c>
      <c r="C342" s="3">
        <f>'Instagram Ads Raw Data'!B342</f>
        <v>69466</v>
      </c>
      <c r="D342" s="3">
        <f t="shared" si="9"/>
        <v>2.3363947830593385E-2</v>
      </c>
      <c r="E342" s="3">
        <f>'Instagram Ads Raw Data'!C342</f>
        <v>1623</v>
      </c>
      <c r="F342" s="15">
        <f t="shared" si="10"/>
        <v>1.2858903265557609</v>
      </c>
      <c r="G342" s="4">
        <f t="shared" si="11"/>
        <v>30.04347450551349</v>
      </c>
      <c r="H342" s="4">
        <f>'Instagram Ads Raw Data'!D342</f>
        <v>2087</v>
      </c>
      <c r="I342" s="3">
        <f t="shared" si="12"/>
        <v>1.9100431300061615E-2</v>
      </c>
      <c r="J342" s="3">
        <f>'Instagram Ads Raw Data'!E342</f>
        <v>31</v>
      </c>
      <c r="K342" s="4">
        <f t="shared" si="13"/>
        <v>133.83870967741936</v>
      </c>
      <c r="L342" s="4">
        <f>'Instagram Ads Raw Data'!F342</f>
        <v>4149</v>
      </c>
      <c r="M342" s="16">
        <f t="shared" si="14"/>
        <v>1.9880210828941063</v>
      </c>
      <c r="N342" s="17">
        <f t="shared" si="15"/>
        <v>67.322580645161295</v>
      </c>
    </row>
    <row r="343" spans="1:14" ht="13" x14ac:dyDescent="0.15">
      <c r="A343" s="2">
        <f>'Instagram Ads Raw Data'!A343</f>
        <v>45999</v>
      </c>
      <c r="B343" s="3">
        <f t="shared" si="8"/>
        <v>12</v>
      </c>
      <c r="C343" s="3">
        <f>'Instagram Ads Raw Data'!B343</f>
        <v>104688</v>
      </c>
      <c r="D343" s="3">
        <f t="shared" si="9"/>
        <v>1.5617835855112333E-2</v>
      </c>
      <c r="E343" s="3">
        <f>'Instagram Ads Raw Data'!C343</f>
        <v>1635</v>
      </c>
      <c r="F343" s="15">
        <f t="shared" si="10"/>
        <v>2.1113149847094803</v>
      </c>
      <c r="G343" s="4">
        <f t="shared" si="11"/>
        <v>32.974170869631664</v>
      </c>
      <c r="H343" s="4">
        <f>'Instagram Ads Raw Data'!D343</f>
        <v>3452</v>
      </c>
      <c r="I343" s="3">
        <f t="shared" si="12"/>
        <v>1.7737003058103974E-2</v>
      </c>
      <c r="J343" s="3">
        <f>'Instagram Ads Raw Data'!E343</f>
        <v>29</v>
      </c>
      <c r="K343" s="4">
        <f t="shared" si="13"/>
        <v>201.20689655172413</v>
      </c>
      <c r="L343" s="4">
        <f>'Instagram Ads Raw Data'!F343</f>
        <v>5835</v>
      </c>
      <c r="M343" s="16">
        <f t="shared" si="14"/>
        <v>1.6903244495944381</v>
      </c>
      <c r="N343" s="17">
        <f t="shared" si="15"/>
        <v>119.03448275862068</v>
      </c>
    </row>
    <row r="344" spans="1:14" ht="13" x14ac:dyDescent="0.15">
      <c r="A344" s="2">
        <f>'Instagram Ads Raw Data'!A344</f>
        <v>46000</v>
      </c>
      <c r="B344" s="3">
        <f t="shared" si="8"/>
        <v>12</v>
      </c>
      <c r="C344" s="3">
        <f>'Instagram Ads Raw Data'!B344</f>
        <v>75437</v>
      </c>
      <c r="D344" s="3">
        <f t="shared" si="9"/>
        <v>2.2535360632050586E-2</v>
      </c>
      <c r="E344" s="3">
        <f>'Instagram Ads Raw Data'!C344</f>
        <v>1700</v>
      </c>
      <c r="F344" s="15">
        <f t="shared" si="10"/>
        <v>1.7270588235294118</v>
      </c>
      <c r="G344" s="4">
        <f t="shared" si="11"/>
        <v>38.919893421000303</v>
      </c>
      <c r="H344" s="4">
        <f>'Instagram Ads Raw Data'!D344</f>
        <v>2936</v>
      </c>
      <c r="I344" s="3">
        <f t="shared" si="12"/>
        <v>2.2352941176470589E-2</v>
      </c>
      <c r="J344" s="3">
        <f>'Instagram Ads Raw Data'!E344</f>
        <v>38</v>
      </c>
      <c r="K344" s="4">
        <f t="shared" si="13"/>
        <v>135.05263157894737</v>
      </c>
      <c r="L344" s="4">
        <f>'Instagram Ads Raw Data'!F344</f>
        <v>5132</v>
      </c>
      <c r="M344" s="16">
        <f t="shared" si="14"/>
        <v>1.7479564032697548</v>
      </c>
      <c r="N344" s="17">
        <f t="shared" si="15"/>
        <v>77.263157894736835</v>
      </c>
    </row>
    <row r="345" spans="1:14" ht="13" x14ac:dyDescent="0.15">
      <c r="A345" s="2">
        <f>'Instagram Ads Raw Data'!A345</f>
        <v>46001</v>
      </c>
      <c r="B345" s="3">
        <f t="shared" si="8"/>
        <v>12</v>
      </c>
      <c r="C345" s="3">
        <f>'Instagram Ads Raw Data'!B345</f>
        <v>45951</v>
      </c>
      <c r="D345" s="3">
        <f t="shared" si="9"/>
        <v>1.9716654697395052E-2</v>
      </c>
      <c r="E345" s="3">
        <f>'Instagram Ads Raw Data'!C345</f>
        <v>906</v>
      </c>
      <c r="F345" s="15">
        <f t="shared" si="10"/>
        <v>1.6092715231788079</v>
      </c>
      <c r="G345" s="4">
        <f t="shared" si="11"/>
        <v>31.729450936867533</v>
      </c>
      <c r="H345" s="4">
        <f>'Instagram Ads Raw Data'!D345</f>
        <v>1458</v>
      </c>
      <c r="I345" s="3">
        <f t="shared" si="12"/>
        <v>1.2141280353200883E-2</v>
      </c>
      <c r="J345" s="3">
        <f>'Instagram Ads Raw Data'!E345</f>
        <v>11</v>
      </c>
      <c r="K345" s="4">
        <f t="shared" si="13"/>
        <v>148.72727272727272</v>
      </c>
      <c r="L345" s="4">
        <f>'Instagram Ads Raw Data'!F345</f>
        <v>1636</v>
      </c>
      <c r="M345" s="16">
        <f t="shared" si="14"/>
        <v>1.1220850480109739</v>
      </c>
      <c r="N345" s="17">
        <f t="shared" si="15"/>
        <v>132.54545454545453</v>
      </c>
    </row>
    <row r="346" spans="1:14" ht="13" x14ac:dyDescent="0.15">
      <c r="A346" s="2">
        <f>'Instagram Ads Raw Data'!A346</f>
        <v>46002</v>
      </c>
      <c r="B346" s="3">
        <f t="shared" si="8"/>
        <v>12</v>
      </c>
      <c r="C346" s="3">
        <f>'Instagram Ads Raw Data'!B346</f>
        <v>67590</v>
      </c>
      <c r="D346" s="3">
        <f t="shared" si="9"/>
        <v>1.0534102677910934E-2</v>
      </c>
      <c r="E346" s="3">
        <f>'Instagram Ads Raw Data'!C346</f>
        <v>712</v>
      </c>
      <c r="F346" s="15">
        <f t="shared" si="10"/>
        <v>2.1558988764044944</v>
      </c>
      <c r="G346" s="4">
        <f t="shared" si="11"/>
        <v>22.710460127237756</v>
      </c>
      <c r="H346" s="4">
        <f>'Instagram Ads Raw Data'!D346</f>
        <v>1535</v>
      </c>
      <c r="I346" s="3">
        <f t="shared" si="12"/>
        <v>1.2640449438202247E-2</v>
      </c>
      <c r="J346" s="3">
        <f>'Instagram Ads Raw Data'!E346</f>
        <v>9</v>
      </c>
      <c r="K346" s="4">
        <f t="shared" si="13"/>
        <v>197.66666666666666</v>
      </c>
      <c r="L346" s="4">
        <f>'Instagram Ads Raw Data'!F346</f>
        <v>1779</v>
      </c>
      <c r="M346" s="16">
        <f t="shared" si="14"/>
        <v>1.1589576547231271</v>
      </c>
      <c r="N346" s="17">
        <f t="shared" si="15"/>
        <v>170.55555555555554</v>
      </c>
    </row>
    <row r="347" spans="1:14" ht="13" x14ac:dyDescent="0.15">
      <c r="A347" s="2">
        <f>'Instagram Ads Raw Data'!A347</f>
        <v>46003</v>
      </c>
      <c r="B347" s="3">
        <f t="shared" si="8"/>
        <v>12</v>
      </c>
      <c r="C347" s="3">
        <f>'Instagram Ads Raw Data'!B347</f>
        <v>34901</v>
      </c>
      <c r="D347" s="3">
        <f t="shared" si="9"/>
        <v>9.8851035786940208E-3</v>
      </c>
      <c r="E347" s="3">
        <f>'Instagram Ads Raw Data'!C347</f>
        <v>345</v>
      </c>
      <c r="F347" s="15">
        <f t="shared" si="10"/>
        <v>1.826086956521739</v>
      </c>
      <c r="G347" s="4">
        <f t="shared" si="11"/>
        <v>18.051058708919513</v>
      </c>
      <c r="H347" s="4">
        <f>'Instagram Ads Raw Data'!D347</f>
        <v>630</v>
      </c>
      <c r="I347" s="3">
        <f t="shared" si="12"/>
        <v>1.1594202898550725E-2</v>
      </c>
      <c r="J347" s="3">
        <f>'Instagram Ads Raw Data'!E347</f>
        <v>4</v>
      </c>
      <c r="K347" s="4">
        <f t="shared" si="13"/>
        <v>150.75</v>
      </c>
      <c r="L347" s="4">
        <f>'Instagram Ads Raw Data'!F347</f>
        <v>603</v>
      </c>
      <c r="M347" s="16">
        <f t="shared" si="14"/>
        <v>0.95714285714285718</v>
      </c>
      <c r="N347" s="17">
        <f t="shared" si="15"/>
        <v>157.5</v>
      </c>
    </row>
    <row r="348" spans="1:14" ht="13" x14ac:dyDescent="0.15">
      <c r="A348" s="2">
        <f>'Instagram Ads Raw Data'!A348</f>
        <v>46004</v>
      </c>
      <c r="B348" s="3">
        <f t="shared" si="8"/>
        <v>12</v>
      </c>
      <c r="C348" s="3">
        <f>'Instagram Ads Raw Data'!B348</f>
        <v>117250</v>
      </c>
      <c r="D348" s="3">
        <f t="shared" si="9"/>
        <v>1.9965884861407251E-2</v>
      </c>
      <c r="E348" s="3">
        <f>'Instagram Ads Raw Data'!C348</f>
        <v>2341</v>
      </c>
      <c r="F348" s="15">
        <f t="shared" si="10"/>
        <v>1.4720205040580949</v>
      </c>
      <c r="G348" s="4">
        <f t="shared" si="11"/>
        <v>29.390191897654585</v>
      </c>
      <c r="H348" s="4">
        <f>'Instagram Ads Raw Data'!D348</f>
        <v>3446</v>
      </c>
      <c r="I348" s="3">
        <f t="shared" si="12"/>
        <v>1.9222554463904314E-2</v>
      </c>
      <c r="J348" s="3">
        <f>'Instagram Ads Raw Data'!E348</f>
        <v>45</v>
      </c>
      <c r="K348" s="4">
        <f t="shared" si="13"/>
        <v>142.0888888888889</v>
      </c>
      <c r="L348" s="4">
        <f>'Instagram Ads Raw Data'!F348</f>
        <v>6394</v>
      </c>
      <c r="M348" s="16">
        <f t="shared" si="14"/>
        <v>1.8554846198491004</v>
      </c>
      <c r="N348" s="17">
        <f t="shared" si="15"/>
        <v>76.577777777777783</v>
      </c>
    </row>
    <row r="349" spans="1:14" ht="13" x14ac:dyDescent="0.15">
      <c r="A349" s="2">
        <f>'Instagram Ads Raw Data'!A349</f>
        <v>46005</v>
      </c>
      <c r="B349" s="3">
        <f t="shared" si="8"/>
        <v>12</v>
      </c>
      <c r="C349" s="3">
        <f>'Instagram Ads Raw Data'!B349</f>
        <v>23580</v>
      </c>
      <c r="D349" s="3">
        <f t="shared" si="9"/>
        <v>2.9262086513994912E-2</v>
      </c>
      <c r="E349" s="3">
        <f>'Instagram Ads Raw Data'!C349</f>
        <v>690</v>
      </c>
      <c r="F349" s="15">
        <f t="shared" si="10"/>
        <v>1.7666666666666666</v>
      </c>
      <c r="G349" s="4">
        <f t="shared" si="11"/>
        <v>51.696352841391011</v>
      </c>
      <c r="H349" s="4">
        <f>'Instagram Ads Raw Data'!D349</f>
        <v>1219</v>
      </c>
      <c r="I349" s="3">
        <f t="shared" si="12"/>
        <v>1.7391304347826087E-2</v>
      </c>
      <c r="J349" s="3">
        <f>'Instagram Ads Raw Data'!E349</f>
        <v>12</v>
      </c>
      <c r="K349" s="4">
        <f t="shared" si="13"/>
        <v>164.08333333333334</v>
      </c>
      <c r="L349" s="4">
        <f>'Instagram Ads Raw Data'!F349</f>
        <v>1969</v>
      </c>
      <c r="M349" s="16">
        <f t="shared" si="14"/>
        <v>1.6152584085315833</v>
      </c>
      <c r="N349" s="17">
        <f t="shared" si="15"/>
        <v>101.58333333333333</v>
      </c>
    </row>
    <row r="350" spans="1:14" ht="13" x14ac:dyDescent="0.15">
      <c r="A350" s="2">
        <f>'Instagram Ads Raw Data'!A350</f>
        <v>46006</v>
      </c>
      <c r="B350" s="3">
        <f t="shared" si="8"/>
        <v>12</v>
      </c>
      <c r="C350" s="3">
        <f>'Instagram Ads Raw Data'!B350</f>
        <v>118209</v>
      </c>
      <c r="D350" s="3">
        <f t="shared" si="9"/>
        <v>2.55648893062288E-2</v>
      </c>
      <c r="E350" s="3">
        <f>'Instagram Ads Raw Data'!C350</f>
        <v>3022</v>
      </c>
      <c r="F350" s="15">
        <f t="shared" si="10"/>
        <v>1.4900727994705494</v>
      </c>
      <c r="G350" s="4">
        <f t="shared" si="11"/>
        <v>38.093546176687056</v>
      </c>
      <c r="H350" s="4">
        <f>'Instagram Ads Raw Data'!D350</f>
        <v>4503</v>
      </c>
      <c r="I350" s="3">
        <f t="shared" si="12"/>
        <v>1.8199867637326273E-2</v>
      </c>
      <c r="J350" s="3">
        <f>'Instagram Ads Raw Data'!E350</f>
        <v>55</v>
      </c>
      <c r="K350" s="4">
        <f t="shared" si="13"/>
        <v>113.76363636363637</v>
      </c>
      <c r="L350" s="4">
        <f>'Instagram Ads Raw Data'!F350</f>
        <v>6257</v>
      </c>
      <c r="M350" s="16">
        <f t="shared" si="14"/>
        <v>1.3895180990450811</v>
      </c>
      <c r="N350" s="17">
        <f t="shared" si="15"/>
        <v>81.872727272727275</v>
      </c>
    </row>
    <row r="351" spans="1:14" ht="13" x14ac:dyDescent="0.15">
      <c r="A351" s="2">
        <f>'Instagram Ads Raw Data'!A351</f>
        <v>46007</v>
      </c>
      <c r="B351" s="3">
        <f t="shared" si="8"/>
        <v>12</v>
      </c>
      <c r="C351" s="3">
        <f>'Instagram Ads Raw Data'!B351</f>
        <v>88263</v>
      </c>
      <c r="D351" s="3">
        <f t="shared" si="9"/>
        <v>2.5458006186057577E-2</v>
      </c>
      <c r="E351" s="3">
        <f>'Instagram Ads Raw Data'!C351</f>
        <v>2247</v>
      </c>
      <c r="F351" s="15">
        <f t="shared" si="10"/>
        <v>1.2492211838006231</v>
      </c>
      <c r="G351" s="4">
        <f t="shared" si="11"/>
        <v>31.80268062495043</v>
      </c>
      <c r="H351" s="4">
        <f>'Instagram Ads Raw Data'!D351</f>
        <v>2807</v>
      </c>
      <c r="I351" s="3">
        <f t="shared" si="12"/>
        <v>2.4032042723631509E-2</v>
      </c>
      <c r="J351" s="3">
        <f>'Instagram Ads Raw Data'!E351</f>
        <v>54</v>
      </c>
      <c r="K351" s="4">
        <f t="shared" si="13"/>
        <v>198.4814814814815</v>
      </c>
      <c r="L351" s="4">
        <f>'Instagram Ads Raw Data'!F351</f>
        <v>10718</v>
      </c>
      <c r="M351" s="16">
        <f t="shared" si="14"/>
        <v>3.8183113644460276</v>
      </c>
      <c r="N351" s="17">
        <f t="shared" si="15"/>
        <v>51.981481481481481</v>
      </c>
    </row>
    <row r="352" spans="1:14" ht="13" x14ac:dyDescent="0.15">
      <c r="A352" s="2">
        <f>'Instagram Ads Raw Data'!A352</f>
        <v>46008</v>
      </c>
      <c r="B352" s="3">
        <f t="shared" si="8"/>
        <v>12</v>
      </c>
      <c r="C352" s="3">
        <f>'Instagram Ads Raw Data'!B352</f>
        <v>47023</v>
      </c>
      <c r="D352" s="3">
        <f t="shared" si="9"/>
        <v>1.5736979775854368E-2</v>
      </c>
      <c r="E352" s="3">
        <f>'Instagram Ads Raw Data'!C352</f>
        <v>740</v>
      </c>
      <c r="F352" s="15">
        <f t="shared" si="10"/>
        <v>1.3689189189189188</v>
      </c>
      <c r="G352" s="4">
        <f t="shared" si="11"/>
        <v>21.542649341811451</v>
      </c>
      <c r="H352" s="4">
        <f>'Instagram Ads Raw Data'!D352</f>
        <v>1013</v>
      </c>
      <c r="I352" s="3">
        <f t="shared" si="12"/>
        <v>1.2162162162162163E-2</v>
      </c>
      <c r="J352" s="3">
        <f>'Instagram Ads Raw Data'!E352</f>
        <v>9</v>
      </c>
      <c r="K352" s="4">
        <f t="shared" si="13"/>
        <v>199.77777777777777</v>
      </c>
      <c r="L352" s="4">
        <f>'Instagram Ads Raw Data'!F352</f>
        <v>1798</v>
      </c>
      <c r="M352" s="16">
        <f t="shared" si="14"/>
        <v>1.7749259624876603</v>
      </c>
      <c r="N352" s="17">
        <f t="shared" si="15"/>
        <v>112.55555555555556</v>
      </c>
    </row>
    <row r="353" spans="1:14" ht="13" x14ac:dyDescent="0.15">
      <c r="A353" s="2">
        <f>'Instagram Ads Raw Data'!A353</f>
        <v>46009</v>
      </c>
      <c r="B353" s="3">
        <f t="shared" si="8"/>
        <v>12</v>
      </c>
      <c r="C353" s="3">
        <f>'Instagram Ads Raw Data'!B353</f>
        <v>92320</v>
      </c>
      <c r="D353" s="3">
        <f t="shared" si="9"/>
        <v>1.9475736568457538E-2</v>
      </c>
      <c r="E353" s="3">
        <f>'Instagram Ads Raw Data'!C353</f>
        <v>1798</v>
      </c>
      <c r="F353" s="15">
        <f t="shared" si="10"/>
        <v>1.6023359288097887</v>
      </c>
      <c r="G353" s="4">
        <f t="shared" si="11"/>
        <v>31.206672443674179</v>
      </c>
      <c r="H353" s="4">
        <f>'Instagram Ads Raw Data'!D353</f>
        <v>2881</v>
      </c>
      <c r="I353" s="3">
        <f t="shared" si="12"/>
        <v>1.6685205784204672E-2</v>
      </c>
      <c r="J353" s="3">
        <f>'Instagram Ads Raw Data'!E353</f>
        <v>30</v>
      </c>
      <c r="K353" s="4">
        <f t="shared" si="13"/>
        <v>180.43333333333334</v>
      </c>
      <c r="L353" s="4">
        <f>'Instagram Ads Raw Data'!F353</f>
        <v>5413</v>
      </c>
      <c r="M353" s="16">
        <f t="shared" si="14"/>
        <v>1.8788615064213814</v>
      </c>
      <c r="N353" s="17">
        <f t="shared" si="15"/>
        <v>96.033333333333331</v>
      </c>
    </row>
    <row r="354" spans="1:14" ht="13" x14ac:dyDescent="0.15">
      <c r="A354" s="2">
        <f>'Instagram Ads Raw Data'!A354</f>
        <v>46010</v>
      </c>
      <c r="B354" s="3">
        <f t="shared" si="8"/>
        <v>12</v>
      </c>
      <c r="C354" s="3">
        <f>'Instagram Ads Raw Data'!B354</f>
        <v>75577</v>
      </c>
      <c r="D354" s="3">
        <f t="shared" si="9"/>
        <v>2.9413710520396416E-2</v>
      </c>
      <c r="E354" s="3">
        <f>'Instagram Ads Raw Data'!C354</f>
        <v>2223</v>
      </c>
      <c r="F354" s="15">
        <f t="shared" si="10"/>
        <v>1.8047683310841205</v>
      </c>
      <c r="G354" s="4">
        <f t="shared" si="11"/>
        <v>53.084933246887282</v>
      </c>
      <c r="H354" s="4">
        <f>'Instagram Ads Raw Data'!D354</f>
        <v>4012</v>
      </c>
      <c r="I354" s="3">
        <f t="shared" si="12"/>
        <v>1.5744489428699954E-2</v>
      </c>
      <c r="J354" s="3">
        <f>'Instagram Ads Raw Data'!E354</f>
        <v>35</v>
      </c>
      <c r="K354" s="4">
        <f t="shared" si="13"/>
        <v>136.88571428571427</v>
      </c>
      <c r="L354" s="4">
        <f>'Instagram Ads Raw Data'!F354</f>
        <v>4791</v>
      </c>
      <c r="M354" s="16">
        <f t="shared" si="14"/>
        <v>1.1941674975074776</v>
      </c>
      <c r="N354" s="17">
        <f t="shared" si="15"/>
        <v>114.62857142857143</v>
      </c>
    </row>
    <row r="355" spans="1:14" ht="13" x14ac:dyDescent="0.15">
      <c r="A355" s="2">
        <f>'Instagram Ads Raw Data'!A355</f>
        <v>46011</v>
      </c>
      <c r="B355" s="3">
        <f t="shared" si="8"/>
        <v>12</v>
      </c>
      <c r="C355" s="3">
        <f>'Instagram Ads Raw Data'!B355</f>
        <v>97231</v>
      </c>
      <c r="D355" s="3">
        <f t="shared" si="9"/>
        <v>2.58045273626724E-2</v>
      </c>
      <c r="E355" s="3">
        <f>'Instagram Ads Raw Data'!C355</f>
        <v>2509</v>
      </c>
      <c r="F355" s="15">
        <f t="shared" si="10"/>
        <v>1.3300119569549622</v>
      </c>
      <c r="G355" s="4">
        <f t="shared" si="11"/>
        <v>34.320329935925784</v>
      </c>
      <c r="H355" s="4">
        <f>'Instagram Ads Raw Data'!D355</f>
        <v>3337</v>
      </c>
      <c r="I355" s="3">
        <f t="shared" si="12"/>
        <v>1.4746911119968115E-2</v>
      </c>
      <c r="J355" s="3">
        <f>'Instagram Ads Raw Data'!E355</f>
        <v>37</v>
      </c>
      <c r="K355" s="4">
        <f t="shared" si="13"/>
        <v>166.64864864864865</v>
      </c>
      <c r="L355" s="4">
        <f>'Instagram Ads Raw Data'!F355</f>
        <v>6166</v>
      </c>
      <c r="M355" s="16">
        <f t="shared" si="14"/>
        <v>1.8477674557986214</v>
      </c>
      <c r="N355" s="17">
        <f t="shared" si="15"/>
        <v>90.189189189189193</v>
      </c>
    </row>
    <row r="356" spans="1:14" ht="13" x14ac:dyDescent="0.15">
      <c r="A356" s="2">
        <f>'Instagram Ads Raw Data'!A356</f>
        <v>46012</v>
      </c>
      <c r="B356" s="3">
        <f t="shared" si="8"/>
        <v>12</v>
      </c>
      <c r="C356" s="3">
        <f>'Instagram Ads Raw Data'!B356</f>
        <v>22728</v>
      </c>
      <c r="D356" s="3">
        <f t="shared" si="9"/>
        <v>1.1571629707849349E-2</v>
      </c>
      <c r="E356" s="3">
        <f>'Instagram Ads Raw Data'!C356</f>
        <v>263</v>
      </c>
      <c r="F356" s="15">
        <f t="shared" si="10"/>
        <v>1.5019011406844107</v>
      </c>
      <c r="G356" s="4">
        <f t="shared" si="11"/>
        <v>17.379443857796549</v>
      </c>
      <c r="H356" s="4">
        <f>'Instagram Ads Raw Data'!D356</f>
        <v>395</v>
      </c>
      <c r="I356" s="3">
        <f t="shared" si="12"/>
        <v>1.5209125475285171E-2</v>
      </c>
      <c r="J356" s="3">
        <f>'Instagram Ads Raw Data'!E356</f>
        <v>4</v>
      </c>
      <c r="K356" s="4">
        <f t="shared" si="13"/>
        <v>199.75</v>
      </c>
      <c r="L356" s="4">
        <f>'Instagram Ads Raw Data'!F356</f>
        <v>799</v>
      </c>
      <c r="M356" s="16">
        <f t="shared" si="14"/>
        <v>2.0227848101265824</v>
      </c>
      <c r="N356" s="17">
        <f t="shared" si="15"/>
        <v>98.75</v>
      </c>
    </row>
    <row r="357" spans="1:14" ht="13" x14ac:dyDescent="0.15">
      <c r="A357" s="2">
        <f>'Instagram Ads Raw Data'!A357</f>
        <v>46013</v>
      </c>
      <c r="B357" s="3">
        <f t="shared" si="8"/>
        <v>12</v>
      </c>
      <c r="C357" s="3">
        <f>'Instagram Ads Raw Data'!B357</f>
        <v>67243</v>
      </c>
      <c r="D357" s="3">
        <f t="shared" si="9"/>
        <v>1.6804723168210817E-2</v>
      </c>
      <c r="E357" s="3">
        <f>'Instagram Ads Raw Data'!C357</f>
        <v>1130</v>
      </c>
      <c r="F357" s="15">
        <f t="shared" si="10"/>
        <v>1.1557522123893806</v>
      </c>
      <c r="G357" s="4">
        <f t="shared" si="11"/>
        <v>19.422095980250734</v>
      </c>
      <c r="H357" s="4">
        <f>'Instagram Ads Raw Data'!D357</f>
        <v>1306</v>
      </c>
      <c r="I357" s="3">
        <f t="shared" si="12"/>
        <v>1.415929203539823E-2</v>
      </c>
      <c r="J357" s="3">
        <f>'Instagram Ads Raw Data'!E357</f>
        <v>16</v>
      </c>
      <c r="K357" s="4">
        <f t="shared" si="13"/>
        <v>122.5</v>
      </c>
      <c r="L357" s="4">
        <f>'Instagram Ads Raw Data'!F357</f>
        <v>1960</v>
      </c>
      <c r="M357" s="16">
        <f t="shared" si="14"/>
        <v>1.5007656967840735</v>
      </c>
      <c r="N357" s="17">
        <f t="shared" si="15"/>
        <v>81.625</v>
      </c>
    </row>
    <row r="358" spans="1:14" ht="13" x14ac:dyDescent="0.15">
      <c r="A358" s="2">
        <f>'Instagram Ads Raw Data'!A358</f>
        <v>46014</v>
      </c>
      <c r="B358" s="3">
        <f t="shared" si="8"/>
        <v>12</v>
      </c>
      <c r="C358" s="3">
        <f>'Instagram Ads Raw Data'!B358</f>
        <v>68598</v>
      </c>
      <c r="D358" s="3">
        <f t="shared" si="9"/>
        <v>1.1632992215516487E-2</v>
      </c>
      <c r="E358" s="3">
        <f>'Instagram Ads Raw Data'!C358</f>
        <v>798</v>
      </c>
      <c r="F358" s="15">
        <f t="shared" si="10"/>
        <v>1.4837092731829573</v>
      </c>
      <c r="G358" s="4">
        <f t="shared" si="11"/>
        <v>17.259978425026969</v>
      </c>
      <c r="H358" s="4">
        <f>'Instagram Ads Raw Data'!D358</f>
        <v>1184</v>
      </c>
      <c r="I358" s="3">
        <f t="shared" si="12"/>
        <v>2.0050125313283207E-2</v>
      </c>
      <c r="J358" s="3">
        <f>'Instagram Ads Raw Data'!E358</f>
        <v>16</v>
      </c>
      <c r="K358" s="4">
        <f t="shared" si="13"/>
        <v>192.25</v>
      </c>
      <c r="L358" s="4">
        <f>'Instagram Ads Raw Data'!F358</f>
        <v>3076</v>
      </c>
      <c r="M358" s="16">
        <f t="shared" si="14"/>
        <v>2.5979729729729728</v>
      </c>
      <c r="N358" s="17">
        <f t="shared" si="15"/>
        <v>74</v>
      </c>
    </row>
    <row r="359" spans="1:14" ht="13" x14ac:dyDescent="0.15">
      <c r="A359" s="2">
        <f>'Instagram Ads Raw Data'!A359</f>
        <v>46015</v>
      </c>
      <c r="B359" s="3">
        <f t="shared" si="8"/>
        <v>12</v>
      </c>
      <c r="C359" s="3">
        <f>'Instagram Ads Raw Data'!B359</f>
        <v>72214</v>
      </c>
      <c r="D359" s="3">
        <f t="shared" si="9"/>
        <v>2.3333425651535712E-2</v>
      </c>
      <c r="E359" s="3">
        <f>'Instagram Ads Raw Data'!C359</f>
        <v>1685</v>
      </c>
      <c r="F359" s="15">
        <f t="shared" si="10"/>
        <v>1.2824925816023738</v>
      </c>
      <c r="G359" s="4">
        <f t="shared" si="11"/>
        <v>29.92494530146509</v>
      </c>
      <c r="H359" s="4">
        <f>'Instagram Ads Raw Data'!D359</f>
        <v>2161</v>
      </c>
      <c r="I359" s="3">
        <f t="shared" si="12"/>
        <v>1.8991097922848664E-2</v>
      </c>
      <c r="J359" s="3">
        <f>'Instagram Ads Raw Data'!E359</f>
        <v>32</v>
      </c>
      <c r="K359" s="4">
        <f t="shared" si="13"/>
        <v>143.21875</v>
      </c>
      <c r="L359" s="4">
        <f>'Instagram Ads Raw Data'!F359</f>
        <v>4583</v>
      </c>
      <c r="M359" s="16">
        <f t="shared" si="14"/>
        <v>2.1207774178621008</v>
      </c>
      <c r="N359" s="17">
        <f t="shared" si="15"/>
        <v>67.53125</v>
      </c>
    </row>
    <row r="360" spans="1:14" ht="13" x14ac:dyDescent="0.15">
      <c r="A360" s="2">
        <f>'Instagram Ads Raw Data'!A360</f>
        <v>46016</v>
      </c>
      <c r="B360" s="3">
        <f t="shared" si="8"/>
        <v>12</v>
      </c>
      <c r="C360" s="3">
        <f>'Instagram Ads Raw Data'!B360</f>
        <v>101958</v>
      </c>
      <c r="D360" s="3">
        <f t="shared" si="9"/>
        <v>1.3485945193118735E-2</v>
      </c>
      <c r="E360" s="3">
        <f>'Instagram Ads Raw Data'!C360</f>
        <v>1375</v>
      </c>
      <c r="F360" s="15">
        <f t="shared" si="10"/>
        <v>1.1076363636363635</v>
      </c>
      <c r="G360" s="4">
        <f t="shared" si="11"/>
        <v>14.937523293905334</v>
      </c>
      <c r="H360" s="4">
        <f>'Instagram Ads Raw Data'!D360</f>
        <v>1523</v>
      </c>
      <c r="I360" s="3">
        <f t="shared" si="12"/>
        <v>1.6E-2</v>
      </c>
      <c r="J360" s="3">
        <f>'Instagram Ads Raw Data'!E360</f>
        <v>22</v>
      </c>
      <c r="K360" s="4">
        <f t="shared" si="13"/>
        <v>140.68181818181819</v>
      </c>
      <c r="L360" s="4">
        <f>'Instagram Ads Raw Data'!F360</f>
        <v>3095</v>
      </c>
      <c r="M360" s="16">
        <f t="shared" si="14"/>
        <v>2.0321733420879844</v>
      </c>
      <c r="N360" s="17">
        <f t="shared" si="15"/>
        <v>69.227272727272734</v>
      </c>
    </row>
    <row r="361" spans="1:14" ht="13" x14ac:dyDescent="0.15">
      <c r="A361" s="2">
        <f>'Instagram Ads Raw Data'!A361</f>
        <v>46017</v>
      </c>
      <c r="B361" s="3">
        <f t="shared" si="8"/>
        <v>12</v>
      </c>
      <c r="C361" s="3">
        <f>'Instagram Ads Raw Data'!B361</f>
        <v>28717</v>
      </c>
      <c r="D361" s="3">
        <f t="shared" si="9"/>
        <v>2.0545321586516698E-2</v>
      </c>
      <c r="E361" s="3">
        <f>'Instagram Ads Raw Data'!C361</f>
        <v>590</v>
      </c>
      <c r="F361" s="15">
        <f t="shared" si="10"/>
        <v>1.0881355932203389</v>
      </c>
      <c r="G361" s="4">
        <f t="shared" si="11"/>
        <v>22.356095692446985</v>
      </c>
      <c r="H361" s="4">
        <f>'Instagram Ads Raw Data'!D361</f>
        <v>642</v>
      </c>
      <c r="I361" s="3">
        <f t="shared" si="12"/>
        <v>1.3559322033898305E-2</v>
      </c>
      <c r="J361" s="3">
        <f>'Instagram Ads Raw Data'!E361</f>
        <v>8</v>
      </c>
      <c r="K361" s="4">
        <f t="shared" si="13"/>
        <v>174.625</v>
      </c>
      <c r="L361" s="4">
        <f>'Instagram Ads Raw Data'!F361</f>
        <v>1397</v>
      </c>
      <c r="M361" s="16">
        <f t="shared" si="14"/>
        <v>2.17601246105919</v>
      </c>
      <c r="N361" s="17">
        <f t="shared" si="15"/>
        <v>80.25</v>
      </c>
    </row>
    <row r="362" spans="1:14" ht="13" x14ac:dyDescent="0.15">
      <c r="A362" s="2">
        <f>'Instagram Ads Raw Data'!A362</f>
        <v>46018</v>
      </c>
      <c r="B362" s="3">
        <f t="shared" si="8"/>
        <v>12</v>
      </c>
      <c r="C362" s="3">
        <f>'Instagram Ads Raw Data'!B362</f>
        <v>98027</v>
      </c>
      <c r="D362" s="3">
        <f t="shared" si="9"/>
        <v>2.3891376865557448E-2</v>
      </c>
      <c r="E362" s="3">
        <f>'Instagram Ads Raw Data'!C362</f>
        <v>2342</v>
      </c>
      <c r="F362" s="15">
        <f t="shared" si="10"/>
        <v>1.020068317677199</v>
      </c>
      <c r="G362" s="4">
        <f t="shared" si="11"/>
        <v>24.370836606241138</v>
      </c>
      <c r="H362" s="4">
        <f>'Instagram Ads Raw Data'!D362</f>
        <v>2389</v>
      </c>
      <c r="I362" s="3">
        <f t="shared" si="12"/>
        <v>1.152860802732707E-2</v>
      </c>
      <c r="J362" s="3">
        <f>'Instagram Ads Raw Data'!E362</f>
        <v>27</v>
      </c>
      <c r="K362" s="4">
        <f t="shared" si="13"/>
        <v>185.55555555555554</v>
      </c>
      <c r="L362" s="4">
        <f>'Instagram Ads Raw Data'!F362</f>
        <v>5010</v>
      </c>
      <c r="M362" s="16">
        <f t="shared" si="14"/>
        <v>2.0971117622436166</v>
      </c>
      <c r="N362" s="17">
        <f t="shared" si="15"/>
        <v>88.481481481481481</v>
      </c>
    </row>
    <row r="363" spans="1:14" ht="13" x14ac:dyDescent="0.15">
      <c r="A363" s="2">
        <f>'Instagram Ads Raw Data'!A363</f>
        <v>46019</v>
      </c>
      <c r="B363" s="3">
        <f t="shared" si="8"/>
        <v>12</v>
      </c>
      <c r="C363" s="3">
        <f>'Instagram Ads Raw Data'!B363</f>
        <v>93487</v>
      </c>
      <c r="D363" s="3">
        <f t="shared" si="9"/>
        <v>2.5361815011712859E-2</v>
      </c>
      <c r="E363" s="3">
        <f>'Instagram Ads Raw Data'!C363</f>
        <v>2371</v>
      </c>
      <c r="F363" s="15">
        <f t="shared" si="10"/>
        <v>1.6878954027836357</v>
      </c>
      <c r="G363" s="4">
        <f t="shared" si="11"/>
        <v>42.808090964519131</v>
      </c>
      <c r="H363" s="4">
        <f>'Instagram Ads Raw Data'!D363</f>
        <v>4002</v>
      </c>
      <c r="I363" s="3">
        <f t="shared" si="12"/>
        <v>1.7714044706874738E-2</v>
      </c>
      <c r="J363" s="3">
        <f>'Instagram Ads Raw Data'!E363</f>
        <v>42</v>
      </c>
      <c r="K363" s="4">
        <f t="shared" si="13"/>
        <v>160.73809523809524</v>
      </c>
      <c r="L363" s="4">
        <f>'Instagram Ads Raw Data'!F363</f>
        <v>6751</v>
      </c>
      <c r="M363" s="16">
        <f t="shared" si="14"/>
        <v>1.6869065467266366</v>
      </c>
      <c r="N363" s="17">
        <f t="shared" si="15"/>
        <v>95.285714285714292</v>
      </c>
    </row>
    <row r="364" spans="1:14" ht="13" x14ac:dyDescent="0.15">
      <c r="A364" s="2">
        <f>'Instagram Ads Raw Data'!A364</f>
        <v>46020</v>
      </c>
      <c r="B364" s="3">
        <f t="shared" si="8"/>
        <v>12</v>
      </c>
      <c r="C364" s="3">
        <f>'Instagram Ads Raw Data'!B364</f>
        <v>56358</v>
      </c>
      <c r="D364" s="3">
        <f t="shared" si="9"/>
        <v>1.9997161006423222E-2</v>
      </c>
      <c r="E364" s="3">
        <f>'Instagram Ads Raw Data'!C364</f>
        <v>1127</v>
      </c>
      <c r="F364" s="15">
        <f t="shared" si="10"/>
        <v>1.1233362910381544</v>
      </c>
      <c r="G364" s="4">
        <f t="shared" si="11"/>
        <v>22.463536676248271</v>
      </c>
      <c r="H364" s="4">
        <f>'Instagram Ads Raw Data'!D364</f>
        <v>1266</v>
      </c>
      <c r="I364" s="3">
        <f t="shared" si="12"/>
        <v>1.3309671694764862E-2</v>
      </c>
      <c r="J364" s="3">
        <f>'Instagram Ads Raw Data'!E364</f>
        <v>15</v>
      </c>
      <c r="K364" s="4">
        <f t="shared" si="13"/>
        <v>108.4</v>
      </c>
      <c r="L364" s="4">
        <f>'Instagram Ads Raw Data'!F364</f>
        <v>1626</v>
      </c>
      <c r="M364" s="16">
        <f t="shared" si="14"/>
        <v>1.2843601895734598</v>
      </c>
      <c r="N364" s="17">
        <f t="shared" si="15"/>
        <v>84.4</v>
      </c>
    </row>
    <row r="365" spans="1:14" ht="13" x14ac:dyDescent="0.15">
      <c r="A365" s="2">
        <f>'Instagram Ads Raw Data'!A365</f>
        <v>46021</v>
      </c>
      <c r="B365" s="3">
        <f t="shared" si="8"/>
        <v>12</v>
      </c>
      <c r="C365" s="3">
        <f>'Instagram Ads Raw Data'!B365</f>
        <v>46415</v>
      </c>
      <c r="D365" s="3">
        <f t="shared" si="9"/>
        <v>2.5336636863083056E-2</v>
      </c>
      <c r="E365" s="3">
        <f>'Instagram Ads Raw Data'!C365</f>
        <v>1176</v>
      </c>
      <c r="F365" s="15">
        <f t="shared" si="10"/>
        <v>1.4923469387755102</v>
      </c>
      <c r="G365" s="4">
        <f t="shared" si="11"/>
        <v>37.811052461488742</v>
      </c>
      <c r="H365" s="4">
        <f>'Instagram Ads Raw Data'!D365</f>
        <v>1755</v>
      </c>
      <c r="I365" s="3">
        <f t="shared" si="12"/>
        <v>1.9557823129251702E-2</v>
      </c>
      <c r="J365" s="3">
        <f>'Instagram Ads Raw Data'!E365</f>
        <v>23</v>
      </c>
      <c r="K365" s="4">
        <f t="shared" si="13"/>
        <v>163.91304347826087</v>
      </c>
      <c r="L365" s="4">
        <f>'Instagram Ads Raw Data'!F365</f>
        <v>3770</v>
      </c>
      <c r="M365" s="16">
        <f t="shared" si="14"/>
        <v>2.1481481481481484</v>
      </c>
      <c r="N365" s="17">
        <f t="shared" si="15"/>
        <v>76.304347826086953</v>
      </c>
    </row>
    <row r="366" spans="1:14" ht="13" x14ac:dyDescent="0.15">
      <c r="A366" s="2">
        <f>'Instagram Ads Raw Data'!A366</f>
        <v>46022</v>
      </c>
      <c r="B366" s="3">
        <f t="shared" si="8"/>
        <v>12</v>
      </c>
      <c r="C366" s="3">
        <f>'Instagram Ads Raw Data'!B366</f>
        <v>83988</v>
      </c>
      <c r="D366" s="3">
        <f t="shared" si="9"/>
        <v>2.5991808353574321E-2</v>
      </c>
      <c r="E366" s="3">
        <f>'Instagram Ads Raw Data'!C366</f>
        <v>2183</v>
      </c>
      <c r="F366" s="15">
        <f t="shared" si="10"/>
        <v>1.016491067338525</v>
      </c>
      <c r="G366" s="4">
        <f t="shared" si="11"/>
        <v>26.420441015383151</v>
      </c>
      <c r="H366" s="4">
        <f>'Instagram Ads Raw Data'!D366</f>
        <v>2219</v>
      </c>
      <c r="I366" s="3">
        <f t="shared" si="12"/>
        <v>1.8781493357764543E-2</v>
      </c>
      <c r="J366" s="3">
        <f>'Instagram Ads Raw Data'!E366</f>
        <v>41</v>
      </c>
      <c r="K366" s="4">
        <f t="shared" si="13"/>
        <v>145.09756097560975</v>
      </c>
      <c r="L366" s="4">
        <f>'Instagram Ads Raw Data'!F366</f>
        <v>5949</v>
      </c>
      <c r="M366" s="16">
        <f t="shared" si="14"/>
        <v>2.6809373591707977</v>
      </c>
      <c r="N366" s="17">
        <f t="shared" si="15"/>
        <v>54.121951219512198</v>
      </c>
    </row>
    <row r="367" spans="1:14" ht="13" x14ac:dyDescent="0.15">
      <c r="F367" s="9"/>
      <c r="M367" s="18"/>
    </row>
    <row r="368" spans="1:14" ht="13" x14ac:dyDescent="0.15">
      <c r="F368" s="9"/>
      <c r="M368" s="18"/>
    </row>
    <row r="369" spans="6:13" ht="13" x14ac:dyDescent="0.15">
      <c r="F369" s="9"/>
      <c r="M369" s="18"/>
    </row>
    <row r="370" spans="6:13" ht="13" x14ac:dyDescent="0.15">
      <c r="F370" s="9"/>
      <c r="M370" s="18"/>
    </row>
    <row r="371" spans="6:13" ht="13" x14ac:dyDescent="0.15">
      <c r="F371" s="9"/>
      <c r="M371" s="18"/>
    </row>
    <row r="372" spans="6:13" ht="13" x14ac:dyDescent="0.15">
      <c r="F372" s="9"/>
      <c r="M372" s="18"/>
    </row>
    <row r="373" spans="6:13" ht="13" x14ac:dyDescent="0.15">
      <c r="F373" s="9" t="e">
        <f t="array" aca="1" ref="F373" ca="1">_xludf.XLOOKUP(MAX(L2:L366), L2:L366, B2:B366)</f>
        <v>#NAME?</v>
      </c>
      <c r="M373" s="18"/>
    </row>
    <row r="374" spans="6:13" ht="13" x14ac:dyDescent="0.15">
      <c r="F374" s="9"/>
      <c r="M374" s="18"/>
    </row>
    <row r="375" spans="6:13" ht="13" x14ac:dyDescent="0.15">
      <c r="F375" s="9"/>
      <c r="M375" s="18"/>
    </row>
    <row r="376" spans="6:13" ht="13" x14ac:dyDescent="0.15">
      <c r="F376" s="9"/>
      <c r="M376" s="18"/>
    </row>
    <row r="377" spans="6:13" ht="13" x14ac:dyDescent="0.15">
      <c r="F377" s="9"/>
      <c r="M377" s="18"/>
    </row>
    <row r="378" spans="6:13" ht="13" x14ac:dyDescent="0.15">
      <c r="F378" s="9"/>
      <c r="M378" s="18"/>
    </row>
    <row r="379" spans="6:13" ht="13" x14ac:dyDescent="0.15">
      <c r="F379" s="9"/>
      <c r="M379" s="18"/>
    </row>
    <row r="380" spans="6:13" ht="13" x14ac:dyDescent="0.15">
      <c r="F380" s="9"/>
      <c r="M380" s="18"/>
    </row>
    <row r="381" spans="6:13" ht="13" x14ac:dyDescent="0.15">
      <c r="F381" s="9"/>
      <c r="M381" s="18"/>
    </row>
    <row r="382" spans="6:13" ht="13" x14ac:dyDescent="0.15">
      <c r="F382" s="9"/>
      <c r="M382" s="18"/>
    </row>
    <row r="383" spans="6:13" ht="13" x14ac:dyDescent="0.15">
      <c r="F383" s="9"/>
      <c r="M383" s="18"/>
    </row>
    <row r="384" spans="6:13" ht="13" x14ac:dyDescent="0.15">
      <c r="F384" s="9"/>
      <c r="M384" s="18"/>
    </row>
    <row r="385" spans="6:13" ht="13" x14ac:dyDescent="0.15">
      <c r="F385" s="9"/>
      <c r="M385" s="18"/>
    </row>
    <row r="386" spans="6:13" ht="13" x14ac:dyDescent="0.15">
      <c r="F386" s="9"/>
      <c r="M386" s="18"/>
    </row>
    <row r="387" spans="6:13" ht="13" x14ac:dyDescent="0.15">
      <c r="F387" s="9"/>
      <c r="M387" s="18"/>
    </row>
    <row r="388" spans="6:13" ht="13" x14ac:dyDescent="0.15">
      <c r="F388" s="9"/>
      <c r="M388" s="18"/>
    </row>
    <row r="389" spans="6:13" ht="13" x14ac:dyDescent="0.15">
      <c r="F389" s="9"/>
      <c r="M389" s="18"/>
    </row>
    <row r="390" spans="6:13" ht="13" x14ac:dyDescent="0.15">
      <c r="F390" s="9"/>
      <c r="M390" s="18"/>
    </row>
    <row r="391" spans="6:13" ht="13" x14ac:dyDescent="0.15">
      <c r="F391" s="9"/>
      <c r="M391" s="18"/>
    </row>
    <row r="392" spans="6:13" ht="13" x14ac:dyDescent="0.15">
      <c r="F392" s="9"/>
      <c r="M392" s="18"/>
    </row>
    <row r="393" spans="6:13" ht="13" x14ac:dyDescent="0.15">
      <c r="F393" s="9"/>
      <c r="M393" s="18"/>
    </row>
    <row r="394" spans="6:13" ht="13" x14ac:dyDescent="0.15">
      <c r="F394" s="9"/>
      <c r="M394" s="18"/>
    </row>
    <row r="395" spans="6:13" ht="13" x14ac:dyDescent="0.15">
      <c r="F395" s="9"/>
      <c r="M395" s="18"/>
    </row>
    <row r="396" spans="6:13" ht="13" x14ac:dyDescent="0.15">
      <c r="F396" s="9"/>
      <c r="M396" s="18"/>
    </row>
    <row r="397" spans="6:13" ht="13" x14ac:dyDescent="0.15">
      <c r="F397" s="9"/>
      <c r="M397" s="18"/>
    </row>
    <row r="398" spans="6:13" ht="13" x14ac:dyDescent="0.15">
      <c r="F398" s="9"/>
      <c r="M398" s="18"/>
    </row>
    <row r="399" spans="6:13" ht="13" x14ac:dyDescent="0.15">
      <c r="F399" s="9"/>
      <c r="M399" s="18"/>
    </row>
    <row r="400" spans="6:13" ht="13" x14ac:dyDescent="0.15">
      <c r="F400" s="9"/>
      <c r="M400" s="18"/>
    </row>
    <row r="401" spans="6:13" ht="13" x14ac:dyDescent="0.15">
      <c r="F401" s="9"/>
      <c r="M401" s="18"/>
    </row>
    <row r="402" spans="6:13" ht="13" x14ac:dyDescent="0.15">
      <c r="F402" s="9"/>
      <c r="M402" s="18"/>
    </row>
    <row r="403" spans="6:13" ht="13" x14ac:dyDescent="0.15">
      <c r="F403" s="9"/>
      <c r="M403" s="18"/>
    </row>
    <row r="404" spans="6:13" ht="13" x14ac:dyDescent="0.15">
      <c r="F404" s="9"/>
      <c r="M404" s="18"/>
    </row>
    <row r="405" spans="6:13" ht="13" x14ac:dyDescent="0.15">
      <c r="F405" s="9"/>
      <c r="M405" s="18"/>
    </row>
    <row r="406" spans="6:13" ht="13" x14ac:dyDescent="0.15">
      <c r="F406" s="9"/>
      <c r="M406" s="18"/>
    </row>
    <row r="407" spans="6:13" ht="13" x14ac:dyDescent="0.15">
      <c r="F407" s="9"/>
      <c r="M407" s="18"/>
    </row>
    <row r="408" spans="6:13" ht="13" x14ac:dyDescent="0.15">
      <c r="F408" s="9"/>
      <c r="M408" s="18"/>
    </row>
    <row r="409" spans="6:13" ht="13" x14ac:dyDescent="0.15">
      <c r="F409" s="9"/>
      <c r="M409" s="18"/>
    </row>
    <row r="410" spans="6:13" ht="13" x14ac:dyDescent="0.15">
      <c r="F410" s="9"/>
      <c r="M410" s="18"/>
    </row>
    <row r="411" spans="6:13" ht="13" x14ac:dyDescent="0.15">
      <c r="F411" s="9"/>
      <c r="M411" s="18"/>
    </row>
    <row r="412" spans="6:13" ht="13" x14ac:dyDescent="0.15">
      <c r="F412" s="9"/>
      <c r="M412" s="18"/>
    </row>
    <row r="413" spans="6:13" ht="13" x14ac:dyDescent="0.15">
      <c r="F413" s="9"/>
      <c r="M413" s="18"/>
    </row>
    <row r="414" spans="6:13" ht="13" x14ac:dyDescent="0.15">
      <c r="F414" s="9"/>
      <c r="M414" s="18"/>
    </row>
    <row r="415" spans="6:13" ht="13" x14ac:dyDescent="0.15">
      <c r="F415" s="9"/>
      <c r="M415" s="18"/>
    </row>
    <row r="416" spans="6:13" ht="13" x14ac:dyDescent="0.15">
      <c r="F416" s="9"/>
      <c r="M416" s="18"/>
    </row>
    <row r="417" spans="6:13" ht="13" x14ac:dyDescent="0.15">
      <c r="F417" s="9"/>
      <c r="M417" s="18"/>
    </row>
    <row r="418" spans="6:13" ht="13" x14ac:dyDescent="0.15">
      <c r="F418" s="9"/>
      <c r="M418" s="18"/>
    </row>
    <row r="419" spans="6:13" ht="13" x14ac:dyDescent="0.15">
      <c r="F419" s="9"/>
      <c r="M419" s="18"/>
    </row>
    <row r="420" spans="6:13" ht="13" x14ac:dyDescent="0.15">
      <c r="F420" s="9"/>
      <c r="M420" s="18"/>
    </row>
    <row r="421" spans="6:13" ht="13" x14ac:dyDescent="0.15">
      <c r="F421" s="9"/>
      <c r="M421" s="18"/>
    </row>
    <row r="422" spans="6:13" ht="13" x14ac:dyDescent="0.15">
      <c r="F422" s="9"/>
      <c r="M422" s="18"/>
    </row>
    <row r="423" spans="6:13" ht="13" x14ac:dyDescent="0.15">
      <c r="F423" s="9"/>
      <c r="M423" s="18"/>
    </row>
    <row r="424" spans="6:13" ht="13" x14ac:dyDescent="0.15">
      <c r="F424" s="9"/>
      <c r="M424" s="18"/>
    </row>
    <row r="425" spans="6:13" ht="13" x14ac:dyDescent="0.15">
      <c r="F425" s="9"/>
      <c r="M425" s="18"/>
    </row>
    <row r="426" spans="6:13" ht="13" x14ac:dyDescent="0.15">
      <c r="F426" s="9"/>
      <c r="M426" s="18"/>
    </row>
    <row r="427" spans="6:13" ht="13" x14ac:dyDescent="0.15">
      <c r="F427" s="9"/>
      <c r="M427" s="18"/>
    </row>
    <row r="428" spans="6:13" ht="13" x14ac:dyDescent="0.15">
      <c r="F428" s="9"/>
      <c r="M428" s="18"/>
    </row>
    <row r="429" spans="6:13" ht="13" x14ac:dyDescent="0.15">
      <c r="F429" s="9"/>
      <c r="M429" s="18"/>
    </row>
    <row r="430" spans="6:13" ht="13" x14ac:dyDescent="0.15">
      <c r="F430" s="9"/>
      <c r="M430" s="18"/>
    </row>
    <row r="431" spans="6:13" ht="13" x14ac:dyDescent="0.15">
      <c r="F431" s="9"/>
      <c r="M431" s="18"/>
    </row>
    <row r="432" spans="6:13" ht="13" x14ac:dyDescent="0.15">
      <c r="F432" s="9"/>
      <c r="M432" s="18"/>
    </row>
    <row r="433" spans="6:13" ht="13" x14ac:dyDescent="0.15">
      <c r="F433" s="9"/>
      <c r="M433" s="18"/>
    </row>
    <row r="434" spans="6:13" ht="13" x14ac:dyDescent="0.15">
      <c r="F434" s="9"/>
      <c r="M434" s="18"/>
    </row>
    <row r="435" spans="6:13" ht="13" x14ac:dyDescent="0.15">
      <c r="F435" s="9"/>
      <c r="M435" s="18"/>
    </row>
    <row r="436" spans="6:13" ht="13" x14ac:dyDescent="0.15">
      <c r="F436" s="9"/>
      <c r="M436" s="18"/>
    </row>
    <row r="437" spans="6:13" ht="13" x14ac:dyDescent="0.15">
      <c r="F437" s="9"/>
      <c r="M437" s="18"/>
    </row>
    <row r="438" spans="6:13" ht="13" x14ac:dyDescent="0.15">
      <c r="F438" s="9"/>
      <c r="M438" s="18"/>
    </row>
    <row r="439" spans="6:13" ht="13" x14ac:dyDescent="0.15">
      <c r="F439" s="9"/>
      <c r="M439" s="18"/>
    </row>
    <row r="440" spans="6:13" ht="13" x14ac:dyDescent="0.15">
      <c r="F440" s="9"/>
      <c r="M440" s="18"/>
    </row>
    <row r="441" spans="6:13" ht="13" x14ac:dyDescent="0.15">
      <c r="F441" s="9"/>
      <c r="M441" s="18"/>
    </row>
    <row r="442" spans="6:13" ht="13" x14ac:dyDescent="0.15">
      <c r="F442" s="9"/>
      <c r="M442" s="18"/>
    </row>
    <row r="443" spans="6:13" ht="13" x14ac:dyDescent="0.15">
      <c r="F443" s="9"/>
      <c r="M443" s="18"/>
    </row>
    <row r="444" spans="6:13" ht="13" x14ac:dyDescent="0.15">
      <c r="F444" s="9"/>
      <c r="M444" s="18"/>
    </row>
    <row r="445" spans="6:13" ht="13" x14ac:dyDescent="0.15">
      <c r="F445" s="9"/>
      <c r="M445" s="18"/>
    </row>
    <row r="446" spans="6:13" ht="13" x14ac:dyDescent="0.15">
      <c r="F446" s="9"/>
      <c r="M446" s="18"/>
    </row>
    <row r="447" spans="6:13" ht="13" x14ac:dyDescent="0.15">
      <c r="F447" s="9"/>
      <c r="M447" s="18"/>
    </row>
    <row r="448" spans="6:13" ht="13" x14ac:dyDescent="0.15">
      <c r="F448" s="9"/>
      <c r="M448" s="18"/>
    </row>
    <row r="449" spans="6:13" ht="13" x14ac:dyDescent="0.15">
      <c r="F449" s="9"/>
      <c r="M449" s="18"/>
    </row>
    <row r="450" spans="6:13" ht="13" x14ac:dyDescent="0.15">
      <c r="F450" s="9"/>
      <c r="M450" s="18"/>
    </row>
    <row r="451" spans="6:13" ht="13" x14ac:dyDescent="0.15">
      <c r="F451" s="9"/>
      <c r="M451" s="18"/>
    </row>
    <row r="452" spans="6:13" ht="13" x14ac:dyDescent="0.15">
      <c r="F452" s="9"/>
      <c r="M452" s="18"/>
    </row>
    <row r="453" spans="6:13" ht="13" x14ac:dyDescent="0.15">
      <c r="F453" s="9"/>
      <c r="M453" s="18"/>
    </row>
    <row r="454" spans="6:13" ht="13" x14ac:dyDescent="0.15">
      <c r="F454" s="9"/>
      <c r="M454" s="18"/>
    </row>
    <row r="455" spans="6:13" ht="13" x14ac:dyDescent="0.15">
      <c r="F455" s="9"/>
      <c r="M455" s="18"/>
    </row>
    <row r="456" spans="6:13" ht="13" x14ac:dyDescent="0.15">
      <c r="F456" s="9"/>
      <c r="M456" s="18"/>
    </row>
    <row r="457" spans="6:13" ht="13" x14ac:dyDescent="0.15">
      <c r="F457" s="9"/>
      <c r="M457" s="18"/>
    </row>
    <row r="458" spans="6:13" ht="13" x14ac:dyDescent="0.15">
      <c r="F458" s="9"/>
      <c r="M458" s="18"/>
    </row>
    <row r="459" spans="6:13" ht="13" x14ac:dyDescent="0.15">
      <c r="F459" s="9"/>
      <c r="M459" s="18"/>
    </row>
    <row r="460" spans="6:13" ht="13" x14ac:dyDescent="0.15">
      <c r="F460" s="9"/>
      <c r="M460" s="18"/>
    </row>
    <row r="461" spans="6:13" ht="13" x14ac:dyDescent="0.15">
      <c r="F461" s="9"/>
      <c r="M461" s="18"/>
    </row>
    <row r="462" spans="6:13" ht="13" x14ac:dyDescent="0.15">
      <c r="F462" s="9"/>
      <c r="M462" s="18"/>
    </row>
    <row r="463" spans="6:13" ht="13" x14ac:dyDescent="0.15">
      <c r="F463" s="9"/>
      <c r="M463" s="18"/>
    </row>
    <row r="464" spans="6:13" ht="13" x14ac:dyDescent="0.15">
      <c r="F464" s="9"/>
      <c r="M464" s="18"/>
    </row>
    <row r="465" spans="6:13" ht="13" x14ac:dyDescent="0.15">
      <c r="F465" s="9"/>
      <c r="M465" s="18"/>
    </row>
    <row r="466" spans="6:13" ht="13" x14ac:dyDescent="0.15">
      <c r="F466" s="9"/>
      <c r="M466" s="18"/>
    </row>
    <row r="467" spans="6:13" ht="13" x14ac:dyDescent="0.15">
      <c r="F467" s="9"/>
      <c r="M467" s="18"/>
    </row>
    <row r="468" spans="6:13" ht="13" x14ac:dyDescent="0.15">
      <c r="F468" s="9"/>
      <c r="M468" s="18"/>
    </row>
    <row r="469" spans="6:13" ht="13" x14ac:dyDescent="0.15">
      <c r="F469" s="9"/>
      <c r="M469" s="18"/>
    </row>
    <row r="470" spans="6:13" ht="13" x14ac:dyDescent="0.15">
      <c r="F470" s="9"/>
      <c r="M470" s="18"/>
    </row>
    <row r="471" spans="6:13" ht="13" x14ac:dyDescent="0.15">
      <c r="F471" s="9"/>
      <c r="M471" s="18"/>
    </row>
    <row r="472" spans="6:13" ht="13" x14ac:dyDescent="0.15">
      <c r="F472" s="9"/>
      <c r="M472" s="18"/>
    </row>
    <row r="473" spans="6:13" ht="13" x14ac:dyDescent="0.15">
      <c r="F473" s="9"/>
      <c r="M473" s="18"/>
    </row>
    <row r="474" spans="6:13" ht="13" x14ac:dyDescent="0.15">
      <c r="F474" s="9"/>
      <c r="M474" s="18"/>
    </row>
    <row r="475" spans="6:13" ht="13" x14ac:dyDescent="0.15">
      <c r="F475" s="9"/>
      <c r="M475" s="18"/>
    </row>
    <row r="476" spans="6:13" ht="13" x14ac:dyDescent="0.15">
      <c r="F476" s="9"/>
      <c r="M476" s="18"/>
    </row>
    <row r="477" spans="6:13" ht="13" x14ac:dyDescent="0.15">
      <c r="F477" s="9"/>
      <c r="M477" s="18"/>
    </row>
    <row r="478" spans="6:13" ht="13" x14ac:dyDescent="0.15">
      <c r="F478" s="9"/>
      <c r="M478" s="18"/>
    </row>
    <row r="479" spans="6:13" ht="13" x14ac:dyDescent="0.15">
      <c r="F479" s="9"/>
      <c r="M479" s="18"/>
    </row>
    <row r="480" spans="6:13" ht="13" x14ac:dyDescent="0.15">
      <c r="F480" s="9"/>
      <c r="M480" s="18"/>
    </row>
    <row r="481" spans="6:13" ht="13" x14ac:dyDescent="0.15">
      <c r="F481" s="9"/>
      <c r="M481" s="18"/>
    </row>
    <row r="482" spans="6:13" ht="13" x14ac:dyDescent="0.15">
      <c r="F482" s="9"/>
      <c r="M482" s="18"/>
    </row>
    <row r="483" spans="6:13" ht="13" x14ac:dyDescent="0.15">
      <c r="F483" s="9"/>
      <c r="M483" s="18"/>
    </row>
    <row r="484" spans="6:13" ht="13" x14ac:dyDescent="0.15">
      <c r="F484" s="9"/>
      <c r="M484" s="18"/>
    </row>
    <row r="485" spans="6:13" ht="13" x14ac:dyDescent="0.15">
      <c r="F485" s="9"/>
      <c r="M485" s="18"/>
    </row>
    <row r="486" spans="6:13" ht="13" x14ac:dyDescent="0.15">
      <c r="F486" s="9"/>
      <c r="M486" s="18"/>
    </row>
    <row r="487" spans="6:13" ht="13" x14ac:dyDescent="0.15">
      <c r="F487" s="9"/>
      <c r="M487" s="18"/>
    </row>
    <row r="488" spans="6:13" ht="13" x14ac:dyDescent="0.15">
      <c r="F488" s="9"/>
      <c r="M488" s="18"/>
    </row>
    <row r="489" spans="6:13" ht="13" x14ac:dyDescent="0.15">
      <c r="F489" s="9"/>
      <c r="M489" s="18"/>
    </row>
    <row r="490" spans="6:13" ht="13" x14ac:dyDescent="0.15">
      <c r="F490" s="9"/>
      <c r="M490" s="18"/>
    </row>
    <row r="491" spans="6:13" ht="13" x14ac:dyDescent="0.15">
      <c r="F491" s="9"/>
      <c r="M491" s="18"/>
    </row>
    <row r="492" spans="6:13" ht="13" x14ac:dyDescent="0.15">
      <c r="F492" s="9"/>
      <c r="M492" s="18"/>
    </row>
    <row r="493" spans="6:13" ht="13" x14ac:dyDescent="0.15">
      <c r="F493" s="9"/>
      <c r="M493" s="18"/>
    </row>
    <row r="494" spans="6:13" ht="13" x14ac:dyDescent="0.15">
      <c r="F494" s="9"/>
      <c r="M494" s="18"/>
    </row>
    <row r="495" spans="6:13" ht="13" x14ac:dyDescent="0.15">
      <c r="F495" s="9"/>
      <c r="M495" s="18"/>
    </row>
    <row r="496" spans="6:13" ht="13" x14ac:dyDescent="0.15">
      <c r="F496" s="9"/>
      <c r="M496" s="18"/>
    </row>
    <row r="497" spans="6:13" ht="13" x14ac:dyDescent="0.15">
      <c r="F497" s="9"/>
      <c r="M497" s="18"/>
    </row>
    <row r="498" spans="6:13" ht="13" x14ac:dyDescent="0.15">
      <c r="F498" s="9"/>
      <c r="M498" s="18"/>
    </row>
    <row r="499" spans="6:13" ht="13" x14ac:dyDescent="0.15">
      <c r="F499" s="9"/>
      <c r="M499" s="18"/>
    </row>
    <row r="500" spans="6:13" ht="13" x14ac:dyDescent="0.15">
      <c r="F500" s="9"/>
      <c r="M500" s="18"/>
    </row>
    <row r="501" spans="6:13" ht="13" x14ac:dyDescent="0.15">
      <c r="F501" s="9"/>
      <c r="M501" s="18"/>
    </row>
    <row r="502" spans="6:13" ht="13" x14ac:dyDescent="0.15">
      <c r="F502" s="9"/>
      <c r="M502" s="18"/>
    </row>
    <row r="503" spans="6:13" ht="13" x14ac:dyDescent="0.15">
      <c r="F503" s="9"/>
      <c r="M503" s="18"/>
    </row>
    <row r="504" spans="6:13" ht="13" x14ac:dyDescent="0.15">
      <c r="F504" s="9"/>
      <c r="M504" s="18"/>
    </row>
    <row r="505" spans="6:13" ht="13" x14ac:dyDescent="0.15">
      <c r="F505" s="9"/>
      <c r="M505" s="18"/>
    </row>
    <row r="506" spans="6:13" ht="13" x14ac:dyDescent="0.15">
      <c r="F506" s="9"/>
      <c r="M506" s="18"/>
    </row>
    <row r="507" spans="6:13" ht="13" x14ac:dyDescent="0.15">
      <c r="F507" s="9"/>
      <c r="M507" s="18"/>
    </row>
    <row r="508" spans="6:13" ht="13" x14ac:dyDescent="0.15">
      <c r="F508" s="9"/>
      <c r="M508" s="18"/>
    </row>
    <row r="509" spans="6:13" ht="13" x14ac:dyDescent="0.15">
      <c r="F509" s="9"/>
      <c r="M509" s="18"/>
    </row>
    <row r="510" spans="6:13" ht="13" x14ac:dyDescent="0.15">
      <c r="F510" s="9"/>
      <c r="M510" s="18"/>
    </row>
    <row r="511" spans="6:13" ht="13" x14ac:dyDescent="0.15">
      <c r="F511" s="9"/>
      <c r="M511" s="18"/>
    </row>
    <row r="512" spans="6:13" ht="13" x14ac:dyDescent="0.15">
      <c r="F512" s="9"/>
      <c r="M512" s="18"/>
    </row>
    <row r="513" spans="6:13" ht="13" x14ac:dyDescent="0.15">
      <c r="F513" s="9"/>
      <c r="M513" s="18"/>
    </row>
    <row r="514" spans="6:13" ht="13" x14ac:dyDescent="0.15">
      <c r="F514" s="9"/>
      <c r="M514" s="18"/>
    </row>
    <row r="515" spans="6:13" ht="13" x14ac:dyDescent="0.15">
      <c r="F515" s="9"/>
      <c r="M515" s="18"/>
    </row>
    <row r="516" spans="6:13" ht="13" x14ac:dyDescent="0.15">
      <c r="F516" s="9"/>
      <c r="M516" s="18"/>
    </row>
    <row r="517" spans="6:13" ht="13" x14ac:dyDescent="0.15">
      <c r="F517" s="9"/>
      <c r="M517" s="18"/>
    </row>
    <row r="518" spans="6:13" ht="13" x14ac:dyDescent="0.15">
      <c r="F518" s="9"/>
      <c r="M518" s="18"/>
    </row>
    <row r="519" spans="6:13" ht="13" x14ac:dyDescent="0.15">
      <c r="F519" s="9"/>
      <c r="M519" s="18"/>
    </row>
    <row r="520" spans="6:13" ht="13" x14ac:dyDescent="0.15">
      <c r="F520" s="9"/>
      <c r="M520" s="18"/>
    </row>
    <row r="521" spans="6:13" ht="13" x14ac:dyDescent="0.15">
      <c r="F521" s="9"/>
      <c r="M521" s="18"/>
    </row>
    <row r="522" spans="6:13" ht="13" x14ac:dyDescent="0.15">
      <c r="F522" s="9"/>
      <c r="M522" s="18"/>
    </row>
    <row r="523" spans="6:13" ht="13" x14ac:dyDescent="0.15">
      <c r="F523" s="9"/>
      <c r="M523" s="18"/>
    </row>
    <row r="524" spans="6:13" ht="13" x14ac:dyDescent="0.15">
      <c r="F524" s="9"/>
      <c r="M524" s="18"/>
    </row>
    <row r="525" spans="6:13" ht="13" x14ac:dyDescent="0.15">
      <c r="F525" s="9"/>
      <c r="M525" s="18"/>
    </row>
    <row r="526" spans="6:13" ht="13" x14ac:dyDescent="0.15">
      <c r="F526" s="9"/>
      <c r="M526" s="18"/>
    </row>
    <row r="527" spans="6:13" ht="13" x14ac:dyDescent="0.15">
      <c r="F527" s="9"/>
      <c r="M527" s="18"/>
    </row>
    <row r="528" spans="6:13" ht="13" x14ac:dyDescent="0.15">
      <c r="F528" s="9"/>
      <c r="M528" s="18"/>
    </row>
    <row r="529" spans="6:13" ht="13" x14ac:dyDescent="0.15">
      <c r="F529" s="9"/>
      <c r="M529" s="18"/>
    </row>
    <row r="530" spans="6:13" ht="13" x14ac:dyDescent="0.15">
      <c r="F530" s="9"/>
      <c r="M530" s="18"/>
    </row>
    <row r="531" spans="6:13" ht="13" x14ac:dyDescent="0.15">
      <c r="F531" s="9"/>
      <c r="M531" s="18"/>
    </row>
    <row r="532" spans="6:13" ht="13" x14ac:dyDescent="0.15">
      <c r="F532" s="9"/>
      <c r="M532" s="18"/>
    </row>
    <row r="533" spans="6:13" ht="13" x14ac:dyDescent="0.15">
      <c r="F533" s="9"/>
      <c r="M533" s="18"/>
    </row>
    <row r="534" spans="6:13" ht="13" x14ac:dyDescent="0.15">
      <c r="F534" s="9"/>
      <c r="M534" s="18"/>
    </row>
    <row r="535" spans="6:13" ht="13" x14ac:dyDescent="0.15">
      <c r="F535" s="9"/>
      <c r="M535" s="18"/>
    </row>
    <row r="536" spans="6:13" ht="13" x14ac:dyDescent="0.15">
      <c r="F536" s="9"/>
      <c r="M536" s="18"/>
    </row>
    <row r="537" spans="6:13" ht="13" x14ac:dyDescent="0.15">
      <c r="F537" s="9"/>
      <c r="M537" s="18"/>
    </row>
    <row r="538" spans="6:13" ht="13" x14ac:dyDescent="0.15">
      <c r="F538" s="9"/>
      <c r="M538" s="18"/>
    </row>
    <row r="539" spans="6:13" ht="13" x14ac:dyDescent="0.15">
      <c r="F539" s="9"/>
      <c r="M539" s="18"/>
    </row>
    <row r="540" spans="6:13" ht="13" x14ac:dyDescent="0.15">
      <c r="F540" s="9"/>
      <c r="M540" s="18"/>
    </row>
    <row r="541" spans="6:13" ht="13" x14ac:dyDescent="0.15">
      <c r="F541" s="9"/>
      <c r="M541" s="18"/>
    </row>
    <row r="542" spans="6:13" ht="13" x14ac:dyDescent="0.15">
      <c r="F542" s="9"/>
      <c r="M542" s="18"/>
    </row>
    <row r="543" spans="6:13" ht="13" x14ac:dyDescent="0.15">
      <c r="F543" s="9"/>
      <c r="M543" s="18"/>
    </row>
    <row r="544" spans="6:13" ht="13" x14ac:dyDescent="0.15">
      <c r="F544" s="9"/>
      <c r="M544" s="18"/>
    </row>
    <row r="545" spans="6:13" ht="13" x14ac:dyDescent="0.15">
      <c r="F545" s="9"/>
      <c r="M545" s="18"/>
    </row>
    <row r="546" spans="6:13" ht="13" x14ac:dyDescent="0.15">
      <c r="F546" s="9"/>
      <c r="M546" s="18"/>
    </row>
    <row r="547" spans="6:13" ht="13" x14ac:dyDescent="0.15">
      <c r="F547" s="9"/>
      <c r="M547" s="18"/>
    </row>
    <row r="548" spans="6:13" ht="13" x14ac:dyDescent="0.15">
      <c r="F548" s="9"/>
      <c r="M548" s="18"/>
    </row>
    <row r="549" spans="6:13" ht="13" x14ac:dyDescent="0.15">
      <c r="F549" s="9"/>
      <c r="M549" s="18"/>
    </row>
    <row r="550" spans="6:13" ht="13" x14ac:dyDescent="0.15">
      <c r="F550" s="9"/>
      <c r="M550" s="18"/>
    </row>
    <row r="551" spans="6:13" ht="13" x14ac:dyDescent="0.15">
      <c r="F551" s="9"/>
      <c r="M551" s="18"/>
    </row>
    <row r="552" spans="6:13" ht="13" x14ac:dyDescent="0.15">
      <c r="F552" s="9"/>
      <c r="M552" s="18"/>
    </row>
    <row r="553" spans="6:13" ht="13" x14ac:dyDescent="0.15">
      <c r="F553" s="9"/>
      <c r="M553" s="18"/>
    </row>
    <row r="554" spans="6:13" ht="13" x14ac:dyDescent="0.15">
      <c r="F554" s="9"/>
      <c r="M554" s="18"/>
    </row>
    <row r="555" spans="6:13" ht="13" x14ac:dyDescent="0.15">
      <c r="F555" s="9"/>
      <c r="M555" s="18"/>
    </row>
    <row r="556" spans="6:13" ht="13" x14ac:dyDescent="0.15">
      <c r="F556" s="9"/>
      <c r="M556" s="18"/>
    </row>
    <row r="557" spans="6:13" ht="13" x14ac:dyDescent="0.15">
      <c r="F557" s="9"/>
      <c r="M557" s="18"/>
    </row>
    <row r="558" spans="6:13" ht="13" x14ac:dyDescent="0.15">
      <c r="F558" s="9"/>
      <c r="M558" s="18"/>
    </row>
    <row r="559" spans="6:13" ht="13" x14ac:dyDescent="0.15">
      <c r="F559" s="9"/>
      <c r="M559" s="18"/>
    </row>
    <row r="560" spans="6:13" ht="13" x14ac:dyDescent="0.15">
      <c r="F560" s="9"/>
      <c r="M560" s="18"/>
    </row>
    <row r="561" spans="6:13" ht="13" x14ac:dyDescent="0.15">
      <c r="F561" s="9"/>
      <c r="M561" s="18"/>
    </row>
    <row r="562" spans="6:13" ht="13" x14ac:dyDescent="0.15">
      <c r="F562" s="9"/>
      <c r="M562" s="18"/>
    </row>
    <row r="563" spans="6:13" ht="13" x14ac:dyDescent="0.15">
      <c r="F563" s="9"/>
      <c r="M563" s="18"/>
    </row>
    <row r="564" spans="6:13" ht="13" x14ac:dyDescent="0.15">
      <c r="F564" s="9"/>
      <c r="M564" s="18"/>
    </row>
    <row r="565" spans="6:13" ht="13" x14ac:dyDescent="0.15">
      <c r="F565" s="9"/>
      <c r="M565" s="18"/>
    </row>
    <row r="566" spans="6:13" ht="13" x14ac:dyDescent="0.15">
      <c r="F566" s="9"/>
      <c r="M566" s="18"/>
    </row>
    <row r="567" spans="6:13" ht="13" x14ac:dyDescent="0.15">
      <c r="F567" s="9"/>
      <c r="M567" s="18"/>
    </row>
    <row r="568" spans="6:13" ht="13" x14ac:dyDescent="0.15">
      <c r="F568" s="9"/>
      <c r="M568" s="18"/>
    </row>
    <row r="569" spans="6:13" ht="13" x14ac:dyDescent="0.15">
      <c r="F569" s="9"/>
      <c r="M569" s="18"/>
    </row>
    <row r="570" spans="6:13" ht="13" x14ac:dyDescent="0.15">
      <c r="F570" s="9"/>
      <c r="M570" s="18"/>
    </row>
    <row r="571" spans="6:13" ht="13" x14ac:dyDescent="0.15">
      <c r="F571" s="9"/>
      <c r="M571" s="18"/>
    </row>
    <row r="572" spans="6:13" ht="13" x14ac:dyDescent="0.15">
      <c r="F572" s="9"/>
      <c r="M572" s="18"/>
    </row>
    <row r="573" spans="6:13" ht="13" x14ac:dyDescent="0.15">
      <c r="F573" s="9"/>
      <c r="M573" s="18"/>
    </row>
    <row r="574" spans="6:13" ht="13" x14ac:dyDescent="0.15">
      <c r="F574" s="9"/>
      <c r="M574" s="18"/>
    </row>
    <row r="575" spans="6:13" ht="13" x14ac:dyDescent="0.15">
      <c r="F575" s="9"/>
      <c r="M575" s="18"/>
    </row>
    <row r="576" spans="6:13" ht="13" x14ac:dyDescent="0.15">
      <c r="F576" s="9"/>
      <c r="M576" s="18"/>
    </row>
    <row r="577" spans="6:13" ht="13" x14ac:dyDescent="0.15">
      <c r="F577" s="9"/>
      <c r="M577" s="18"/>
    </row>
    <row r="578" spans="6:13" ht="13" x14ac:dyDescent="0.15">
      <c r="F578" s="9"/>
      <c r="M578" s="18"/>
    </row>
    <row r="579" spans="6:13" ht="13" x14ac:dyDescent="0.15">
      <c r="F579" s="9"/>
      <c r="M579" s="18"/>
    </row>
    <row r="580" spans="6:13" ht="13" x14ac:dyDescent="0.15">
      <c r="F580" s="9"/>
      <c r="M580" s="18"/>
    </row>
    <row r="581" spans="6:13" ht="13" x14ac:dyDescent="0.15">
      <c r="F581" s="9"/>
      <c r="M581" s="18"/>
    </row>
    <row r="582" spans="6:13" ht="13" x14ac:dyDescent="0.15">
      <c r="F582" s="9"/>
      <c r="M582" s="18"/>
    </row>
    <row r="583" spans="6:13" ht="13" x14ac:dyDescent="0.15">
      <c r="F583" s="9"/>
      <c r="M583" s="18"/>
    </row>
    <row r="584" spans="6:13" ht="13" x14ac:dyDescent="0.15">
      <c r="F584" s="9"/>
      <c r="M584" s="18"/>
    </row>
    <row r="585" spans="6:13" ht="13" x14ac:dyDescent="0.15">
      <c r="F585" s="9"/>
      <c r="M585" s="18"/>
    </row>
    <row r="586" spans="6:13" ht="13" x14ac:dyDescent="0.15">
      <c r="F586" s="9"/>
      <c r="M586" s="18"/>
    </row>
    <row r="587" spans="6:13" ht="13" x14ac:dyDescent="0.15">
      <c r="F587" s="9"/>
      <c r="M587" s="18"/>
    </row>
    <row r="588" spans="6:13" ht="13" x14ac:dyDescent="0.15">
      <c r="F588" s="9"/>
      <c r="M588" s="18"/>
    </row>
    <row r="589" spans="6:13" ht="13" x14ac:dyDescent="0.15">
      <c r="F589" s="9"/>
      <c r="M589" s="18"/>
    </row>
    <row r="590" spans="6:13" ht="13" x14ac:dyDescent="0.15">
      <c r="F590" s="9"/>
      <c r="M590" s="18"/>
    </row>
    <row r="591" spans="6:13" ht="13" x14ac:dyDescent="0.15">
      <c r="F591" s="9"/>
      <c r="M591" s="18"/>
    </row>
    <row r="592" spans="6:13" ht="13" x14ac:dyDescent="0.15">
      <c r="F592" s="9"/>
      <c r="M592" s="18"/>
    </row>
    <row r="593" spans="6:13" ht="13" x14ac:dyDescent="0.15">
      <c r="F593" s="9"/>
      <c r="M593" s="18"/>
    </row>
    <row r="594" spans="6:13" ht="13" x14ac:dyDescent="0.15">
      <c r="F594" s="9"/>
      <c r="M594" s="18"/>
    </row>
    <row r="595" spans="6:13" ht="13" x14ac:dyDescent="0.15">
      <c r="F595" s="9"/>
      <c r="M595" s="18"/>
    </row>
    <row r="596" spans="6:13" ht="13" x14ac:dyDescent="0.15">
      <c r="F596" s="9"/>
      <c r="M596" s="18"/>
    </row>
    <row r="597" spans="6:13" ht="13" x14ac:dyDescent="0.15">
      <c r="F597" s="9"/>
      <c r="M597" s="18"/>
    </row>
    <row r="598" spans="6:13" ht="13" x14ac:dyDescent="0.15">
      <c r="F598" s="9"/>
      <c r="M598" s="18"/>
    </row>
    <row r="599" spans="6:13" ht="13" x14ac:dyDescent="0.15">
      <c r="F599" s="9"/>
      <c r="M599" s="18"/>
    </row>
    <row r="600" spans="6:13" ht="13" x14ac:dyDescent="0.15">
      <c r="F600" s="9"/>
      <c r="M600" s="18"/>
    </row>
    <row r="601" spans="6:13" ht="13" x14ac:dyDescent="0.15">
      <c r="F601" s="9"/>
      <c r="M601" s="18"/>
    </row>
    <row r="602" spans="6:13" ht="13" x14ac:dyDescent="0.15">
      <c r="F602" s="9"/>
      <c r="M602" s="18"/>
    </row>
    <row r="603" spans="6:13" ht="13" x14ac:dyDescent="0.15">
      <c r="F603" s="9"/>
      <c r="M603" s="18"/>
    </row>
    <row r="604" spans="6:13" ht="13" x14ac:dyDescent="0.15">
      <c r="F604" s="9"/>
      <c r="M604" s="18"/>
    </row>
    <row r="605" spans="6:13" ht="13" x14ac:dyDescent="0.15">
      <c r="F605" s="9"/>
      <c r="M605" s="18"/>
    </row>
    <row r="606" spans="6:13" ht="13" x14ac:dyDescent="0.15">
      <c r="F606" s="9"/>
      <c r="M606" s="18"/>
    </row>
    <row r="607" spans="6:13" ht="13" x14ac:dyDescent="0.15">
      <c r="F607" s="9"/>
      <c r="M607" s="18"/>
    </row>
    <row r="608" spans="6:13" ht="13" x14ac:dyDescent="0.15">
      <c r="F608" s="9"/>
      <c r="M608" s="18"/>
    </row>
    <row r="609" spans="6:13" ht="13" x14ac:dyDescent="0.15">
      <c r="F609" s="9"/>
      <c r="M609" s="18"/>
    </row>
    <row r="610" spans="6:13" ht="13" x14ac:dyDescent="0.15">
      <c r="F610" s="9"/>
      <c r="M610" s="18"/>
    </row>
    <row r="611" spans="6:13" ht="13" x14ac:dyDescent="0.15">
      <c r="F611" s="9"/>
      <c r="M611" s="18"/>
    </row>
    <row r="612" spans="6:13" ht="13" x14ac:dyDescent="0.15">
      <c r="F612" s="9"/>
      <c r="M612" s="18"/>
    </row>
    <row r="613" spans="6:13" ht="13" x14ac:dyDescent="0.15">
      <c r="F613" s="9"/>
      <c r="M613" s="18"/>
    </row>
    <row r="614" spans="6:13" ht="13" x14ac:dyDescent="0.15">
      <c r="F614" s="9"/>
      <c r="M614" s="18"/>
    </row>
    <row r="615" spans="6:13" ht="13" x14ac:dyDescent="0.15">
      <c r="F615" s="9"/>
      <c r="M615" s="18"/>
    </row>
    <row r="616" spans="6:13" ht="13" x14ac:dyDescent="0.15">
      <c r="F616" s="9"/>
      <c r="M616" s="18"/>
    </row>
    <row r="617" spans="6:13" ht="13" x14ac:dyDescent="0.15">
      <c r="F617" s="9"/>
      <c r="M617" s="18"/>
    </row>
    <row r="618" spans="6:13" ht="13" x14ac:dyDescent="0.15">
      <c r="F618" s="9"/>
      <c r="M618" s="18"/>
    </row>
    <row r="619" spans="6:13" ht="13" x14ac:dyDescent="0.15">
      <c r="F619" s="9"/>
      <c r="M619" s="18"/>
    </row>
    <row r="620" spans="6:13" ht="13" x14ac:dyDescent="0.15">
      <c r="F620" s="9"/>
      <c r="M620" s="18"/>
    </row>
    <row r="621" spans="6:13" ht="13" x14ac:dyDescent="0.15">
      <c r="F621" s="9"/>
      <c r="M621" s="18"/>
    </row>
    <row r="622" spans="6:13" ht="13" x14ac:dyDescent="0.15">
      <c r="F622" s="9"/>
      <c r="M622" s="18"/>
    </row>
    <row r="623" spans="6:13" ht="13" x14ac:dyDescent="0.15">
      <c r="F623" s="9"/>
      <c r="M623" s="18"/>
    </row>
    <row r="624" spans="6:13" ht="13" x14ac:dyDescent="0.15">
      <c r="F624" s="9"/>
      <c r="M624" s="18"/>
    </row>
    <row r="625" spans="6:13" ht="13" x14ac:dyDescent="0.15">
      <c r="F625" s="9"/>
      <c r="M625" s="18"/>
    </row>
    <row r="626" spans="6:13" ht="13" x14ac:dyDescent="0.15">
      <c r="F626" s="9"/>
      <c r="M626" s="18"/>
    </row>
    <row r="627" spans="6:13" ht="13" x14ac:dyDescent="0.15">
      <c r="F627" s="9"/>
      <c r="M627" s="18"/>
    </row>
    <row r="628" spans="6:13" ht="13" x14ac:dyDescent="0.15">
      <c r="F628" s="9"/>
      <c r="M628" s="18"/>
    </row>
    <row r="629" spans="6:13" ht="13" x14ac:dyDescent="0.15">
      <c r="F629" s="9"/>
      <c r="M629" s="18"/>
    </row>
    <row r="630" spans="6:13" ht="13" x14ac:dyDescent="0.15">
      <c r="F630" s="9"/>
      <c r="M630" s="18"/>
    </row>
    <row r="631" spans="6:13" ht="13" x14ac:dyDescent="0.15">
      <c r="F631" s="9"/>
      <c r="M631" s="18"/>
    </row>
    <row r="632" spans="6:13" ht="13" x14ac:dyDescent="0.15">
      <c r="F632" s="9"/>
      <c r="M632" s="18"/>
    </row>
    <row r="633" spans="6:13" ht="13" x14ac:dyDescent="0.15">
      <c r="F633" s="9"/>
      <c r="M633" s="18"/>
    </row>
    <row r="634" spans="6:13" ht="13" x14ac:dyDescent="0.15">
      <c r="F634" s="9"/>
      <c r="M634" s="18"/>
    </row>
    <row r="635" spans="6:13" ht="13" x14ac:dyDescent="0.15">
      <c r="F635" s="9"/>
      <c r="M635" s="18"/>
    </row>
    <row r="636" spans="6:13" ht="13" x14ac:dyDescent="0.15">
      <c r="F636" s="9"/>
      <c r="M636" s="18"/>
    </row>
    <row r="637" spans="6:13" ht="13" x14ac:dyDescent="0.15">
      <c r="F637" s="9"/>
      <c r="M637" s="18"/>
    </row>
    <row r="638" spans="6:13" ht="13" x14ac:dyDescent="0.15">
      <c r="F638" s="9"/>
      <c r="M638" s="18"/>
    </row>
    <row r="639" spans="6:13" ht="13" x14ac:dyDescent="0.15">
      <c r="F639" s="9"/>
      <c r="M639" s="18"/>
    </row>
    <row r="640" spans="6:13" ht="13" x14ac:dyDescent="0.15">
      <c r="F640" s="9"/>
      <c r="M640" s="18"/>
    </row>
    <row r="641" spans="6:13" ht="13" x14ac:dyDescent="0.15">
      <c r="F641" s="9"/>
      <c r="M641" s="18"/>
    </row>
    <row r="642" spans="6:13" ht="13" x14ac:dyDescent="0.15">
      <c r="F642" s="9"/>
      <c r="M642" s="18"/>
    </row>
    <row r="643" spans="6:13" ht="13" x14ac:dyDescent="0.15">
      <c r="F643" s="9"/>
      <c r="M643" s="18"/>
    </row>
    <row r="644" spans="6:13" ht="13" x14ac:dyDescent="0.15">
      <c r="F644" s="9"/>
      <c r="M644" s="18"/>
    </row>
    <row r="645" spans="6:13" ht="13" x14ac:dyDescent="0.15">
      <c r="F645" s="9"/>
      <c r="M645" s="18"/>
    </row>
    <row r="646" spans="6:13" ht="13" x14ac:dyDescent="0.15">
      <c r="F646" s="9"/>
      <c r="M646" s="18"/>
    </row>
    <row r="647" spans="6:13" ht="13" x14ac:dyDescent="0.15">
      <c r="F647" s="9"/>
      <c r="M647" s="18"/>
    </row>
    <row r="648" spans="6:13" ht="13" x14ac:dyDescent="0.15">
      <c r="F648" s="9"/>
      <c r="M648" s="18"/>
    </row>
    <row r="649" spans="6:13" ht="13" x14ac:dyDescent="0.15">
      <c r="F649" s="9"/>
      <c r="M649" s="18"/>
    </row>
    <row r="650" spans="6:13" ht="13" x14ac:dyDescent="0.15">
      <c r="F650" s="9"/>
      <c r="M650" s="18"/>
    </row>
    <row r="651" spans="6:13" ht="13" x14ac:dyDescent="0.15">
      <c r="F651" s="9"/>
      <c r="M651" s="18"/>
    </row>
    <row r="652" spans="6:13" ht="13" x14ac:dyDescent="0.15">
      <c r="F652" s="9"/>
      <c r="M652" s="18"/>
    </row>
    <row r="653" spans="6:13" ht="13" x14ac:dyDescent="0.15">
      <c r="F653" s="9"/>
      <c r="M653" s="18"/>
    </row>
    <row r="654" spans="6:13" ht="13" x14ac:dyDescent="0.15">
      <c r="F654" s="9"/>
      <c r="M654" s="18"/>
    </row>
    <row r="655" spans="6:13" ht="13" x14ac:dyDescent="0.15">
      <c r="F655" s="9"/>
      <c r="M655" s="18"/>
    </row>
    <row r="656" spans="6:13" ht="13" x14ac:dyDescent="0.15">
      <c r="F656" s="9"/>
      <c r="M656" s="18"/>
    </row>
    <row r="657" spans="6:13" ht="13" x14ac:dyDescent="0.15">
      <c r="F657" s="9"/>
      <c r="M657" s="18"/>
    </row>
    <row r="658" spans="6:13" ht="13" x14ac:dyDescent="0.15">
      <c r="F658" s="9"/>
      <c r="M658" s="18"/>
    </row>
    <row r="659" spans="6:13" ht="13" x14ac:dyDescent="0.15">
      <c r="F659" s="9"/>
      <c r="M659" s="18"/>
    </row>
    <row r="660" spans="6:13" ht="13" x14ac:dyDescent="0.15">
      <c r="F660" s="9"/>
      <c r="M660" s="18"/>
    </row>
    <row r="661" spans="6:13" ht="13" x14ac:dyDescent="0.15">
      <c r="F661" s="9"/>
      <c r="M661" s="18"/>
    </row>
    <row r="662" spans="6:13" ht="13" x14ac:dyDescent="0.15">
      <c r="F662" s="9"/>
      <c r="M662" s="18"/>
    </row>
    <row r="663" spans="6:13" ht="13" x14ac:dyDescent="0.15">
      <c r="F663" s="9"/>
      <c r="M663" s="18"/>
    </row>
    <row r="664" spans="6:13" ht="13" x14ac:dyDescent="0.15">
      <c r="F664" s="9"/>
      <c r="M664" s="18"/>
    </row>
    <row r="665" spans="6:13" ht="13" x14ac:dyDescent="0.15">
      <c r="F665" s="9"/>
      <c r="M665" s="18"/>
    </row>
    <row r="666" spans="6:13" ht="13" x14ac:dyDescent="0.15">
      <c r="F666" s="9"/>
      <c r="M666" s="18"/>
    </row>
    <row r="667" spans="6:13" ht="13" x14ac:dyDescent="0.15">
      <c r="F667" s="9"/>
      <c r="M667" s="18"/>
    </row>
    <row r="668" spans="6:13" ht="13" x14ac:dyDescent="0.15">
      <c r="F668" s="9"/>
      <c r="M668" s="18"/>
    </row>
    <row r="669" spans="6:13" ht="13" x14ac:dyDescent="0.15">
      <c r="F669" s="9"/>
      <c r="M669" s="18"/>
    </row>
    <row r="670" spans="6:13" ht="13" x14ac:dyDescent="0.15">
      <c r="F670" s="9"/>
      <c r="M670" s="18"/>
    </row>
    <row r="671" spans="6:13" ht="13" x14ac:dyDescent="0.15">
      <c r="F671" s="9"/>
      <c r="M671" s="18"/>
    </row>
    <row r="672" spans="6:13" ht="13" x14ac:dyDescent="0.15">
      <c r="F672" s="9"/>
      <c r="M672" s="18"/>
    </row>
    <row r="673" spans="6:13" ht="13" x14ac:dyDescent="0.15">
      <c r="F673" s="9"/>
      <c r="M673" s="18"/>
    </row>
    <row r="674" spans="6:13" ht="13" x14ac:dyDescent="0.15">
      <c r="F674" s="9"/>
      <c r="M674" s="18"/>
    </row>
    <row r="675" spans="6:13" ht="13" x14ac:dyDescent="0.15">
      <c r="F675" s="9"/>
      <c r="M675" s="18"/>
    </row>
    <row r="676" spans="6:13" ht="13" x14ac:dyDescent="0.15">
      <c r="F676" s="9"/>
      <c r="M676" s="18"/>
    </row>
    <row r="677" spans="6:13" ht="13" x14ac:dyDescent="0.15">
      <c r="F677" s="9"/>
      <c r="M677" s="18"/>
    </row>
    <row r="678" spans="6:13" ht="13" x14ac:dyDescent="0.15">
      <c r="F678" s="9"/>
      <c r="M678" s="18"/>
    </row>
    <row r="679" spans="6:13" ht="13" x14ac:dyDescent="0.15">
      <c r="F679" s="9"/>
      <c r="M679" s="18"/>
    </row>
    <row r="680" spans="6:13" ht="13" x14ac:dyDescent="0.15">
      <c r="F680" s="9"/>
      <c r="M680" s="18"/>
    </row>
    <row r="681" spans="6:13" ht="13" x14ac:dyDescent="0.15">
      <c r="F681" s="9"/>
      <c r="M681" s="18"/>
    </row>
    <row r="682" spans="6:13" ht="13" x14ac:dyDescent="0.15">
      <c r="F682" s="9"/>
      <c r="M682" s="18"/>
    </row>
    <row r="683" spans="6:13" ht="13" x14ac:dyDescent="0.15">
      <c r="F683" s="9"/>
      <c r="M683" s="18"/>
    </row>
    <row r="684" spans="6:13" ht="13" x14ac:dyDescent="0.15">
      <c r="F684" s="9"/>
      <c r="M684" s="18"/>
    </row>
    <row r="685" spans="6:13" ht="13" x14ac:dyDescent="0.15">
      <c r="F685" s="9"/>
      <c r="M685" s="18"/>
    </row>
    <row r="686" spans="6:13" ht="13" x14ac:dyDescent="0.15">
      <c r="F686" s="9"/>
      <c r="M686" s="18"/>
    </row>
    <row r="687" spans="6:13" ht="13" x14ac:dyDescent="0.15">
      <c r="F687" s="9"/>
      <c r="M687" s="18"/>
    </row>
    <row r="688" spans="6:13" ht="13" x14ac:dyDescent="0.15">
      <c r="F688" s="9"/>
      <c r="M688" s="18"/>
    </row>
    <row r="689" spans="6:13" ht="13" x14ac:dyDescent="0.15">
      <c r="F689" s="9"/>
      <c r="M689" s="18"/>
    </row>
    <row r="690" spans="6:13" ht="13" x14ac:dyDescent="0.15">
      <c r="F690" s="9"/>
      <c r="M690" s="18"/>
    </row>
    <row r="691" spans="6:13" ht="13" x14ac:dyDescent="0.15">
      <c r="F691" s="9"/>
      <c r="M691" s="18"/>
    </row>
    <row r="692" spans="6:13" ht="13" x14ac:dyDescent="0.15">
      <c r="F692" s="9"/>
      <c r="M692" s="18"/>
    </row>
    <row r="693" spans="6:13" ht="13" x14ac:dyDescent="0.15">
      <c r="F693" s="9"/>
      <c r="M693" s="18"/>
    </row>
    <row r="694" spans="6:13" ht="13" x14ac:dyDescent="0.15">
      <c r="F694" s="9"/>
      <c r="M694" s="18"/>
    </row>
    <row r="695" spans="6:13" ht="13" x14ac:dyDescent="0.15">
      <c r="F695" s="9"/>
      <c r="M695" s="18"/>
    </row>
    <row r="696" spans="6:13" ht="13" x14ac:dyDescent="0.15">
      <c r="F696" s="9"/>
      <c r="M696" s="18"/>
    </row>
    <row r="697" spans="6:13" ht="13" x14ac:dyDescent="0.15">
      <c r="F697" s="9"/>
      <c r="M697" s="18"/>
    </row>
    <row r="698" spans="6:13" ht="13" x14ac:dyDescent="0.15">
      <c r="F698" s="9"/>
      <c r="M698" s="18"/>
    </row>
    <row r="699" spans="6:13" ht="13" x14ac:dyDescent="0.15">
      <c r="F699" s="9"/>
      <c r="M699" s="18"/>
    </row>
    <row r="700" spans="6:13" ht="13" x14ac:dyDescent="0.15">
      <c r="F700" s="9"/>
      <c r="M700" s="18"/>
    </row>
    <row r="701" spans="6:13" ht="13" x14ac:dyDescent="0.15">
      <c r="F701" s="9"/>
      <c r="M701" s="18"/>
    </row>
    <row r="702" spans="6:13" ht="13" x14ac:dyDescent="0.15">
      <c r="F702" s="9"/>
      <c r="M702" s="18"/>
    </row>
    <row r="703" spans="6:13" ht="13" x14ac:dyDescent="0.15">
      <c r="F703" s="9"/>
      <c r="M703" s="18"/>
    </row>
    <row r="704" spans="6:13" ht="13" x14ac:dyDescent="0.15">
      <c r="F704" s="9"/>
      <c r="M704" s="18"/>
    </row>
    <row r="705" spans="6:13" ht="13" x14ac:dyDescent="0.15">
      <c r="F705" s="9"/>
      <c r="M705" s="18"/>
    </row>
    <row r="706" spans="6:13" ht="13" x14ac:dyDescent="0.15">
      <c r="F706" s="9"/>
      <c r="M706" s="18"/>
    </row>
    <row r="707" spans="6:13" ht="13" x14ac:dyDescent="0.15">
      <c r="F707" s="9"/>
      <c r="M707" s="18"/>
    </row>
    <row r="708" spans="6:13" ht="13" x14ac:dyDescent="0.15">
      <c r="F708" s="9"/>
      <c r="M708" s="18"/>
    </row>
    <row r="709" spans="6:13" ht="13" x14ac:dyDescent="0.15">
      <c r="F709" s="9"/>
      <c r="M709" s="18"/>
    </row>
    <row r="710" spans="6:13" ht="13" x14ac:dyDescent="0.15">
      <c r="F710" s="9"/>
      <c r="M710" s="18"/>
    </row>
    <row r="711" spans="6:13" ht="13" x14ac:dyDescent="0.15">
      <c r="F711" s="9"/>
      <c r="M711" s="18"/>
    </row>
    <row r="712" spans="6:13" ht="13" x14ac:dyDescent="0.15">
      <c r="F712" s="9"/>
      <c r="M712" s="18"/>
    </row>
    <row r="713" spans="6:13" ht="13" x14ac:dyDescent="0.15">
      <c r="F713" s="9"/>
      <c r="M713" s="18"/>
    </row>
    <row r="714" spans="6:13" ht="13" x14ac:dyDescent="0.15">
      <c r="F714" s="9"/>
      <c r="M714" s="18"/>
    </row>
    <row r="715" spans="6:13" ht="13" x14ac:dyDescent="0.15">
      <c r="F715" s="9"/>
      <c r="M715" s="18"/>
    </row>
    <row r="716" spans="6:13" ht="13" x14ac:dyDescent="0.15">
      <c r="F716" s="9"/>
      <c r="M716" s="18"/>
    </row>
    <row r="717" spans="6:13" ht="13" x14ac:dyDescent="0.15">
      <c r="F717" s="9"/>
      <c r="M717" s="18"/>
    </row>
    <row r="718" spans="6:13" ht="13" x14ac:dyDescent="0.15">
      <c r="F718" s="9"/>
      <c r="M718" s="18"/>
    </row>
    <row r="719" spans="6:13" ht="13" x14ac:dyDescent="0.15">
      <c r="F719" s="9"/>
      <c r="M719" s="18"/>
    </row>
    <row r="720" spans="6:13" ht="13" x14ac:dyDescent="0.15">
      <c r="F720" s="9"/>
      <c r="M720" s="18"/>
    </row>
    <row r="721" spans="6:13" ht="13" x14ac:dyDescent="0.15">
      <c r="F721" s="9"/>
      <c r="M721" s="18"/>
    </row>
    <row r="722" spans="6:13" ht="13" x14ac:dyDescent="0.15">
      <c r="F722" s="9"/>
      <c r="M722" s="18"/>
    </row>
    <row r="723" spans="6:13" ht="13" x14ac:dyDescent="0.15">
      <c r="F723" s="9"/>
      <c r="M723" s="18"/>
    </row>
    <row r="724" spans="6:13" ht="13" x14ac:dyDescent="0.15">
      <c r="F724" s="9"/>
      <c r="M724" s="18"/>
    </row>
    <row r="725" spans="6:13" ht="13" x14ac:dyDescent="0.15">
      <c r="F725" s="9"/>
      <c r="M725" s="18"/>
    </row>
    <row r="726" spans="6:13" ht="13" x14ac:dyDescent="0.15">
      <c r="F726" s="9"/>
      <c r="M726" s="18"/>
    </row>
    <row r="727" spans="6:13" ht="13" x14ac:dyDescent="0.15">
      <c r="F727" s="9"/>
      <c r="M727" s="18"/>
    </row>
    <row r="728" spans="6:13" ht="13" x14ac:dyDescent="0.15">
      <c r="F728" s="9"/>
      <c r="M728" s="18"/>
    </row>
    <row r="729" spans="6:13" ht="13" x14ac:dyDescent="0.15">
      <c r="F729" s="9"/>
      <c r="M729" s="18"/>
    </row>
    <row r="730" spans="6:13" ht="13" x14ac:dyDescent="0.15">
      <c r="F730" s="9"/>
      <c r="M730" s="18"/>
    </row>
    <row r="731" spans="6:13" ht="13" x14ac:dyDescent="0.15">
      <c r="F731" s="9"/>
      <c r="M731" s="18"/>
    </row>
    <row r="732" spans="6:13" ht="13" x14ac:dyDescent="0.15">
      <c r="F732" s="9"/>
      <c r="M732" s="18"/>
    </row>
    <row r="733" spans="6:13" ht="13" x14ac:dyDescent="0.15">
      <c r="F733" s="9"/>
      <c r="M733" s="18"/>
    </row>
    <row r="734" spans="6:13" ht="13" x14ac:dyDescent="0.15">
      <c r="F734" s="9"/>
      <c r="M734" s="18"/>
    </row>
    <row r="735" spans="6:13" ht="13" x14ac:dyDescent="0.15">
      <c r="F735" s="9"/>
      <c r="M735" s="18"/>
    </row>
    <row r="736" spans="6:13" ht="13" x14ac:dyDescent="0.15">
      <c r="F736" s="9"/>
      <c r="M736" s="18"/>
    </row>
    <row r="737" spans="6:13" ht="13" x14ac:dyDescent="0.15">
      <c r="F737" s="9"/>
      <c r="M737" s="18"/>
    </row>
    <row r="738" spans="6:13" ht="13" x14ac:dyDescent="0.15">
      <c r="F738" s="9"/>
      <c r="M738" s="18"/>
    </row>
    <row r="739" spans="6:13" ht="13" x14ac:dyDescent="0.15">
      <c r="F739" s="9"/>
      <c r="M739" s="18"/>
    </row>
    <row r="740" spans="6:13" ht="13" x14ac:dyDescent="0.15">
      <c r="F740" s="9"/>
      <c r="M740" s="18"/>
    </row>
    <row r="741" spans="6:13" ht="13" x14ac:dyDescent="0.15">
      <c r="F741" s="9"/>
      <c r="M741" s="18"/>
    </row>
    <row r="742" spans="6:13" ht="13" x14ac:dyDescent="0.15">
      <c r="F742" s="9"/>
      <c r="M742" s="18"/>
    </row>
    <row r="743" spans="6:13" ht="13" x14ac:dyDescent="0.15">
      <c r="F743" s="9"/>
      <c r="M743" s="18"/>
    </row>
    <row r="744" spans="6:13" ht="13" x14ac:dyDescent="0.15">
      <c r="F744" s="9"/>
      <c r="M744" s="18"/>
    </row>
    <row r="745" spans="6:13" ht="13" x14ac:dyDescent="0.15">
      <c r="F745" s="9"/>
      <c r="M745" s="18"/>
    </row>
    <row r="746" spans="6:13" ht="13" x14ac:dyDescent="0.15">
      <c r="F746" s="9"/>
      <c r="M746" s="18"/>
    </row>
    <row r="747" spans="6:13" ht="13" x14ac:dyDescent="0.15">
      <c r="F747" s="9"/>
      <c r="M747" s="18"/>
    </row>
    <row r="748" spans="6:13" ht="13" x14ac:dyDescent="0.15">
      <c r="F748" s="9"/>
      <c r="M748" s="18"/>
    </row>
    <row r="749" spans="6:13" ht="13" x14ac:dyDescent="0.15">
      <c r="F749" s="9"/>
      <c r="M749" s="18"/>
    </row>
    <row r="750" spans="6:13" ht="13" x14ac:dyDescent="0.15">
      <c r="F750" s="9"/>
      <c r="M750" s="18"/>
    </row>
    <row r="751" spans="6:13" ht="13" x14ac:dyDescent="0.15">
      <c r="F751" s="9"/>
      <c r="M751" s="18"/>
    </row>
    <row r="752" spans="6:13" ht="13" x14ac:dyDescent="0.15">
      <c r="F752" s="9"/>
      <c r="M752" s="18"/>
    </row>
    <row r="753" spans="6:13" ht="13" x14ac:dyDescent="0.15">
      <c r="F753" s="9"/>
      <c r="M753" s="18"/>
    </row>
    <row r="754" spans="6:13" ht="13" x14ac:dyDescent="0.15">
      <c r="F754" s="9"/>
      <c r="M754" s="18"/>
    </row>
    <row r="755" spans="6:13" ht="13" x14ac:dyDescent="0.15">
      <c r="F755" s="9"/>
      <c r="M755" s="18"/>
    </row>
    <row r="756" spans="6:13" ht="13" x14ac:dyDescent="0.15">
      <c r="F756" s="9"/>
      <c r="M756" s="18"/>
    </row>
    <row r="757" spans="6:13" ht="13" x14ac:dyDescent="0.15">
      <c r="F757" s="9"/>
      <c r="M757" s="18"/>
    </row>
    <row r="758" spans="6:13" ht="13" x14ac:dyDescent="0.15">
      <c r="F758" s="9"/>
      <c r="M758" s="18"/>
    </row>
    <row r="759" spans="6:13" ht="13" x14ac:dyDescent="0.15">
      <c r="F759" s="9"/>
      <c r="M759" s="18"/>
    </row>
    <row r="760" spans="6:13" ht="13" x14ac:dyDescent="0.15">
      <c r="F760" s="9"/>
      <c r="M760" s="18"/>
    </row>
    <row r="761" spans="6:13" ht="13" x14ac:dyDescent="0.15">
      <c r="F761" s="9"/>
      <c r="M761" s="18"/>
    </row>
    <row r="762" spans="6:13" ht="13" x14ac:dyDescent="0.15">
      <c r="F762" s="9"/>
      <c r="M762" s="18"/>
    </row>
    <row r="763" spans="6:13" ht="13" x14ac:dyDescent="0.15">
      <c r="F763" s="9"/>
      <c r="M763" s="18"/>
    </row>
    <row r="764" spans="6:13" ht="13" x14ac:dyDescent="0.15">
      <c r="F764" s="9"/>
      <c r="M764" s="18"/>
    </row>
    <row r="765" spans="6:13" ht="13" x14ac:dyDescent="0.15">
      <c r="F765" s="9"/>
      <c r="M765" s="18"/>
    </row>
    <row r="766" spans="6:13" ht="13" x14ac:dyDescent="0.15">
      <c r="F766" s="9"/>
      <c r="M766" s="18"/>
    </row>
    <row r="767" spans="6:13" ht="13" x14ac:dyDescent="0.15">
      <c r="F767" s="9"/>
      <c r="M767" s="18"/>
    </row>
    <row r="768" spans="6:13" ht="13" x14ac:dyDescent="0.15">
      <c r="F768" s="9"/>
      <c r="M768" s="18"/>
    </row>
    <row r="769" spans="6:13" ht="13" x14ac:dyDescent="0.15">
      <c r="F769" s="9"/>
      <c r="M769" s="18"/>
    </row>
    <row r="770" spans="6:13" ht="13" x14ac:dyDescent="0.15">
      <c r="F770" s="9"/>
      <c r="M770" s="18"/>
    </row>
    <row r="771" spans="6:13" ht="13" x14ac:dyDescent="0.15">
      <c r="F771" s="9"/>
      <c r="M771" s="18"/>
    </row>
    <row r="772" spans="6:13" ht="13" x14ac:dyDescent="0.15">
      <c r="F772" s="9"/>
      <c r="M772" s="18"/>
    </row>
    <row r="773" spans="6:13" ht="13" x14ac:dyDescent="0.15">
      <c r="F773" s="9"/>
      <c r="M773" s="18"/>
    </row>
    <row r="774" spans="6:13" ht="13" x14ac:dyDescent="0.15">
      <c r="F774" s="9"/>
      <c r="M774" s="18"/>
    </row>
    <row r="775" spans="6:13" ht="13" x14ac:dyDescent="0.15">
      <c r="F775" s="9"/>
      <c r="M775" s="18"/>
    </row>
    <row r="776" spans="6:13" ht="13" x14ac:dyDescent="0.15">
      <c r="F776" s="9"/>
      <c r="M776" s="18"/>
    </row>
    <row r="777" spans="6:13" ht="13" x14ac:dyDescent="0.15">
      <c r="F777" s="9"/>
      <c r="M777" s="18"/>
    </row>
    <row r="778" spans="6:13" ht="13" x14ac:dyDescent="0.15">
      <c r="F778" s="9"/>
      <c r="M778" s="18"/>
    </row>
    <row r="779" spans="6:13" ht="13" x14ac:dyDescent="0.15">
      <c r="F779" s="9"/>
      <c r="M779" s="18"/>
    </row>
    <row r="780" spans="6:13" ht="13" x14ac:dyDescent="0.15">
      <c r="F780" s="9"/>
      <c r="M780" s="18"/>
    </row>
    <row r="781" spans="6:13" ht="13" x14ac:dyDescent="0.15">
      <c r="F781" s="9"/>
      <c r="M781" s="18"/>
    </row>
    <row r="782" spans="6:13" ht="13" x14ac:dyDescent="0.15">
      <c r="F782" s="9"/>
      <c r="M782" s="18"/>
    </row>
    <row r="783" spans="6:13" ht="13" x14ac:dyDescent="0.15">
      <c r="F783" s="9"/>
      <c r="M783" s="18"/>
    </row>
    <row r="784" spans="6:13" ht="13" x14ac:dyDescent="0.15">
      <c r="F784" s="9"/>
      <c r="M784" s="18"/>
    </row>
    <row r="785" spans="6:13" ht="13" x14ac:dyDescent="0.15">
      <c r="F785" s="9"/>
      <c r="M785" s="18"/>
    </row>
    <row r="786" spans="6:13" ht="13" x14ac:dyDescent="0.15">
      <c r="F786" s="9"/>
      <c r="M786" s="18"/>
    </row>
    <row r="787" spans="6:13" ht="13" x14ac:dyDescent="0.15">
      <c r="F787" s="9"/>
      <c r="M787" s="18"/>
    </row>
    <row r="788" spans="6:13" ht="13" x14ac:dyDescent="0.15">
      <c r="F788" s="9"/>
      <c r="M788" s="18"/>
    </row>
    <row r="789" spans="6:13" ht="13" x14ac:dyDescent="0.15">
      <c r="F789" s="9"/>
      <c r="M789" s="18"/>
    </row>
    <row r="790" spans="6:13" ht="13" x14ac:dyDescent="0.15">
      <c r="F790" s="9"/>
      <c r="M790" s="18"/>
    </row>
    <row r="791" spans="6:13" ht="13" x14ac:dyDescent="0.15">
      <c r="F791" s="9"/>
      <c r="M791" s="18"/>
    </row>
    <row r="792" spans="6:13" ht="13" x14ac:dyDescent="0.15">
      <c r="F792" s="9"/>
      <c r="M792" s="18"/>
    </row>
    <row r="793" spans="6:13" ht="13" x14ac:dyDescent="0.15">
      <c r="F793" s="9"/>
      <c r="M793" s="18"/>
    </row>
    <row r="794" spans="6:13" ht="13" x14ac:dyDescent="0.15">
      <c r="F794" s="9"/>
      <c r="M794" s="18"/>
    </row>
    <row r="795" spans="6:13" ht="13" x14ac:dyDescent="0.15">
      <c r="F795" s="9"/>
      <c r="M795" s="18"/>
    </row>
    <row r="796" spans="6:13" ht="13" x14ac:dyDescent="0.15">
      <c r="F796" s="9"/>
      <c r="M796" s="18"/>
    </row>
    <row r="797" spans="6:13" ht="13" x14ac:dyDescent="0.15">
      <c r="F797" s="9"/>
      <c r="M797" s="18"/>
    </row>
    <row r="798" spans="6:13" ht="13" x14ac:dyDescent="0.15">
      <c r="F798" s="9"/>
      <c r="M798" s="18"/>
    </row>
    <row r="799" spans="6:13" ht="13" x14ac:dyDescent="0.15">
      <c r="F799" s="9"/>
      <c r="M799" s="18"/>
    </row>
    <row r="800" spans="6:13" ht="13" x14ac:dyDescent="0.15">
      <c r="F800" s="9"/>
      <c r="M800" s="18"/>
    </row>
    <row r="801" spans="6:13" ht="13" x14ac:dyDescent="0.15">
      <c r="F801" s="9"/>
      <c r="M801" s="18"/>
    </row>
    <row r="802" spans="6:13" ht="13" x14ac:dyDescent="0.15">
      <c r="F802" s="9"/>
      <c r="M802" s="18"/>
    </row>
    <row r="803" spans="6:13" ht="13" x14ac:dyDescent="0.15">
      <c r="F803" s="9"/>
      <c r="M803" s="18"/>
    </row>
    <row r="804" spans="6:13" ht="13" x14ac:dyDescent="0.15">
      <c r="F804" s="9"/>
      <c r="M804" s="18"/>
    </row>
    <row r="805" spans="6:13" ht="13" x14ac:dyDescent="0.15">
      <c r="F805" s="9"/>
      <c r="M805" s="18"/>
    </row>
    <row r="806" spans="6:13" ht="13" x14ac:dyDescent="0.15">
      <c r="F806" s="9"/>
      <c r="M806" s="18"/>
    </row>
    <row r="807" spans="6:13" ht="13" x14ac:dyDescent="0.15">
      <c r="F807" s="9"/>
      <c r="M807" s="18"/>
    </row>
    <row r="808" spans="6:13" ht="13" x14ac:dyDescent="0.15">
      <c r="F808" s="9"/>
      <c r="M808" s="18"/>
    </row>
    <row r="809" spans="6:13" ht="13" x14ac:dyDescent="0.15">
      <c r="F809" s="9"/>
      <c r="M809" s="18"/>
    </row>
    <row r="810" spans="6:13" ht="13" x14ac:dyDescent="0.15">
      <c r="F810" s="9"/>
      <c r="M810" s="18"/>
    </row>
    <row r="811" spans="6:13" ht="13" x14ac:dyDescent="0.15">
      <c r="F811" s="9"/>
      <c r="M811" s="18"/>
    </row>
    <row r="812" spans="6:13" ht="13" x14ac:dyDescent="0.15">
      <c r="F812" s="9"/>
      <c r="M812" s="18"/>
    </row>
    <row r="813" spans="6:13" ht="13" x14ac:dyDescent="0.15">
      <c r="F813" s="9"/>
      <c r="M813" s="18"/>
    </row>
    <row r="814" spans="6:13" ht="13" x14ac:dyDescent="0.15">
      <c r="F814" s="9"/>
      <c r="M814" s="18"/>
    </row>
    <row r="815" spans="6:13" ht="13" x14ac:dyDescent="0.15">
      <c r="F815" s="9"/>
      <c r="M815" s="18"/>
    </row>
    <row r="816" spans="6:13" ht="13" x14ac:dyDescent="0.15">
      <c r="F816" s="9"/>
      <c r="M816" s="18"/>
    </row>
    <row r="817" spans="6:13" ht="13" x14ac:dyDescent="0.15">
      <c r="F817" s="9"/>
      <c r="M817" s="18"/>
    </row>
    <row r="818" spans="6:13" ht="13" x14ac:dyDescent="0.15">
      <c r="F818" s="9"/>
      <c r="M818" s="18"/>
    </row>
    <row r="819" spans="6:13" ht="13" x14ac:dyDescent="0.15">
      <c r="F819" s="9"/>
      <c r="M819" s="18"/>
    </row>
    <row r="820" spans="6:13" ht="13" x14ac:dyDescent="0.15">
      <c r="F820" s="9"/>
      <c r="M820" s="18"/>
    </row>
    <row r="821" spans="6:13" ht="13" x14ac:dyDescent="0.15">
      <c r="F821" s="9"/>
      <c r="M821" s="18"/>
    </row>
    <row r="822" spans="6:13" ht="13" x14ac:dyDescent="0.15">
      <c r="F822" s="9"/>
      <c r="M822" s="18"/>
    </row>
    <row r="823" spans="6:13" ht="13" x14ac:dyDescent="0.15">
      <c r="F823" s="9"/>
      <c r="M823" s="18"/>
    </row>
    <row r="824" spans="6:13" ht="13" x14ac:dyDescent="0.15">
      <c r="F824" s="9"/>
      <c r="M824" s="18"/>
    </row>
    <row r="825" spans="6:13" ht="13" x14ac:dyDescent="0.15">
      <c r="F825" s="9"/>
      <c r="M825" s="18"/>
    </row>
    <row r="826" spans="6:13" ht="13" x14ac:dyDescent="0.15">
      <c r="F826" s="9"/>
      <c r="M826" s="18"/>
    </row>
    <row r="827" spans="6:13" ht="13" x14ac:dyDescent="0.15">
      <c r="F827" s="9"/>
      <c r="M827" s="18"/>
    </row>
    <row r="828" spans="6:13" ht="13" x14ac:dyDescent="0.15">
      <c r="F828" s="9"/>
      <c r="M828" s="18"/>
    </row>
    <row r="829" spans="6:13" ht="13" x14ac:dyDescent="0.15">
      <c r="F829" s="9"/>
      <c r="M829" s="18"/>
    </row>
    <row r="830" spans="6:13" ht="13" x14ac:dyDescent="0.15">
      <c r="F830" s="9"/>
      <c r="M830" s="18"/>
    </row>
    <row r="831" spans="6:13" ht="13" x14ac:dyDescent="0.15">
      <c r="F831" s="9"/>
      <c r="M831" s="18"/>
    </row>
    <row r="832" spans="6:13" ht="13" x14ac:dyDescent="0.15">
      <c r="F832" s="9"/>
      <c r="M832" s="18"/>
    </row>
    <row r="833" spans="6:13" ht="13" x14ac:dyDescent="0.15">
      <c r="F833" s="9"/>
      <c r="M833" s="18"/>
    </row>
    <row r="834" spans="6:13" ht="13" x14ac:dyDescent="0.15">
      <c r="F834" s="9"/>
      <c r="M834" s="18"/>
    </row>
    <row r="835" spans="6:13" ht="13" x14ac:dyDescent="0.15">
      <c r="F835" s="9"/>
      <c r="M835" s="18"/>
    </row>
    <row r="836" spans="6:13" ht="13" x14ac:dyDescent="0.15">
      <c r="F836" s="9"/>
      <c r="M836" s="18"/>
    </row>
    <row r="837" spans="6:13" ht="13" x14ac:dyDescent="0.15">
      <c r="F837" s="9"/>
      <c r="M837" s="18"/>
    </row>
    <row r="838" spans="6:13" ht="13" x14ac:dyDescent="0.15">
      <c r="F838" s="9"/>
      <c r="M838" s="18"/>
    </row>
    <row r="839" spans="6:13" ht="13" x14ac:dyDescent="0.15">
      <c r="F839" s="9"/>
      <c r="M839" s="18"/>
    </row>
    <row r="840" spans="6:13" ht="13" x14ac:dyDescent="0.15">
      <c r="F840" s="9"/>
      <c r="M840" s="18"/>
    </row>
    <row r="841" spans="6:13" ht="13" x14ac:dyDescent="0.15">
      <c r="F841" s="9"/>
      <c r="M841" s="18"/>
    </row>
    <row r="842" spans="6:13" ht="13" x14ac:dyDescent="0.15">
      <c r="F842" s="9"/>
      <c r="M842" s="18"/>
    </row>
    <row r="843" spans="6:13" ht="13" x14ac:dyDescent="0.15">
      <c r="F843" s="9"/>
      <c r="M843" s="18"/>
    </row>
    <row r="844" spans="6:13" ht="13" x14ac:dyDescent="0.15">
      <c r="F844" s="9"/>
      <c r="M844" s="18"/>
    </row>
    <row r="845" spans="6:13" ht="13" x14ac:dyDescent="0.15">
      <c r="F845" s="9"/>
      <c r="M845" s="18"/>
    </row>
    <row r="846" spans="6:13" ht="13" x14ac:dyDescent="0.15">
      <c r="F846" s="9"/>
      <c r="M846" s="18"/>
    </row>
    <row r="847" spans="6:13" ht="13" x14ac:dyDescent="0.15">
      <c r="F847" s="9"/>
      <c r="M847" s="18"/>
    </row>
    <row r="848" spans="6:13" ht="13" x14ac:dyDescent="0.15">
      <c r="F848" s="9"/>
      <c r="M848" s="18"/>
    </row>
    <row r="849" spans="6:13" ht="13" x14ac:dyDescent="0.15">
      <c r="F849" s="9"/>
      <c r="M849" s="18"/>
    </row>
    <row r="850" spans="6:13" ht="13" x14ac:dyDescent="0.15">
      <c r="F850" s="9"/>
      <c r="M850" s="18"/>
    </row>
    <row r="851" spans="6:13" ht="13" x14ac:dyDescent="0.15">
      <c r="F851" s="9"/>
      <c r="M851" s="18"/>
    </row>
    <row r="852" spans="6:13" ht="13" x14ac:dyDescent="0.15">
      <c r="F852" s="9"/>
      <c r="M852" s="18"/>
    </row>
    <row r="853" spans="6:13" ht="13" x14ac:dyDescent="0.15">
      <c r="F853" s="9"/>
      <c r="M853" s="18"/>
    </row>
    <row r="854" spans="6:13" ht="13" x14ac:dyDescent="0.15">
      <c r="F854" s="9"/>
      <c r="M854" s="18"/>
    </row>
    <row r="855" spans="6:13" ht="13" x14ac:dyDescent="0.15">
      <c r="F855" s="9"/>
      <c r="M855" s="18"/>
    </row>
    <row r="856" spans="6:13" ht="13" x14ac:dyDescent="0.15">
      <c r="F856" s="9"/>
      <c r="M856" s="18"/>
    </row>
    <row r="857" spans="6:13" ht="13" x14ac:dyDescent="0.15">
      <c r="F857" s="9"/>
      <c r="M857" s="18"/>
    </row>
    <row r="858" spans="6:13" ht="13" x14ac:dyDescent="0.15">
      <c r="F858" s="9"/>
      <c r="M858" s="18"/>
    </row>
    <row r="859" spans="6:13" ht="13" x14ac:dyDescent="0.15">
      <c r="F859" s="9"/>
      <c r="M859" s="18"/>
    </row>
    <row r="860" spans="6:13" ht="13" x14ac:dyDescent="0.15">
      <c r="F860" s="9"/>
      <c r="M860" s="18"/>
    </row>
    <row r="861" spans="6:13" ht="13" x14ac:dyDescent="0.15">
      <c r="F861" s="9"/>
      <c r="M861" s="18"/>
    </row>
    <row r="862" spans="6:13" ht="13" x14ac:dyDescent="0.15">
      <c r="F862" s="9"/>
      <c r="M862" s="18"/>
    </row>
    <row r="863" spans="6:13" ht="13" x14ac:dyDescent="0.15">
      <c r="F863" s="9"/>
      <c r="M863" s="18"/>
    </row>
    <row r="864" spans="6:13" ht="13" x14ac:dyDescent="0.15">
      <c r="F864" s="9"/>
      <c r="M864" s="18"/>
    </row>
    <row r="865" spans="6:13" ht="13" x14ac:dyDescent="0.15">
      <c r="F865" s="9"/>
      <c r="M865" s="18"/>
    </row>
    <row r="866" spans="6:13" ht="13" x14ac:dyDescent="0.15">
      <c r="F866" s="9"/>
      <c r="M866" s="18"/>
    </row>
    <row r="867" spans="6:13" ht="13" x14ac:dyDescent="0.15">
      <c r="F867" s="9"/>
      <c r="M867" s="18"/>
    </row>
    <row r="868" spans="6:13" ht="13" x14ac:dyDescent="0.15">
      <c r="F868" s="9"/>
      <c r="M868" s="18"/>
    </row>
    <row r="869" spans="6:13" ht="13" x14ac:dyDescent="0.15">
      <c r="F869" s="9"/>
      <c r="M869" s="18"/>
    </row>
    <row r="870" spans="6:13" ht="13" x14ac:dyDescent="0.15">
      <c r="F870" s="9"/>
      <c r="M870" s="18"/>
    </row>
    <row r="871" spans="6:13" ht="13" x14ac:dyDescent="0.15">
      <c r="F871" s="9"/>
      <c r="M871" s="18"/>
    </row>
    <row r="872" spans="6:13" ht="13" x14ac:dyDescent="0.15">
      <c r="F872" s="9"/>
      <c r="M872" s="18"/>
    </row>
    <row r="873" spans="6:13" ht="13" x14ac:dyDescent="0.15">
      <c r="F873" s="9"/>
      <c r="M873" s="18"/>
    </row>
    <row r="874" spans="6:13" ht="13" x14ac:dyDescent="0.15">
      <c r="F874" s="9"/>
      <c r="M874" s="18"/>
    </row>
    <row r="875" spans="6:13" ht="13" x14ac:dyDescent="0.15">
      <c r="F875" s="9"/>
      <c r="M875" s="18"/>
    </row>
    <row r="876" spans="6:13" ht="13" x14ac:dyDescent="0.15">
      <c r="F876" s="9"/>
      <c r="M876" s="18"/>
    </row>
    <row r="877" spans="6:13" ht="13" x14ac:dyDescent="0.15">
      <c r="F877" s="9"/>
      <c r="M877" s="18"/>
    </row>
    <row r="878" spans="6:13" ht="13" x14ac:dyDescent="0.15">
      <c r="F878" s="9"/>
      <c r="M878" s="18"/>
    </row>
    <row r="879" spans="6:13" ht="13" x14ac:dyDescent="0.15">
      <c r="F879" s="9"/>
      <c r="M879" s="18"/>
    </row>
    <row r="880" spans="6:13" ht="13" x14ac:dyDescent="0.15">
      <c r="F880" s="9"/>
      <c r="M880" s="18"/>
    </row>
    <row r="881" spans="6:13" ht="13" x14ac:dyDescent="0.15">
      <c r="F881" s="9"/>
      <c r="M881" s="18"/>
    </row>
    <row r="882" spans="6:13" ht="13" x14ac:dyDescent="0.15">
      <c r="F882" s="9"/>
      <c r="M882" s="18"/>
    </row>
    <row r="883" spans="6:13" ht="13" x14ac:dyDescent="0.15">
      <c r="F883" s="9"/>
      <c r="M883" s="18"/>
    </row>
    <row r="884" spans="6:13" ht="13" x14ac:dyDescent="0.15">
      <c r="F884" s="9"/>
      <c r="M884" s="18"/>
    </row>
    <row r="885" spans="6:13" ht="13" x14ac:dyDescent="0.15">
      <c r="F885" s="9"/>
      <c r="M885" s="18"/>
    </row>
    <row r="886" spans="6:13" ht="13" x14ac:dyDescent="0.15">
      <c r="F886" s="9"/>
      <c r="M886" s="18"/>
    </row>
    <row r="887" spans="6:13" ht="13" x14ac:dyDescent="0.15">
      <c r="F887" s="9"/>
      <c r="M887" s="18"/>
    </row>
    <row r="888" spans="6:13" ht="13" x14ac:dyDescent="0.15">
      <c r="F888" s="9"/>
      <c r="M888" s="18"/>
    </row>
    <row r="889" spans="6:13" ht="13" x14ac:dyDescent="0.15">
      <c r="F889" s="9"/>
      <c r="M889" s="18"/>
    </row>
    <row r="890" spans="6:13" ht="13" x14ac:dyDescent="0.15">
      <c r="F890" s="9"/>
      <c r="M890" s="18"/>
    </row>
    <row r="891" spans="6:13" ht="13" x14ac:dyDescent="0.15">
      <c r="F891" s="9"/>
      <c r="M891" s="18"/>
    </row>
    <row r="892" spans="6:13" ht="13" x14ac:dyDescent="0.15">
      <c r="F892" s="9"/>
      <c r="M892" s="18"/>
    </row>
    <row r="893" spans="6:13" ht="13" x14ac:dyDescent="0.15">
      <c r="F893" s="9"/>
      <c r="M893" s="18"/>
    </row>
    <row r="894" spans="6:13" ht="13" x14ac:dyDescent="0.15">
      <c r="F894" s="9"/>
      <c r="M894" s="18"/>
    </row>
    <row r="895" spans="6:13" ht="13" x14ac:dyDescent="0.15">
      <c r="F895" s="9"/>
      <c r="M895" s="18"/>
    </row>
    <row r="896" spans="6:13" ht="13" x14ac:dyDescent="0.15">
      <c r="F896" s="9"/>
      <c r="M896" s="18"/>
    </row>
    <row r="897" spans="6:13" ht="13" x14ac:dyDescent="0.15">
      <c r="F897" s="9"/>
      <c r="M897" s="18"/>
    </row>
    <row r="898" spans="6:13" ht="13" x14ac:dyDescent="0.15">
      <c r="F898" s="9"/>
      <c r="M898" s="18"/>
    </row>
    <row r="899" spans="6:13" ht="13" x14ac:dyDescent="0.15">
      <c r="F899" s="9"/>
      <c r="M899" s="18"/>
    </row>
    <row r="900" spans="6:13" ht="13" x14ac:dyDescent="0.15">
      <c r="F900" s="9"/>
      <c r="M900" s="18"/>
    </row>
    <row r="901" spans="6:13" ht="13" x14ac:dyDescent="0.15">
      <c r="F901" s="9"/>
      <c r="M901" s="18"/>
    </row>
    <row r="902" spans="6:13" ht="13" x14ac:dyDescent="0.15">
      <c r="F902" s="9"/>
      <c r="M902" s="18"/>
    </row>
    <row r="903" spans="6:13" ht="13" x14ac:dyDescent="0.15">
      <c r="F903" s="9"/>
      <c r="M903" s="18"/>
    </row>
    <row r="904" spans="6:13" ht="13" x14ac:dyDescent="0.15">
      <c r="F904" s="9"/>
      <c r="M904" s="18"/>
    </row>
    <row r="905" spans="6:13" ht="13" x14ac:dyDescent="0.15">
      <c r="F905" s="9"/>
      <c r="M905" s="18"/>
    </row>
    <row r="906" spans="6:13" ht="13" x14ac:dyDescent="0.15">
      <c r="F906" s="9"/>
      <c r="M906" s="18"/>
    </row>
    <row r="907" spans="6:13" ht="13" x14ac:dyDescent="0.15">
      <c r="F907" s="9"/>
      <c r="M907" s="18"/>
    </row>
    <row r="908" spans="6:13" ht="13" x14ac:dyDescent="0.15">
      <c r="F908" s="9"/>
      <c r="M908" s="18"/>
    </row>
    <row r="909" spans="6:13" ht="13" x14ac:dyDescent="0.15">
      <c r="F909" s="9"/>
      <c r="M909" s="18"/>
    </row>
    <row r="910" spans="6:13" ht="13" x14ac:dyDescent="0.15">
      <c r="F910" s="9"/>
      <c r="M910" s="18"/>
    </row>
    <row r="911" spans="6:13" ht="13" x14ac:dyDescent="0.15">
      <c r="F911" s="9"/>
      <c r="M911" s="18"/>
    </row>
    <row r="912" spans="6:13" ht="13" x14ac:dyDescent="0.15">
      <c r="F912" s="9"/>
      <c r="M912" s="18"/>
    </row>
    <row r="913" spans="6:13" ht="13" x14ac:dyDescent="0.15">
      <c r="F913" s="9"/>
      <c r="M913" s="18"/>
    </row>
    <row r="914" spans="6:13" ht="13" x14ac:dyDescent="0.15">
      <c r="F914" s="9"/>
      <c r="M914" s="18"/>
    </row>
    <row r="915" spans="6:13" ht="13" x14ac:dyDescent="0.15">
      <c r="F915" s="9"/>
      <c r="M915" s="18"/>
    </row>
    <row r="916" spans="6:13" ht="13" x14ac:dyDescent="0.15">
      <c r="F916" s="9"/>
      <c r="M916" s="18"/>
    </row>
    <row r="917" spans="6:13" ht="13" x14ac:dyDescent="0.15">
      <c r="F917" s="9"/>
      <c r="M917" s="18"/>
    </row>
    <row r="918" spans="6:13" ht="13" x14ac:dyDescent="0.15">
      <c r="F918" s="9"/>
      <c r="M918" s="18"/>
    </row>
    <row r="919" spans="6:13" ht="13" x14ac:dyDescent="0.15">
      <c r="F919" s="9"/>
      <c r="M919" s="18"/>
    </row>
    <row r="920" spans="6:13" ht="13" x14ac:dyDescent="0.15">
      <c r="F920" s="9"/>
      <c r="M920" s="18"/>
    </row>
    <row r="921" spans="6:13" ht="13" x14ac:dyDescent="0.15">
      <c r="F921" s="9"/>
      <c r="M921" s="18"/>
    </row>
    <row r="922" spans="6:13" ht="13" x14ac:dyDescent="0.15">
      <c r="F922" s="9"/>
      <c r="M922" s="18"/>
    </row>
    <row r="923" spans="6:13" ht="13" x14ac:dyDescent="0.15">
      <c r="F923" s="9"/>
      <c r="M923" s="18"/>
    </row>
    <row r="924" spans="6:13" ht="13" x14ac:dyDescent="0.15">
      <c r="F924" s="9"/>
      <c r="M924" s="18"/>
    </row>
    <row r="925" spans="6:13" ht="13" x14ac:dyDescent="0.15">
      <c r="F925" s="9"/>
      <c r="M925" s="18"/>
    </row>
    <row r="926" spans="6:13" ht="13" x14ac:dyDescent="0.15">
      <c r="F926" s="9"/>
      <c r="M926" s="18"/>
    </row>
    <row r="927" spans="6:13" ht="13" x14ac:dyDescent="0.15">
      <c r="F927" s="9"/>
      <c r="M927" s="18"/>
    </row>
    <row r="928" spans="6:13" ht="13" x14ac:dyDescent="0.15">
      <c r="F928" s="9"/>
      <c r="M928" s="18"/>
    </row>
    <row r="929" spans="6:13" ht="13" x14ac:dyDescent="0.15">
      <c r="F929" s="9"/>
      <c r="M929" s="18"/>
    </row>
    <row r="930" spans="6:13" ht="13" x14ac:dyDescent="0.15">
      <c r="F930" s="9"/>
      <c r="M930" s="18"/>
    </row>
    <row r="931" spans="6:13" ht="13" x14ac:dyDescent="0.15">
      <c r="F931" s="9"/>
      <c r="M931" s="18"/>
    </row>
    <row r="932" spans="6:13" ht="13" x14ac:dyDescent="0.15">
      <c r="F932" s="9"/>
      <c r="M932" s="18"/>
    </row>
    <row r="933" spans="6:13" ht="13" x14ac:dyDescent="0.15">
      <c r="F933" s="9"/>
      <c r="M933" s="18"/>
    </row>
    <row r="934" spans="6:13" ht="13" x14ac:dyDescent="0.15">
      <c r="F934" s="9"/>
      <c r="M934" s="18"/>
    </row>
    <row r="935" spans="6:13" ht="13" x14ac:dyDescent="0.15">
      <c r="F935" s="9"/>
      <c r="M935" s="18"/>
    </row>
    <row r="936" spans="6:13" ht="13" x14ac:dyDescent="0.15">
      <c r="F936" s="9"/>
      <c r="M936" s="18"/>
    </row>
    <row r="937" spans="6:13" ht="13" x14ac:dyDescent="0.15">
      <c r="F937" s="9"/>
      <c r="M937" s="18"/>
    </row>
    <row r="938" spans="6:13" ht="13" x14ac:dyDescent="0.15">
      <c r="F938" s="9"/>
      <c r="M938" s="18"/>
    </row>
    <row r="939" spans="6:13" ht="13" x14ac:dyDescent="0.15">
      <c r="F939" s="9"/>
      <c r="M939" s="18"/>
    </row>
    <row r="940" spans="6:13" ht="13" x14ac:dyDescent="0.15">
      <c r="F940" s="9"/>
      <c r="M940" s="18"/>
    </row>
    <row r="941" spans="6:13" ht="13" x14ac:dyDescent="0.15">
      <c r="F941" s="9"/>
      <c r="M941" s="18"/>
    </row>
    <row r="942" spans="6:13" ht="13" x14ac:dyDescent="0.15">
      <c r="F942" s="9"/>
      <c r="M942" s="18"/>
    </row>
    <row r="943" spans="6:13" ht="13" x14ac:dyDescent="0.15">
      <c r="F943" s="9"/>
      <c r="M943" s="18"/>
    </row>
    <row r="944" spans="6:13" ht="13" x14ac:dyDescent="0.15">
      <c r="F944" s="9"/>
      <c r="M944" s="18"/>
    </row>
    <row r="945" spans="6:13" ht="13" x14ac:dyDescent="0.15">
      <c r="F945" s="9"/>
      <c r="M945" s="18"/>
    </row>
    <row r="946" spans="6:13" ht="13" x14ac:dyDescent="0.15">
      <c r="F946" s="9"/>
      <c r="M946" s="18"/>
    </row>
    <row r="947" spans="6:13" ht="13" x14ac:dyDescent="0.15">
      <c r="F947" s="9"/>
      <c r="M947" s="18"/>
    </row>
    <row r="948" spans="6:13" ht="13" x14ac:dyDescent="0.15">
      <c r="F948" s="9"/>
      <c r="M948" s="18"/>
    </row>
    <row r="949" spans="6:13" ht="13" x14ac:dyDescent="0.15">
      <c r="F949" s="9"/>
      <c r="M949" s="18"/>
    </row>
    <row r="950" spans="6:13" ht="13" x14ac:dyDescent="0.15">
      <c r="F950" s="9"/>
      <c r="M950" s="18"/>
    </row>
    <row r="951" spans="6:13" ht="13" x14ac:dyDescent="0.15">
      <c r="F951" s="9"/>
      <c r="M951" s="18"/>
    </row>
    <row r="952" spans="6:13" ht="13" x14ac:dyDescent="0.15">
      <c r="F952" s="9"/>
      <c r="M952" s="18"/>
    </row>
    <row r="953" spans="6:13" ht="13" x14ac:dyDescent="0.15">
      <c r="F953" s="9"/>
      <c r="M953" s="18"/>
    </row>
    <row r="954" spans="6:13" ht="13" x14ac:dyDescent="0.15">
      <c r="F954" s="9"/>
      <c r="M954" s="18"/>
    </row>
    <row r="955" spans="6:13" ht="13" x14ac:dyDescent="0.15">
      <c r="F955" s="9"/>
      <c r="M955" s="18"/>
    </row>
    <row r="956" spans="6:13" ht="13" x14ac:dyDescent="0.15">
      <c r="F956" s="9"/>
      <c r="M956" s="18"/>
    </row>
    <row r="957" spans="6:13" ht="13" x14ac:dyDescent="0.15">
      <c r="F957" s="9"/>
      <c r="M957" s="18"/>
    </row>
    <row r="958" spans="6:13" ht="13" x14ac:dyDescent="0.15">
      <c r="F958" s="9"/>
      <c r="M958" s="18"/>
    </row>
    <row r="959" spans="6:13" ht="13" x14ac:dyDescent="0.15">
      <c r="F959" s="9"/>
      <c r="M959" s="18"/>
    </row>
    <row r="960" spans="6:13" ht="13" x14ac:dyDescent="0.15">
      <c r="F960" s="9"/>
      <c r="M960" s="18"/>
    </row>
    <row r="961" spans="6:13" ht="13" x14ac:dyDescent="0.15">
      <c r="F961" s="9"/>
      <c r="M961" s="18"/>
    </row>
    <row r="962" spans="6:13" ht="13" x14ac:dyDescent="0.15">
      <c r="F962" s="9"/>
      <c r="M962" s="18"/>
    </row>
    <row r="963" spans="6:13" ht="13" x14ac:dyDescent="0.15">
      <c r="F963" s="9"/>
      <c r="M963" s="18"/>
    </row>
    <row r="964" spans="6:13" ht="13" x14ac:dyDescent="0.15">
      <c r="F964" s="9"/>
      <c r="M964" s="18"/>
    </row>
    <row r="965" spans="6:13" ht="13" x14ac:dyDescent="0.15">
      <c r="F965" s="9"/>
      <c r="M965" s="18"/>
    </row>
    <row r="966" spans="6:13" ht="13" x14ac:dyDescent="0.15">
      <c r="F966" s="9"/>
      <c r="M966" s="18"/>
    </row>
    <row r="967" spans="6:13" ht="13" x14ac:dyDescent="0.15">
      <c r="F967" s="9"/>
      <c r="M967" s="18"/>
    </row>
    <row r="968" spans="6:13" ht="13" x14ac:dyDescent="0.15">
      <c r="F968" s="9"/>
      <c r="M968" s="18"/>
    </row>
    <row r="969" spans="6:13" ht="13" x14ac:dyDescent="0.15">
      <c r="F969" s="9"/>
      <c r="M969" s="18"/>
    </row>
    <row r="970" spans="6:13" ht="13" x14ac:dyDescent="0.15">
      <c r="F970" s="9"/>
      <c r="M970" s="18"/>
    </row>
    <row r="971" spans="6:13" ht="13" x14ac:dyDescent="0.15">
      <c r="F971" s="9"/>
      <c r="M971" s="18"/>
    </row>
    <row r="972" spans="6:13" ht="13" x14ac:dyDescent="0.15">
      <c r="F972" s="9"/>
      <c r="M972" s="18"/>
    </row>
    <row r="973" spans="6:13" ht="13" x14ac:dyDescent="0.15">
      <c r="F973" s="9"/>
      <c r="M973" s="18"/>
    </row>
    <row r="974" spans="6:13" ht="13" x14ac:dyDescent="0.15">
      <c r="F974" s="9"/>
      <c r="M974" s="18"/>
    </row>
    <row r="975" spans="6:13" ht="13" x14ac:dyDescent="0.15">
      <c r="F975" s="9"/>
      <c r="M975" s="18"/>
    </row>
    <row r="976" spans="6:13" ht="13" x14ac:dyDescent="0.15">
      <c r="F976" s="9"/>
      <c r="M976" s="18"/>
    </row>
    <row r="977" spans="6:13" ht="13" x14ac:dyDescent="0.15">
      <c r="F977" s="9"/>
      <c r="M977" s="18"/>
    </row>
    <row r="978" spans="6:13" ht="13" x14ac:dyDescent="0.15">
      <c r="F978" s="9"/>
      <c r="M978" s="18"/>
    </row>
    <row r="979" spans="6:13" ht="13" x14ac:dyDescent="0.15">
      <c r="F979" s="9"/>
      <c r="M979" s="18"/>
    </row>
    <row r="980" spans="6:13" ht="13" x14ac:dyDescent="0.15">
      <c r="F980" s="9"/>
      <c r="M980" s="18"/>
    </row>
    <row r="981" spans="6:13" ht="13" x14ac:dyDescent="0.15">
      <c r="F981" s="9"/>
      <c r="M981" s="18"/>
    </row>
    <row r="982" spans="6:13" ht="13" x14ac:dyDescent="0.15">
      <c r="F982" s="9"/>
      <c r="M982" s="18"/>
    </row>
    <row r="983" spans="6:13" ht="13" x14ac:dyDescent="0.15">
      <c r="F983" s="9"/>
      <c r="M983" s="18"/>
    </row>
    <row r="984" spans="6:13" ht="13" x14ac:dyDescent="0.15">
      <c r="F984" s="9"/>
      <c r="M984" s="18"/>
    </row>
    <row r="985" spans="6:13" ht="13" x14ac:dyDescent="0.15">
      <c r="F985" s="9"/>
      <c r="M985" s="18"/>
    </row>
    <row r="986" spans="6:13" ht="13" x14ac:dyDescent="0.15">
      <c r="F986" s="9"/>
      <c r="M986" s="18"/>
    </row>
    <row r="987" spans="6:13" ht="13" x14ac:dyDescent="0.15">
      <c r="F987" s="9"/>
      <c r="M987" s="18"/>
    </row>
    <row r="988" spans="6:13" ht="13" x14ac:dyDescent="0.15">
      <c r="F988" s="9"/>
      <c r="M988" s="18"/>
    </row>
    <row r="989" spans="6:13" ht="13" x14ac:dyDescent="0.15">
      <c r="F989" s="9"/>
      <c r="M989" s="18"/>
    </row>
    <row r="990" spans="6:13" ht="13" x14ac:dyDescent="0.15">
      <c r="F990" s="9"/>
      <c r="M990" s="18"/>
    </row>
    <row r="991" spans="6:13" ht="13" x14ac:dyDescent="0.15">
      <c r="F991" s="9"/>
      <c r="M991" s="18"/>
    </row>
    <row r="992" spans="6:13" ht="13" x14ac:dyDescent="0.15">
      <c r="F992" s="9"/>
      <c r="M992" s="18"/>
    </row>
    <row r="993" spans="6:13" ht="13" x14ac:dyDescent="0.15">
      <c r="F993" s="9"/>
      <c r="M993" s="18"/>
    </row>
    <row r="994" spans="6:13" ht="13" x14ac:dyDescent="0.15">
      <c r="F994" s="9"/>
      <c r="M994" s="18"/>
    </row>
    <row r="995" spans="6:13" ht="13" x14ac:dyDescent="0.15">
      <c r="F995" s="9"/>
      <c r="M995" s="18"/>
    </row>
    <row r="996" spans="6:13" ht="13" x14ac:dyDescent="0.15">
      <c r="F996" s="9"/>
      <c r="M996" s="18"/>
    </row>
    <row r="997" spans="6:13" ht="13" x14ac:dyDescent="0.15">
      <c r="F997" s="9"/>
      <c r="M997" s="18"/>
    </row>
    <row r="998" spans="6:13" ht="13" x14ac:dyDescent="0.15">
      <c r="F998" s="9"/>
      <c r="M998" s="18"/>
    </row>
    <row r="999" spans="6:13" ht="13" x14ac:dyDescent="0.15">
      <c r="F999" s="9"/>
      <c r="M999" s="18"/>
    </row>
    <row r="1000" spans="6:13" ht="13" x14ac:dyDescent="0.15">
      <c r="F1000" s="9"/>
      <c r="M100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00"/>
  <sheetViews>
    <sheetView workbookViewId="0">
      <selection activeCell="N16" sqref="N1:P16"/>
    </sheetView>
  </sheetViews>
  <sheetFormatPr baseColWidth="10" defaultColWidth="12.6640625" defaultRowHeight="15.75" customHeight="1" x14ac:dyDescent="0.15"/>
  <cols>
    <col min="9" max="9" width="13.6640625" customWidth="1"/>
    <col min="11" max="11" width="18.6640625" customWidth="1"/>
    <col min="13" max="13" width="20.33203125" customWidth="1"/>
  </cols>
  <sheetData>
    <row r="1" spans="1:15" ht="15.75" customHeight="1" x14ac:dyDescent="0.15">
      <c r="A1" s="10" t="s">
        <v>0</v>
      </c>
      <c r="B1" s="10" t="s">
        <v>6</v>
      </c>
      <c r="C1" s="21" t="s">
        <v>1</v>
      </c>
      <c r="D1" s="22" t="s">
        <v>7</v>
      </c>
      <c r="E1" s="10" t="s">
        <v>2</v>
      </c>
      <c r="F1" s="12" t="s">
        <v>8</v>
      </c>
      <c r="G1" s="11" t="s">
        <v>9</v>
      </c>
      <c r="H1" s="10" t="s">
        <v>10</v>
      </c>
      <c r="I1" s="22" t="s">
        <v>11</v>
      </c>
      <c r="J1" s="10" t="s">
        <v>4</v>
      </c>
      <c r="K1" s="12" t="s">
        <v>12</v>
      </c>
      <c r="L1" s="10" t="s">
        <v>13</v>
      </c>
      <c r="M1" s="23"/>
      <c r="N1" s="8"/>
      <c r="O1" s="8"/>
    </row>
    <row r="2" spans="1:15" ht="15.75" customHeight="1" x14ac:dyDescent="0.15">
      <c r="A2" s="7">
        <f ca="1">'TikTok Ads Raw Data'!A2</f>
        <v>45658</v>
      </c>
      <c r="B2" s="8">
        <f t="shared" ref="B2:B256" ca="1" si="0">MONTH(A:A)</f>
        <v>1</v>
      </c>
      <c r="C2" s="24">
        <f ca="1">'TikTok Ads Raw Data'!B2</f>
        <v>37761</v>
      </c>
      <c r="D2" s="20">
        <f t="shared" ref="D2:D256" ca="1" si="1">E2/C2</f>
        <v>1.8140409417123488E-2</v>
      </c>
      <c r="E2" s="8">
        <f ca="1">'TikTok Ads Raw Data'!C2</f>
        <v>685</v>
      </c>
      <c r="F2" s="9">
        <f t="shared" ref="F2:F256" ca="1" si="2">H2/E2</f>
        <v>0.75766423357664237</v>
      </c>
      <c r="G2" s="9">
        <f t="shared" ref="G2:G256" ca="1" si="3">H2/(C2/1000)</f>
        <v>13.744339397791371</v>
      </c>
      <c r="H2" s="9">
        <f ca="1">'TikTok Ads Raw Data'!D2</f>
        <v>519</v>
      </c>
      <c r="I2" s="20">
        <f t="shared" ref="I2:I256" ca="1" si="4">J2/E2</f>
        <v>1.6058394160583942E-2</v>
      </c>
      <c r="J2" s="8">
        <f ca="1">'TikTok Ads Raw Data'!E2</f>
        <v>11</v>
      </c>
      <c r="K2" s="9">
        <f t="shared" ref="K2:K256" ca="1" si="5">L2/J2</f>
        <v>155.54545454545453</v>
      </c>
      <c r="L2" s="9">
        <f ca="1">'TikTok Ads Raw Data'!F2</f>
        <v>1711</v>
      </c>
      <c r="N2" s="8"/>
      <c r="O2" s="25"/>
    </row>
    <row r="3" spans="1:15" ht="15.75" customHeight="1" x14ac:dyDescent="0.15">
      <c r="A3" s="7">
        <f ca="1">'TikTok Ads Raw Data'!A3</f>
        <v>45659</v>
      </c>
      <c r="B3" s="8">
        <f t="shared" ca="1" si="0"/>
        <v>1</v>
      </c>
      <c r="C3" s="24">
        <f ca="1">'TikTok Ads Raw Data'!B3</f>
        <v>113622</v>
      </c>
      <c r="D3" s="20">
        <f t="shared" ca="1" si="1"/>
        <v>1.882557955325553E-2</v>
      </c>
      <c r="E3" s="8">
        <f ca="1">'TikTok Ads Raw Data'!C3</f>
        <v>2139</v>
      </c>
      <c r="F3" s="9">
        <f t="shared" ca="1" si="2"/>
        <v>0.89901823281907434</v>
      </c>
      <c r="G3" s="9">
        <f t="shared" ca="1" si="3"/>
        <v>16.924539261762686</v>
      </c>
      <c r="H3" s="9">
        <f ca="1">'TikTok Ads Raw Data'!D3</f>
        <v>1923</v>
      </c>
      <c r="I3" s="20">
        <f t="shared" ca="1" si="4"/>
        <v>2.337540906965872E-2</v>
      </c>
      <c r="J3" s="8">
        <f ca="1">'TikTok Ads Raw Data'!E3</f>
        <v>50</v>
      </c>
      <c r="K3" s="9">
        <f t="shared" ca="1" si="5"/>
        <v>125.24</v>
      </c>
      <c r="L3" s="9">
        <f ca="1">'TikTok Ads Raw Data'!F3</f>
        <v>6262</v>
      </c>
      <c r="N3" s="8"/>
      <c r="O3" s="25"/>
    </row>
    <row r="4" spans="1:15" ht="15.75" customHeight="1" x14ac:dyDescent="0.15">
      <c r="A4" s="7">
        <f ca="1">'TikTok Ads Raw Data'!A4</f>
        <v>45660</v>
      </c>
      <c r="B4" s="8">
        <f t="shared" ca="1" si="0"/>
        <v>1</v>
      </c>
      <c r="C4" s="24">
        <f ca="1">'TikTok Ads Raw Data'!B4</f>
        <v>25676</v>
      </c>
      <c r="D4" s="20">
        <f t="shared" ca="1" si="1"/>
        <v>1.4020875525782833E-2</v>
      </c>
      <c r="E4" s="8">
        <f ca="1">'TikTok Ads Raw Data'!C4</f>
        <v>360</v>
      </c>
      <c r="F4" s="9">
        <f t="shared" ca="1" si="2"/>
        <v>0.75</v>
      </c>
      <c r="G4" s="9">
        <f t="shared" ca="1" si="3"/>
        <v>10.515656644337124</v>
      </c>
      <c r="H4" s="9">
        <f ca="1">'TikTok Ads Raw Data'!D4</f>
        <v>270</v>
      </c>
      <c r="I4" s="20">
        <f t="shared" ca="1" si="4"/>
        <v>1.9444444444444445E-2</v>
      </c>
      <c r="J4" s="8">
        <f ca="1">'TikTok Ads Raw Data'!E4</f>
        <v>7</v>
      </c>
      <c r="K4" s="9">
        <f t="shared" ca="1" si="5"/>
        <v>123</v>
      </c>
      <c r="L4" s="9">
        <f ca="1">'TikTok Ads Raw Data'!F4</f>
        <v>861</v>
      </c>
      <c r="N4" s="8"/>
      <c r="O4" s="25"/>
    </row>
    <row r="5" spans="1:15" ht="15.75" customHeight="1" x14ac:dyDescent="0.15">
      <c r="A5" s="7">
        <f ca="1">'TikTok Ads Raw Data'!A5</f>
        <v>45661</v>
      </c>
      <c r="B5" s="8">
        <f t="shared" ca="1" si="0"/>
        <v>1</v>
      </c>
      <c r="C5" s="24">
        <f ca="1">'TikTok Ads Raw Data'!B5</f>
        <v>55742</v>
      </c>
      <c r="D5" s="20">
        <f t="shared" ca="1" si="1"/>
        <v>1.6630189085429299E-2</v>
      </c>
      <c r="E5" s="8">
        <f ca="1">'TikTok Ads Raw Data'!C5</f>
        <v>927</v>
      </c>
      <c r="F5" s="9">
        <f t="shared" ca="1" si="2"/>
        <v>1.0258899676375404</v>
      </c>
      <c r="G5" s="9">
        <f t="shared" ca="1" si="3"/>
        <v>17.060744142657242</v>
      </c>
      <c r="H5" s="9">
        <f ca="1">'TikTok Ads Raw Data'!D5</f>
        <v>951</v>
      </c>
      <c r="I5" s="20">
        <f t="shared" ca="1" si="4"/>
        <v>1.7259978425026967E-2</v>
      </c>
      <c r="J5" s="8">
        <f ca="1">'TikTok Ads Raw Data'!E5</f>
        <v>16</v>
      </c>
      <c r="K5" s="9">
        <f t="shared" ca="1" si="5"/>
        <v>220.75</v>
      </c>
      <c r="L5" s="9">
        <f ca="1">'TikTok Ads Raw Data'!F5</f>
        <v>3532</v>
      </c>
      <c r="N5" s="8"/>
      <c r="O5" s="25"/>
    </row>
    <row r="6" spans="1:15" ht="15.75" customHeight="1" x14ac:dyDescent="0.15">
      <c r="A6" s="7">
        <f ca="1">'TikTok Ads Raw Data'!A6</f>
        <v>45662</v>
      </c>
      <c r="B6" s="8">
        <f t="shared" ca="1" si="0"/>
        <v>1</v>
      </c>
      <c r="C6" s="24">
        <f ca="1">'TikTok Ads Raw Data'!B6</f>
        <v>50034</v>
      </c>
      <c r="D6" s="20">
        <f t="shared" ca="1" si="1"/>
        <v>1.3370907782707759E-2</v>
      </c>
      <c r="E6" s="8">
        <f ca="1">'TikTok Ads Raw Data'!C6</f>
        <v>669</v>
      </c>
      <c r="F6" s="9">
        <f t="shared" ca="1" si="2"/>
        <v>0.87892376681614348</v>
      </c>
      <c r="G6" s="9">
        <f t="shared" ca="1" si="3"/>
        <v>11.752008634128792</v>
      </c>
      <c r="H6" s="9">
        <f ca="1">'TikTok Ads Raw Data'!D6</f>
        <v>588</v>
      </c>
      <c r="I6" s="20">
        <f t="shared" ca="1" si="4"/>
        <v>2.2421524663677129E-2</v>
      </c>
      <c r="J6" s="8">
        <f ca="1">'TikTok Ads Raw Data'!E6</f>
        <v>15</v>
      </c>
      <c r="K6" s="9">
        <f t="shared" ca="1" si="5"/>
        <v>230.93333333333334</v>
      </c>
      <c r="L6" s="9">
        <f ca="1">'TikTok Ads Raw Data'!F6</f>
        <v>3464</v>
      </c>
      <c r="N6" s="8"/>
      <c r="O6" s="25"/>
    </row>
    <row r="7" spans="1:15" ht="15.75" customHeight="1" x14ac:dyDescent="0.15">
      <c r="A7" s="7">
        <f ca="1">'TikTok Ads Raw Data'!A7</f>
        <v>45663</v>
      </c>
      <c r="B7" s="8">
        <f t="shared" ca="1" si="0"/>
        <v>1</v>
      </c>
      <c r="C7" s="24">
        <f ca="1">'TikTok Ads Raw Data'!B7</f>
        <v>72795</v>
      </c>
      <c r="D7" s="20">
        <f t="shared" ca="1" si="1"/>
        <v>1.8229273988598117E-2</v>
      </c>
      <c r="E7" s="8">
        <f ca="1">'TikTok Ads Raw Data'!C7</f>
        <v>1327</v>
      </c>
      <c r="F7" s="9">
        <f t="shared" ca="1" si="2"/>
        <v>1.1032403918613414</v>
      </c>
      <c r="G7" s="9">
        <f t="shared" ca="1" si="3"/>
        <v>20.111271378528745</v>
      </c>
      <c r="H7" s="9">
        <f ca="1">'TikTok Ads Raw Data'!D7</f>
        <v>1464</v>
      </c>
      <c r="I7" s="20">
        <f t="shared" ca="1" si="4"/>
        <v>1.6578749058025623E-2</v>
      </c>
      <c r="J7" s="8">
        <f ca="1">'TikTok Ads Raw Data'!E7</f>
        <v>22</v>
      </c>
      <c r="K7" s="9">
        <f t="shared" ca="1" si="5"/>
        <v>172.90909090909091</v>
      </c>
      <c r="L7" s="9">
        <f ca="1">'TikTok Ads Raw Data'!F7</f>
        <v>3804</v>
      </c>
      <c r="N7" s="8"/>
      <c r="O7" s="25"/>
    </row>
    <row r="8" spans="1:15" ht="15.75" customHeight="1" x14ac:dyDescent="0.15">
      <c r="A8" s="7">
        <f ca="1">'TikTok Ads Raw Data'!A8</f>
        <v>45664</v>
      </c>
      <c r="B8" s="8">
        <f t="shared" ca="1" si="0"/>
        <v>1</v>
      </c>
      <c r="C8" s="24">
        <f ca="1">'TikTok Ads Raw Data'!B8</f>
        <v>54686</v>
      </c>
      <c r="D8" s="20">
        <f t="shared" ca="1" si="1"/>
        <v>2.938594887174048E-2</v>
      </c>
      <c r="E8" s="8">
        <f ca="1">'TikTok Ads Raw Data'!C8</f>
        <v>1607</v>
      </c>
      <c r="F8" s="9">
        <f t="shared" ca="1" si="2"/>
        <v>0.69570628500311138</v>
      </c>
      <c r="G8" s="9">
        <f t="shared" ca="1" si="3"/>
        <v>20.443989320849944</v>
      </c>
      <c r="H8" s="9">
        <f ca="1">'TikTok Ads Raw Data'!D8</f>
        <v>1118</v>
      </c>
      <c r="I8" s="20">
        <f t="shared" ca="1" si="4"/>
        <v>2.0535158680771624E-2</v>
      </c>
      <c r="J8" s="8">
        <f ca="1">'TikTok Ads Raw Data'!E8</f>
        <v>33</v>
      </c>
      <c r="K8" s="9">
        <f t="shared" ca="1" si="5"/>
        <v>206.4848484848485</v>
      </c>
      <c r="L8" s="9">
        <f ca="1">'TikTok Ads Raw Data'!F8</f>
        <v>6814</v>
      </c>
      <c r="N8" s="8"/>
      <c r="O8" s="25"/>
    </row>
    <row r="9" spans="1:15" ht="15.75" customHeight="1" x14ac:dyDescent="0.15">
      <c r="A9" s="7">
        <f ca="1">'TikTok Ads Raw Data'!A9</f>
        <v>45665</v>
      </c>
      <c r="B9" s="8">
        <f t="shared" ca="1" si="0"/>
        <v>1</v>
      </c>
      <c r="C9" s="24">
        <f ca="1">'TikTok Ads Raw Data'!B9</f>
        <v>51903</v>
      </c>
      <c r="D9" s="20">
        <f t="shared" ca="1" si="1"/>
        <v>9.8067549081941319E-3</v>
      </c>
      <c r="E9" s="8">
        <f ca="1">'TikTok Ads Raw Data'!C9</f>
        <v>509</v>
      </c>
      <c r="F9" s="9">
        <f t="shared" ca="1" si="2"/>
        <v>1.0707269155206287</v>
      </c>
      <c r="G9" s="9">
        <f t="shared" ca="1" si="3"/>
        <v>10.500356434117489</v>
      </c>
      <c r="H9" s="9">
        <f ca="1">'TikTok Ads Raw Data'!D9</f>
        <v>545</v>
      </c>
      <c r="I9" s="20">
        <f t="shared" ca="1" si="4"/>
        <v>1.9646365422396856E-2</v>
      </c>
      <c r="J9" s="8">
        <f ca="1">'TikTok Ads Raw Data'!E9</f>
        <v>10</v>
      </c>
      <c r="K9" s="9">
        <f t="shared" ca="1" si="5"/>
        <v>167.1</v>
      </c>
      <c r="L9" s="9">
        <f ca="1">'TikTok Ads Raw Data'!F9</f>
        <v>1671</v>
      </c>
      <c r="N9" s="8"/>
      <c r="O9" s="25"/>
    </row>
    <row r="10" spans="1:15" ht="15.75" customHeight="1" x14ac:dyDescent="0.15">
      <c r="A10" s="7">
        <f ca="1">'TikTok Ads Raw Data'!A10</f>
        <v>45666</v>
      </c>
      <c r="B10" s="8">
        <f t="shared" ca="1" si="0"/>
        <v>1</v>
      </c>
      <c r="C10" s="24">
        <f ca="1">'TikTok Ads Raw Data'!B10</f>
        <v>96174</v>
      </c>
      <c r="D10" s="20">
        <f t="shared" ca="1" si="1"/>
        <v>2.2823216253873187E-2</v>
      </c>
      <c r="E10" s="8">
        <f ca="1">'TikTok Ads Raw Data'!C10</f>
        <v>2195</v>
      </c>
      <c r="F10" s="9">
        <f t="shared" ca="1" si="2"/>
        <v>0.85193621867881553</v>
      </c>
      <c r="G10" s="9">
        <f t="shared" ca="1" si="3"/>
        <v>19.443924553413602</v>
      </c>
      <c r="H10" s="9">
        <f ca="1">'TikTok Ads Raw Data'!D10</f>
        <v>1870</v>
      </c>
      <c r="I10" s="20">
        <f t="shared" ca="1" si="4"/>
        <v>1.7312072892938495E-2</v>
      </c>
      <c r="J10" s="8">
        <f ca="1">'TikTok Ads Raw Data'!E10</f>
        <v>38</v>
      </c>
      <c r="K10" s="9">
        <f t="shared" ca="1" si="5"/>
        <v>219.63157894736841</v>
      </c>
      <c r="L10" s="9">
        <f ca="1">'TikTok Ads Raw Data'!F10</f>
        <v>8346</v>
      </c>
      <c r="N10" s="8"/>
      <c r="O10" s="25"/>
    </row>
    <row r="11" spans="1:15" ht="15.75" customHeight="1" x14ac:dyDescent="0.15">
      <c r="A11" s="7">
        <f ca="1">'TikTok Ads Raw Data'!A11</f>
        <v>45667</v>
      </c>
      <c r="B11" s="8">
        <f t="shared" ca="1" si="0"/>
        <v>1</v>
      </c>
      <c r="C11" s="24">
        <f ca="1">'TikTok Ads Raw Data'!B11</f>
        <v>85203</v>
      </c>
      <c r="D11" s="20">
        <f t="shared" ca="1" si="1"/>
        <v>1.8414844547727193E-2</v>
      </c>
      <c r="E11" s="8">
        <f ca="1">'TikTok Ads Raw Data'!C11</f>
        <v>1569</v>
      </c>
      <c r="F11" s="9">
        <f t="shared" ca="1" si="2"/>
        <v>1.3167622689611218</v>
      </c>
      <c r="G11" s="9">
        <f t="shared" ca="1" si="3"/>
        <v>24.2479724892316</v>
      </c>
      <c r="H11" s="9">
        <f ca="1">'TikTok Ads Raw Data'!D11</f>
        <v>2066</v>
      </c>
      <c r="I11" s="20">
        <f t="shared" ca="1" si="4"/>
        <v>1.2109623964308477E-2</v>
      </c>
      <c r="J11" s="8">
        <f ca="1">'TikTok Ads Raw Data'!E11</f>
        <v>19</v>
      </c>
      <c r="K11" s="9">
        <f t="shared" ca="1" si="5"/>
        <v>204</v>
      </c>
      <c r="L11" s="9">
        <f ca="1">'TikTok Ads Raw Data'!F11</f>
        <v>3876</v>
      </c>
      <c r="N11" s="8"/>
      <c r="O11" s="25"/>
    </row>
    <row r="12" spans="1:15" ht="15.75" customHeight="1" x14ac:dyDescent="0.15">
      <c r="A12" s="7">
        <f ca="1">'TikTok Ads Raw Data'!A12</f>
        <v>45668</v>
      </c>
      <c r="B12" s="8">
        <f t="shared" ca="1" si="0"/>
        <v>1</v>
      </c>
      <c r="C12" s="24">
        <f ca="1">'TikTok Ads Raw Data'!B12</f>
        <v>81432</v>
      </c>
      <c r="D12" s="20">
        <f t="shared" ca="1" si="1"/>
        <v>1.2525788387857353E-2</v>
      </c>
      <c r="E12" s="8">
        <f ca="1">'TikTok Ads Raw Data'!C12</f>
        <v>1020</v>
      </c>
      <c r="F12" s="9">
        <f t="shared" ca="1" si="2"/>
        <v>1.0686274509803921</v>
      </c>
      <c r="G12" s="9">
        <f t="shared" ca="1" si="3"/>
        <v>13.385401316435798</v>
      </c>
      <c r="H12" s="9">
        <f ca="1">'TikTok Ads Raw Data'!D12</f>
        <v>1090</v>
      </c>
      <c r="I12" s="20">
        <f t="shared" ca="1" si="4"/>
        <v>1.9607843137254902E-2</v>
      </c>
      <c r="J12" s="8">
        <f ca="1">'TikTok Ads Raw Data'!E12</f>
        <v>20</v>
      </c>
      <c r="K12" s="9">
        <f t="shared" ca="1" si="5"/>
        <v>214.25</v>
      </c>
      <c r="L12" s="9">
        <f ca="1">'TikTok Ads Raw Data'!F12</f>
        <v>4285</v>
      </c>
      <c r="N12" s="8"/>
      <c r="O12" s="25"/>
    </row>
    <row r="13" spans="1:15" ht="15.75" customHeight="1" x14ac:dyDescent="0.15">
      <c r="A13" s="7">
        <f ca="1">'TikTok Ads Raw Data'!A13</f>
        <v>45669</v>
      </c>
      <c r="B13" s="8">
        <f t="shared" ca="1" si="0"/>
        <v>1</v>
      </c>
      <c r="C13" s="24">
        <f ca="1">'TikTok Ads Raw Data'!B13</f>
        <v>86724</v>
      </c>
      <c r="D13" s="20">
        <f t="shared" ca="1" si="1"/>
        <v>1.8541580185415803E-2</v>
      </c>
      <c r="E13" s="8">
        <f ca="1">'TikTok Ads Raw Data'!C13</f>
        <v>1608</v>
      </c>
      <c r="F13" s="9">
        <f t="shared" ca="1" si="2"/>
        <v>1.0111940298507462</v>
      </c>
      <c r="G13" s="9">
        <f t="shared" ca="1" si="3"/>
        <v>18.749135187491351</v>
      </c>
      <c r="H13" s="9">
        <f ca="1">'TikTok Ads Raw Data'!D13</f>
        <v>1626</v>
      </c>
      <c r="I13" s="20">
        <f t="shared" ca="1" si="4"/>
        <v>1.2437810945273632E-2</v>
      </c>
      <c r="J13" s="8">
        <f ca="1">'TikTok Ads Raw Data'!E13</f>
        <v>20</v>
      </c>
      <c r="K13" s="9">
        <f t="shared" ca="1" si="5"/>
        <v>213.3</v>
      </c>
      <c r="L13" s="9">
        <f ca="1">'TikTok Ads Raw Data'!F13</f>
        <v>4266</v>
      </c>
      <c r="N13" s="8"/>
      <c r="O13" s="25"/>
    </row>
    <row r="14" spans="1:15" ht="15.75" customHeight="1" x14ac:dyDescent="0.15">
      <c r="A14" s="7">
        <f ca="1">'TikTok Ads Raw Data'!A14</f>
        <v>45670</v>
      </c>
      <c r="B14" s="8">
        <f t="shared" ca="1" si="0"/>
        <v>1</v>
      </c>
      <c r="C14" s="24">
        <f ca="1">'TikTok Ads Raw Data'!B14</f>
        <v>97450</v>
      </c>
      <c r="D14" s="20">
        <f t="shared" ca="1" si="1"/>
        <v>2.2924576706003078E-2</v>
      </c>
      <c r="E14" s="8">
        <f ca="1">'TikTok Ads Raw Data'!C14</f>
        <v>2234</v>
      </c>
      <c r="F14" s="9">
        <f t="shared" ca="1" si="2"/>
        <v>0.85452103849597139</v>
      </c>
      <c r="G14" s="9">
        <f t="shared" ca="1" si="3"/>
        <v>19.589533093894303</v>
      </c>
      <c r="H14" s="9">
        <f ca="1">'TikTok Ads Raw Data'!D14</f>
        <v>1909</v>
      </c>
      <c r="I14" s="20">
        <f t="shared" ca="1" si="4"/>
        <v>1.432408236347359E-2</v>
      </c>
      <c r="J14" s="8">
        <f ca="1">'TikTok Ads Raw Data'!E14</f>
        <v>32</v>
      </c>
      <c r="K14" s="9">
        <f t="shared" ca="1" si="5"/>
        <v>129.9375</v>
      </c>
      <c r="L14" s="9">
        <f ca="1">'TikTok Ads Raw Data'!F14</f>
        <v>4158</v>
      </c>
      <c r="O14" s="25"/>
    </row>
    <row r="15" spans="1:15" ht="15.75" customHeight="1" x14ac:dyDescent="0.15">
      <c r="A15" s="7">
        <f ca="1">'TikTok Ads Raw Data'!A15</f>
        <v>45671</v>
      </c>
      <c r="B15" s="8">
        <f t="shared" ca="1" si="0"/>
        <v>1</v>
      </c>
      <c r="C15" s="24">
        <f ca="1">'TikTok Ads Raw Data'!B15</f>
        <v>87059</v>
      </c>
      <c r="D15" s="20">
        <f t="shared" ca="1" si="1"/>
        <v>1.9320231107639647E-2</v>
      </c>
      <c r="E15" s="8">
        <f ca="1">'TikTok Ads Raw Data'!C15</f>
        <v>1682</v>
      </c>
      <c r="F15" s="9">
        <f t="shared" ca="1" si="2"/>
        <v>1.0594530321046374</v>
      </c>
      <c r="G15" s="9">
        <f t="shared" ca="1" si="3"/>
        <v>20.46887742795116</v>
      </c>
      <c r="H15" s="9">
        <f ca="1">'TikTok Ads Raw Data'!D15</f>
        <v>1782</v>
      </c>
      <c r="I15" s="20">
        <f t="shared" ca="1" si="4"/>
        <v>1.8430439952437573E-2</v>
      </c>
      <c r="J15" s="8">
        <f ca="1">'TikTok Ads Raw Data'!E15</f>
        <v>31</v>
      </c>
      <c r="K15" s="9">
        <f t="shared" ca="1" si="5"/>
        <v>154.64516129032259</v>
      </c>
      <c r="L15" s="9">
        <f ca="1">'TikTok Ads Raw Data'!F15</f>
        <v>4794</v>
      </c>
    </row>
    <row r="16" spans="1:15" ht="15.75" customHeight="1" x14ac:dyDescent="0.15">
      <c r="A16" s="7">
        <f ca="1">'TikTok Ads Raw Data'!A16</f>
        <v>45672</v>
      </c>
      <c r="B16" s="8">
        <f t="shared" ca="1" si="0"/>
        <v>1</v>
      </c>
      <c r="C16" s="24">
        <f ca="1">'TikTok Ads Raw Data'!B16</f>
        <v>82315</v>
      </c>
      <c r="D16" s="20">
        <f t="shared" ca="1" si="1"/>
        <v>2.6435036141650974E-2</v>
      </c>
      <c r="E16" s="8">
        <f ca="1">'TikTok Ads Raw Data'!C16</f>
        <v>2176</v>
      </c>
      <c r="F16" s="9">
        <f t="shared" ca="1" si="2"/>
        <v>0.87913602941176472</v>
      </c>
      <c r="G16" s="9">
        <f t="shared" ca="1" si="3"/>
        <v>23.239992710927535</v>
      </c>
      <c r="H16" s="9">
        <f ca="1">'TikTok Ads Raw Data'!D16</f>
        <v>1913</v>
      </c>
      <c r="I16" s="20">
        <f t="shared" ca="1" si="4"/>
        <v>1.5625E-2</v>
      </c>
      <c r="J16" s="8">
        <f ca="1">'TikTok Ads Raw Data'!E16</f>
        <v>34</v>
      </c>
      <c r="K16" s="9">
        <f t="shared" ca="1" si="5"/>
        <v>90.67647058823529</v>
      </c>
      <c r="L16" s="9">
        <f ca="1">'TikTok Ads Raw Data'!F16</f>
        <v>3083</v>
      </c>
    </row>
    <row r="17" spans="1:12" ht="15.75" customHeight="1" x14ac:dyDescent="0.15">
      <c r="A17" s="7">
        <f ca="1">'TikTok Ads Raw Data'!A17</f>
        <v>45673</v>
      </c>
      <c r="B17" s="8">
        <f t="shared" ca="1" si="0"/>
        <v>1</v>
      </c>
      <c r="C17" s="24">
        <f ca="1">'TikTok Ads Raw Data'!B17</f>
        <v>30991</v>
      </c>
      <c r="D17" s="20">
        <f t="shared" ca="1" si="1"/>
        <v>2.3426155980768609E-2</v>
      </c>
      <c r="E17" s="8">
        <f ca="1">'TikTok Ads Raw Data'!C17</f>
        <v>726</v>
      </c>
      <c r="F17" s="9">
        <f t="shared" ca="1" si="2"/>
        <v>1.3553719008264462</v>
      </c>
      <c r="G17" s="9">
        <f t="shared" ca="1" si="3"/>
        <v>31.751153560711174</v>
      </c>
      <c r="H17" s="9">
        <f ca="1">'TikTok Ads Raw Data'!D17</f>
        <v>984</v>
      </c>
      <c r="I17" s="20">
        <f t="shared" ca="1" si="4"/>
        <v>1.790633608815427E-2</v>
      </c>
      <c r="J17" s="8">
        <f ca="1">'TikTok Ads Raw Data'!E17</f>
        <v>13</v>
      </c>
      <c r="K17" s="9">
        <f t="shared" ca="1" si="5"/>
        <v>151.53846153846155</v>
      </c>
      <c r="L17" s="9">
        <f ca="1">'TikTok Ads Raw Data'!F17</f>
        <v>1970</v>
      </c>
    </row>
    <row r="18" spans="1:12" ht="15.75" customHeight="1" x14ac:dyDescent="0.15">
      <c r="A18" s="7">
        <f ca="1">'TikTok Ads Raw Data'!A18</f>
        <v>45674</v>
      </c>
      <c r="B18" s="8">
        <f t="shared" ca="1" si="0"/>
        <v>1</v>
      </c>
      <c r="C18" s="24">
        <f ca="1">'TikTok Ads Raw Data'!B18</f>
        <v>112741</v>
      </c>
      <c r="D18" s="20">
        <f t="shared" ca="1" si="1"/>
        <v>2.5704934318482184E-2</v>
      </c>
      <c r="E18" s="8">
        <f ca="1">'TikTok Ads Raw Data'!C18</f>
        <v>2898</v>
      </c>
      <c r="F18" s="9">
        <f t="shared" ca="1" si="2"/>
        <v>1.0234644582470669</v>
      </c>
      <c r="G18" s="9">
        <f t="shared" ca="1" si="3"/>
        <v>26.308086676541809</v>
      </c>
      <c r="H18" s="9">
        <f ca="1">'TikTok Ads Raw Data'!D18</f>
        <v>2966</v>
      </c>
      <c r="I18" s="20">
        <f t="shared" ca="1" si="4"/>
        <v>2.4154589371980676E-2</v>
      </c>
      <c r="J18" s="8">
        <f ca="1">'TikTok Ads Raw Data'!E18</f>
        <v>70</v>
      </c>
      <c r="K18" s="9">
        <f t="shared" ca="1" si="5"/>
        <v>146.95714285714286</v>
      </c>
      <c r="L18" s="9">
        <f ca="1">'TikTok Ads Raw Data'!F18</f>
        <v>10287</v>
      </c>
    </row>
    <row r="19" spans="1:12" ht="15.75" customHeight="1" x14ac:dyDescent="0.15">
      <c r="A19" s="7">
        <f ca="1">'TikTok Ads Raw Data'!A19</f>
        <v>45675</v>
      </c>
      <c r="B19" s="8">
        <f t="shared" ca="1" si="0"/>
        <v>1</v>
      </c>
      <c r="C19" s="24">
        <f ca="1">'TikTok Ads Raw Data'!B19</f>
        <v>65598</v>
      </c>
      <c r="D19" s="20">
        <f t="shared" ca="1" si="1"/>
        <v>3.2622945821518951E-2</v>
      </c>
      <c r="E19" s="8">
        <f ca="1">'TikTok Ads Raw Data'!C19</f>
        <v>2140</v>
      </c>
      <c r="F19" s="9">
        <f t="shared" ca="1" si="2"/>
        <v>0.67242990654205603</v>
      </c>
      <c r="G19" s="9">
        <f t="shared" ca="1" si="3"/>
        <v>21.936644409890548</v>
      </c>
      <c r="H19" s="9">
        <f ca="1">'TikTok Ads Raw Data'!D19</f>
        <v>1439</v>
      </c>
      <c r="I19" s="20">
        <f t="shared" ca="1" si="4"/>
        <v>1.3084112149532711E-2</v>
      </c>
      <c r="J19" s="8">
        <f ca="1">'TikTok Ads Raw Data'!E19</f>
        <v>28</v>
      </c>
      <c r="K19" s="9">
        <f t="shared" ca="1" si="5"/>
        <v>134.96428571428572</v>
      </c>
      <c r="L19" s="9">
        <f ca="1">'TikTok Ads Raw Data'!F19</f>
        <v>3779</v>
      </c>
    </row>
    <row r="20" spans="1:12" ht="15.75" customHeight="1" x14ac:dyDescent="0.15">
      <c r="A20" s="7">
        <f ca="1">'TikTok Ads Raw Data'!A20</f>
        <v>45676</v>
      </c>
      <c r="B20" s="8">
        <f t="shared" ca="1" si="0"/>
        <v>1</v>
      </c>
      <c r="C20" s="24">
        <f ca="1">'TikTok Ads Raw Data'!B20</f>
        <v>74983</v>
      </c>
      <c r="D20" s="20">
        <f t="shared" ca="1" si="1"/>
        <v>1.348305615939613E-2</v>
      </c>
      <c r="E20" s="8">
        <f ca="1">'TikTok Ads Raw Data'!C20</f>
        <v>1011</v>
      </c>
      <c r="F20" s="9">
        <f t="shared" ca="1" si="2"/>
        <v>1.0178041543026706</v>
      </c>
      <c r="G20" s="9">
        <f t="shared" ca="1" si="3"/>
        <v>13.723110571729592</v>
      </c>
      <c r="H20" s="9">
        <f ca="1">'TikTok Ads Raw Data'!D20</f>
        <v>1029</v>
      </c>
      <c r="I20" s="20">
        <f t="shared" ca="1" si="4"/>
        <v>2.274975272007913E-2</v>
      </c>
      <c r="J20" s="8">
        <f ca="1">'TikTok Ads Raw Data'!E20</f>
        <v>23</v>
      </c>
      <c r="K20" s="9">
        <f t="shared" ca="1" si="5"/>
        <v>129.21739130434781</v>
      </c>
      <c r="L20" s="9">
        <f ca="1">'TikTok Ads Raw Data'!F20</f>
        <v>2972</v>
      </c>
    </row>
    <row r="21" spans="1:12" ht="15.75" customHeight="1" x14ac:dyDescent="0.15">
      <c r="A21" s="7">
        <f ca="1">'TikTok Ads Raw Data'!A21</f>
        <v>45677</v>
      </c>
      <c r="B21" s="8">
        <f t="shared" ca="1" si="0"/>
        <v>1</v>
      </c>
      <c r="C21" s="24">
        <f ca="1">'TikTok Ads Raw Data'!B21</f>
        <v>89780</v>
      </c>
      <c r="D21" s="20">
        <f t="shared" ca="1" si="1"/>
        <v>1.566050345288483E-2</v>
      </c>
      <c r="E21" s="8">
        <f ca="1">'TikTok Ads Raw Data'!C21</f>
        <v>1406</v>
      </c>
      <c r="F21" s="9">
        <f t="shared" ca="1" si="2"/>
        <v>0.70981507823613088</v>
      </c>
      <c r="G21" s="9">
        <f t="shared" ca="1" si="3"/>
        <v>11.116061483626643</v>
      </c>
      <c r="H21" s="9">
        <f ca="1">'TikTok Ads Raw Data'!D21</f>
        <v>998</v>
      </c>
      <c r="I21" s="20">
        <f t="shared" ca="1" si="4"/>
        <v>1.2802275960170697E-2</v>
      </c>
      <c r="J21" s="8">
        <f ca="1">'TikTok Ads Raw Data'!E21</f>
        <v>18</v>
      </c>
      <c r="K21" s="9">
        <f t="shared" ca="1" si="5"/>
        <v>241.27777777777777</v>
      </c>
      <c r="L21" s="9">
        <f ca="1">'TikTok Ads Raw Data'!F21</f>
        <v>4343</v>
      </c>
    </row>
    <row r="22" spans="1:12" ht="15.75" customHeight="1" x14ac:dyDescent="0.15">
      <c r="A22" s="7">
        <f ca="1">'TikTok Ads Raw Data'!A22</f>
        <v>45678</v>
      </c>
      <c r="B22" s="8">
        <f t="shared" ca="1" si="0"/>
        <v>1</v>
      </c>
      <c r="C22" s="24">
        <f ca="1">'TikTok Ads Raw Data'!B22</f>
        <v>79638</v>
      </c>
      <c r="D22" s="20">
        <f t="shared" ca="1" si="1"/>
        <v>2.2966423064366259E-2</v>
      </c>
      <c r="E22" s="8">
        <f ca="1">'TikTok Ads Raw Data'!C22</f>
        <v>1829</v>
      </c>
      <c r="F22" s="9">
        <f t="shared" ca="1" si="2"/>
        <v>0.99781301257517774</v>
      </c>
      <c r="G22" s="9">
        <f t="shared" ca="1" si="3"/>
        <v>22.916195785931336</v>
      </c>
      <c r="H22" s="9">
        <f ca="1">'TikTok Ads Raw Data'!D22</f>
        <v>1825</v>
      </c>
      <c r="I22" s="20">
        <f t="shared" ca="1" si="4"/>
        <v>1.6402405686167305E-2</v>
      </c>
      <c r="J22" s="8">
        <f ca="1">'TikTok Ads Raw Data'!E22</f>
        <v>30</v>
      </c>
      <c r="K22" s="9">
        <f t="shared" ca="1" si="5"/>
        <v>165.26666666666668</v>
      </c>
      <c r="L22" s="9">
        <f ca="1">'TikTok Ads Raw Data'!F22</f>
        <v>4958</v>
      </c>
    </row>
    <row r="23" spans="1:12" ht="15.75" customHeight="1" x14ac:dyDescent="0.15">
      <c r="A23" s="7">
        <f ca="1">'TikTok Ads Raw Data'!A23</f>
        <v>45679</v>
      </c>
      <c r="B23" s="8">
        <f t="shared" ca="1" si="0"/>
        <v>1</v>
      </c>
      <c r="C23" s="24">
        <f ca="1">'TikTok Ads Raw Data'!B23</f>
        <v>56982</v>
      </c>
      <c r="D23" s="20">
        <f t="shared" ca="1" si="1"/>
        <v>1.0459443332982345E-2</v>
      </c>
      <c r="E23" s="8">
        <f ca="1">'TikTok Ads Raw Data'!C23</f>
        <v>596</v>
      </c>
      <c r="F23" s="9">
        <f t="shared" ca="1" si="2"/>
        <v>1.011744966442953</v>
      </c>
      <c r="G23" s="9">
        <f t="shared" ca="1" si="3"/>
        <v>10.582289143940192</v>
      </c>
      <c r="H23" s="9">
        <f ca="1">'TikTok Ads Raw Data'!D23</f>
        <v>603</v>
      </c>
      <c r="I23" s="20">
        <f t="shared" ca="1" si="4"/>
        <v>1.8456375838926176E-2</v>
      </c>
      <c r="J23" s="8">
        <f ca="1">'TikTok Ads Raw Data'!E23</f>
        <v>11</v>
      </c>
      <c r="K23" s="9">
        <f t="shared" ca="1" si="5"/>
        <v>141.63636363636363</v>
      </c>
      <c r="L23" s="9">
        <f ca="1">'TikTok Ads Raw Data'!F23</f>
        <v>1558</v>
      </c>
    </row>
    <row r="24" spans="1:12" ht="15.75" customHeight="1" x14ac:dyDescent="0.15">
      <c r="A24" s="7">
        <f ca="1">'TikTok Ads Raw Data'!A24</f>
        <v>45680</v>
      </c>
      <c r="B24" s="8">
        <f t="shared" ca="1" si="0"/>
        <v>1</v>
      </c>
      <c r="C24" s="24">
        <f ca="1">'TikTok Ads Raw Data'!B24</f>
        <v>25416</v>
      </c>
      <c r="D24" s="20">
        <f t="shared" ca="1" si="1"/>
        <v>7.711677683349071E-3</v>
      </c>
      <c r="E24" s="8">
        <f ca="1">'TikTok Ads Raw Data'!C24</f>
        <v>196</v>
      </c>
      <c r="F24" s="9">
        <f t="shared" ca="1" si="2"/>
        <v>0.65816326530612246</v>
      </c>
      <c r="G24" s="9">
        <f t="shared" ca="1" si="3"/>
        <v>5.0755429650613788</v>
      </c>
      <c r="H24" s="9">
        <f ca="1">'TikTok Ads Raw Data'!D24</f>
        <v>129</v>
      </c>
      <c r="I24" s="20">
        <f t="shared" ca="1" si="4"/>
        <v>1.5306122448979591E-2</v>
      </c>
      <c r="J24" s="8">
        <f ca="1">'TikTok Ads Raw Data'!E24</f>
        <v>3</v>
      </c>
      <c r="K24" s="9">
        <f t="shared" ca="1" si="5"/>
        <v>231</v>
      </c>
      <c r="L24" s="9">
        <f ca="1">'TikTok Ads Raw Data'!F24</f>
        <v>693</v>
      </c>
    </row>
    <row r="25" spans="1:12" ht="15.75" customHeight="1" x14ac:dyDescent="0.15">
      <c r="A25" s="7">
        <f ca="1">'TikTok Ads Raw Data'!A25</f>
        <v>45681</v>
      </c>
      <c r="B25" s="8">
        <f t="shared" ca="1" si="0"/>
        <v>1</v>
      </c>
      <c r="C25" s="24">
        <f ca="1">'TikTok Ads Raw Data'!B25</f>
        <v>83714</v>
      </c>
      <c r="D25" s="20">
        <f t="shared" ca="1" si="1"/>
        <v>1.538571803999331E-2</v>
      </c>
      <c r="E25" s="8">
        <f ca="1">'TikTok Ads Raw Data'!C25</f>
        <v>1288</v>
      </c>
      <c r="F25" s="9">
        <f t="shared" ca="1" si="2"/>
        <v>1.1638198757763976</v>
      </c>
      <c r="G25" s="9">
        <f t="shared" ca="1" si="3"/>
        <v>17.906204458035692</v>
      </c>
      <c r="H25" s="9">
        <f ca="1">'TikTok Ads Raw Data'!D25</f>
        <v>1499</v>
      </c>
      <c r="I25" s="20">
        <f t="shared" ca="1" si="4"/>
        <v>2.251552795031056E-2</v>
      </c>
      <c r="J25" s="8">
        <f ca="1">'TikTok Ads Raw Data'!E25</f>
        <v>29</v>
      </c>
      <c r="K25" s="9">
        <f t="shared" ca="1" si="5"/>
        <v>188.48275862068965</v>
      </c>
      <c r="L25" s="9">
        <f ca="1">'TikTok Ads Raw Data'!F25</f>
        <v>5466</v>
      </c>
    </row>
    <row r="26" spans="1:12" ht="15.75" customHeight="1" x14ac:dyDescent="0.15">
      <c r="A26" s="7">
        <f ca="1">'TikTok Ads Raw Data'!A26</f>
        <v>45682</v>
      </c>
      <c r="B26" s="8">
        <f t="shared" ca="1" si="0"/>
        <v>1</v>
      </c>
      <c r="C26" s="24">
        <f ca="1">'TikTok Ads Raw Data'!B26</f>
        <v>61918</v>
      </c>
      <c r="D26" s="20">
        <f t="shared" ca="1" si="1"/>
        <v>2.4435543783713945E-2</v>
      </c>
      <c r="E26" s="8">
        <f ca="1">'TikTok Ads Raw Data'!C26</f>
        <v>1513</v>
      </c>
      <c r="F26" s="9">
        <f t="shared" ca="1" si="2"/>
        <v>1.4071381361533377</v>
      </c>
      <c r="G26" s="9">
        <f t="shared" ca="1" si="3"/>
        <v>34.384185535708518</v>
      </c>
      <c r="H26" s="9">
        <f ca="1">'TikTok Ads Raw Data'!D26</f>
        <v>2129</v>
      </c>
      <c r="I26" s="20">
        <f t="shared" ca="1" si="4"/>
        <v>2.3132848645076007E-2</v>
      </c>
      <c r="J26" s="8">
        <f ca="1">'TikTok Ads Raw Data'!E26</f>
        <v>35</v>
      </c>
      <c r="K26" s="9">
        <f t="shared" ca="1" si="5"/>
        <v>183.91428571428571</v>
      </c>
      <c r="L26" s="9">
        <f ca="1">'TikTok Ads Raw Data'!F26</f>
        <v>6437</v>
      </c>
    </row>
    <row r="27" spans="1:12" ht="15.75" customHeight="1" x14ac:dyDescent="0.15">
      <c r="A27" s="7">
        <f ca="1">'TikTok Ads Raw Data'!A27</f>
        <v>45683</v>
      </c>
      <c r="B27" s="8">
        <f t="shared" ca="1" si="0"/>
        <v>1</v>
      </c>
      <c r="C27" s="24">
        <f ca="1">'TikTok Ads Raw Data'!B27</f>
        <v>39505</v>
      </c>
      <c r="D27" s="20">
        <f t="shared" ca="1" si="1"/>
        <v>1.0099987343374256E-2</v>
      </c>
      <c r="E27" s="8">
        <f ca="1">'TikTok Ads Raw Data'!C27</f>
        <v>399</v>
      </c>
      <c r="F27" s="9">
        <f t="shared" ca="1" si="2"/>
        <v>1.1378446115288221</v>
      </c>
      <c r="G27" s="9">
        <f t="shared" ca="1" si="3"/>
        <v>11.4922161751677</v>
      </c>
      <c r="H27" s="9">
        <f ca="1">'TikTok Ads Raw Data'!D27</f>
        <v>454</v>
      </c>
      <c r="I27" s="20">
        <f t="shared" ca="1" si="4"/>
        <v>1.7543859649122806E-2</v>
      </c>
      <c r="J27" s="8">
        <f ca="1">'TikTok Ads Raw Data'!E27</f>
        <v>7</v>
      </c>
      <c r="K27" s="9">
        <f t="shared" ca="1" si="5"/>
        <v>159.14285714285714</v>
      </c>
      <c r="L27" s="9">
        <f ca="1">'TikTok Ads Raw Data'!F27</f>
        <v>1114</v>
      </c>
    </row>
    <row r="28" spans="1:12" ht="15.75" customHeight="1" x14ac:dyDescent="0.15">
      <c r="A28" s="7">
        <f ca="1">'TikTok Ads Raw Data'!A28</f>
        <v>45684</v>
      </c>
      <c r="B28" s="8">
        <f t="shared" ca="1" si="0"/>
        <v>1</v>
      </c>
      <c r="C28" s="24">
        <f ca="1">'TikTok Ads Raw Data'!B28</f>
        <v>35645</v>
      </c>
      <c r="D28" s="20">
        <f t="shared" ca="1" si="1"/>
        <v>1.2428110534436808E-2</v>
      </c>
      <c r="E28" s="8">
        <f ca="1">'TikTok Ads Raw Data'!C28</f>
        <v>443</v>
      </c>
      <c r="F28" s="9">
        <f t="shared" ca="1" si="2"/>
        <v>1.3386004514672687</v>
      </c>
      <c r="G28" s="9">
        <f t="shared" ca="1" si="3"/>
        <v>16.636274372282227</v>
      </c>
      <c r="H28" s="9">
        <f ca="1">'TikTok Ads Raw Data'!D28</f>
        <v>593</v>
      </c>
      <c r="I28" s="20">
        <f t="shared" ca="1" si="4"/>
        <v>1.8058690744920992E-2</v>
      </c>
      <c r="J28" s="8">
        <f ca="1">'TikTok Ads Raw Data'!E28</f>
        <v>8</v>
      </c>
      <c r="K28" s="9">
        <f t="shared" ca="1" si="5"/>
        <v>218.75</v>
      </c>
      <c r="L28" s="9">
        <f ca="1">'TikTok Ads Raw Data'!F28</f>
        <v>1750</v>
      </c>
    </row>
    <row r="29" spans="1:12" ht="15.75" customHeight="1" x14ac:dyDescent="0.15">
      <c r="A29" s="7">
        <f ca="1">'TikTok Ads Raw Data'!A29</f>
        <v>45685</v>
      </c>
      <c r="B29" s="8">
        <f t="shared" ca="1" si="0"/>
        <v>1</v>
      </c>
      <c r="C29" s="24">
        <f ca="1">'TikTok Ads Raw Data'!B29</f>
        <v>77867</v>
      </c>
      <c r="D29" s="20">
        <f t="shared" ca="1" si="1"/>
        <v>1.2598404972581453E-2</v>
      </c>
      <c r="E29" s="8">
        <f ca="1">'TikTok Ads Raw Data'!C29</f>
        <v>981</v>
      </c>
      <c r="F29" s="9">
        <f t="shared" ca="1" si="2"/>
        <v>1.0754332313965342</v>
      </c>
      <c r="G29" s="9">
        <f t="shared" ca="1" si="3"/>
        <v>13.548743370105436</v>
      </c>
      <c r="H29" s="9">
        <f ca="1">'TikTok Ads Raw Data'!D29</f>
        <v>1055</v>
      </c>
      <c r="I29" s="20">
        <f t="shared" ca="1" si="4"/>
        <v>2.3445463812436288E-2</v>
      </c>
      <c r="J29" s="8">
        <f ca="1">'TikTok Ads Raw Data'!E29</f>
        <v>23</v>
      </c>
      <c r="K29" s="9">
        <f t="shared" ca="1" si="5"/>
        <v>185</v>
      </c>
      <c r="L29" s="9">
        <f ca="1">'TikTok Ads Raw Data'!F29</f>
        <v>4255</v>
      </c>
    </row>
    <row r="30" spans="1:12" ht="15.75" customHeight="1" x14ac:dyDescent="0.15">
      <c r="A30" s="7">
        <f ca="1">'TikTok Ads Raw Data'!A30</f>
        <v>45686</v>
      </c>
      <c r="B30" s="8">
        <f t="shared" ca="1" si="0"/>
        <v>1</v>
      </c>
      <c r="C30" s="24">
        <f ca="1">'TikTok Ads Raw Data'!B30</f>
        <v>40913</v>
      </c>
      <c r="D30" s="20">
        <f t="shared" ca="1" si="1"/>
        <v>2.2706719135727031E-2</v>
      </c>
      <c r="E30" s="8">
        <f ca="1">'TikTok Ads Raw Data'!C30</f>
        <v>929</v>
      </c>
      <c r="F30" s="9">
        <f t="shared" ca="1" si="2"/>
        <v>0.7201291711517761</v>
      </c>
      <c r="G30" s="9">
        <f t="shared" ca="1" si="3"/>
        <v>16.351770830787281</v>
      </c>
      <c r="H30" s="9">
        <f ca="1">'TikTok Ads Raw Data'!D30</f>
        <v>669</v>
      </c>
      <c r="I30" s="20">
        <f t="shared" ca="1" si="4"/>
        <v>1.829924650161464E-2</v>
      </c>
      <c r="J30" s="8">
        <f ca="1">'TikTok Ads Raw Data'!E30</f>
        <v>17</v>
      </c>
      <c r="K30" s="9">
        <f t="shared" ca="1" si="5"/>
        <v>199.94117647058823</v>
      </c>
      <c r="L30" s="9">
        <f ca="1">'TikTok Ads Raw Data'!F30</f>
        <v>3399</v>
      </c>
    </row>
    <row r="31" spans="1:12" ht="15.75" customHeight="1" x14ac:dyDescent="0.15">
      <c r="A31" s="7">
        <f ca="1">'TikTok Ads Raw Data'!A31</f>
        <v>45687</v>
      </c>
      <c r="B31" s="8">
        <f t="shared" ca="1" si="0"/>
        <v>1</v>
      </c>
      <c r="C31" s="24">
        <f ca="1">'TikTok Ads Raw Data'!B31</f>
        <v>64428</v>
      </c>
      <c r="D31" s="20">
        <f t="shared" ca="1" si="1"/>
        <v>3.1430433972806857E-2</v>
      </c>
      <c r="E31" s="8">
        <f ca="1">'TikTok Ads Raw Data'!C31</f>
        <v>2025</v>
      </c>
      <c r="F31" s="9">
        <f t="shared" ca="1" si="2"/>
        <v>0.9723456790123457</v>
      </c>
      <c r="G31" s="9">
        <f t="shared" ca="1" si="3"/>
        <v>30.561246662941578</v>
      </c>
      <c r="H31" s="9">
        <f ca="1">'TikTok Ads Raw Data'!D31</f>
        <v>1969</v>
      </c>
      <c r="I31" s="20">
        <f t="shared" ca="1" si="4"/>
        <v>1.4814814814814815E-2</v>
      </c>
      <c r="J31" s="8">
        <f ca="1">'TikTok Ads Raw Data'!E31</f>
        <v>30</v>
      </c>
      <c r="K31" s="9">
        <f t="shared" ca="1" si="5"/>
        <v>148.06666666666666</v>
      </c>
      <c r="L31" s="9">
        <f ca="1">'TikTok Ads Raw Data'!F31</f>
        <v>4442</v>
      </c>
    </row>
    <row r="32" spans="1:12" ht="15.75" customHeight="1" x14ac:dyDescent="0.15">
      <c r="A32" s="7">
        <f ca="1">'TikTok Ads Raw Data'!A32</f>
        <v>45688</v>
      </c>
      <c r="B32" s="8">
        <f t="shared" ca="1" si="0"/>
        <v>1</v>
      </c>
      <c r="C32" s="24">
        <f ca="1">'TikTok Ads Raw Data'!B32</f>
        <v>93925</v>
      </c>
      <c r="D32" s="20">
        <f t="shared" ca="1" si="1"/>
        <v>2.0569603406973648E-2</v>
      </c>
      <c r="E32" s="8">
        <f ca="1">'TikTok Ads Raw Data'!C32</f>
        <v>1932</v>
      </c>
      <c r="F32" s="9">
        <f t="shared" ca="1" si="2"/>
        <v>1.1206004140786749</v>
      </c>
      <c r="G32" s="9">
        <f t="shared" ca="1" si="3"/>
        <v>23.050306095288796</v>
      </c>
      <c r="H32" s="9">
        <f ca="1">'TikTok Ads Raw Data'!D32</f>
        <v>2165</v>
      </c>
      <c r="I32" s="20">
        <f t="shared" ca="1" si="4"/>
        <v>1.8633540372670808E-2</v>
      </c>
      <c r="J32" s="8">
        <f ca="1">'TikTok Ads Raw Data'!E32</f>
        <v>36</v>
      </c>
      <c r="K32" s="9">
        <f t="shared" ca="1" si="5"/>
        <v>168.30555555555554</v>
      </c>
      <c r="L32" s="9">
        <f ca="1">'TikTok Ads Raw Data'!F32</f>
        <v>6059</v>
      </c>
    </row>
    <row r="33" spans="1:12" ht="15.75" customHeight="1" x14ac:dyDescent="0.15">
      <c r="A33" s="7">
        <f ca="1">'TikTok Ads Raw Data'!A33</f>
        <v>45689</v>
      </c>
      <c r="B33" s="8">
        <f t="shared" ca="1" si="0"/>
        <v>2</v>
      </c>
      <c r="C33" s="24">
        <f ca="1">'TikTok Ads Raw Data'!B33</f>
        <v>115794</v>
      </c>
      <c r="D33" s="20">
        <f t="shared" ca="1" si="1"/>
        <v>2.8110264780558579E-2</v>
      </c>
      <c r="E33" s="8">
        <f ca="1">'TikTok Ads Raw Data'!C33</f>
        <v>3255</v>
      </c>
      <c r="F33" s="9">
        <f t="shared" ca="1" si="2"/>
        <v>0.7938556067588326</v>
      </c>
      <c r="G33" s="9">
        <f t="shared" ca="1" si="3"/>
        <v>22.315491303521771</v>
      </c>
      <c r="H33" s="9">
        <f ca="1">'TikTok Ads Raw Data'!D33</f>
        <v>2584</v>
      </c>
      <c r="I33" s="20">
        <f t="shared" ca="1" si="4"/>
        <v>1.8740399385560675E-2</v>
      </c>
      <c r="J33" s="8">
        <f ca="1">'TikTok Ads Raw Data'!E33</f>
        <v>61</v>
      </c>
      <c r="K33" s="9">
        <f t="shared" ca="1" si="5"/>
        <v>153.42622950819671</v>
      </c>
      <c r="L33" s="9">
        <f ca="1">'TikTok Ads Raw Data'!F33</f>
        <v>9359</v>
      </c>
    </row>
    <row r="34" spans="1:12" ht="15.75" customHeight="1" x14ac:dyDescent="0.15">
      <c r="A34" s="7">
        <f ca="1">'TikTok Ads Raw Data'!A34</f>
        <v>45690</v>
      </c>
      <c r="B34" s="8">
        <f t="shared" ca="1" si="0"/>
        <v>2</v>
      </c>
      <c r="C34" s="24">
        <f ca="1">'TikTok Ads Raw Data'!B34</f>
        <v>39694</v>
      </c>
      <c r="D34" s="20">
        <f t="shared" ca="1" si="1"/>
        <v>1.2949060311382073E-2</v>
      </c>
      <c r="E34" s="8">
        <f ca="1">'TikTok Ads Raw Data'!C34</f>
        <v>514</v>
      </c>
      <c r="F34" s="9">
        <f t="shared" ca="1" si="2"/>
        <v>1.2879377431906616</v>
      </c>
      <c r="G34" s="9">
        <f t="shared" ca="1" si="3"/>
        <v>16.677583513881189</v>
      </c>
      <c r="H34" s="9">
        <f ca="1">'TikTok Ads Raw Data'!D34</f>
        <v>662</v>
      </c>
      <c r="I34" s="20">
        <f t="shared" ca="1" si="4"/>
        <v>1.7509727626459144E-2</v>
      </c>
      <c r="J34" s="8">
        <f ca="1">'TikTok Ads Raw Data'!E34</f>
        <v>9</v>
      </c>
      <c r="K34" s="9">
        <f t="shared" ca="1" si="5"/>
        <v>231.88888888888889</v>
      </c>
      <c r="L34" s="9">
        <f ca="1">'TikTok Ads Raw Data'!F34</f>
        <v>2087</v>
      </c>
    </row>
    <row r="35" spans="1:12" ht="15.75" customHeight="1" x14ac:dyDescent="0.15">
      <c r="A35" s="7">
        <f ca="1">'TikTok Ads Raw Data'!A35</f>
        <v>45691</v>
      </c>
      <c r="B35" s="8">
        <f t="shared" ca="1" si="0"/>
        <v>2</v>
      </c>
      <c r="C35" s="24">
        <f ca="1">'TikTok Ads Raw Data'!B35</f>
        <v>37397</v>
      </c>
      <c r="D35" s="20">
        <f t="shared" ca="1" si="1"/>
        <v>2.1579271064523894E-2</v>
      </c>
      <c r="E35" s="8">
        <f ca="1">'TikTok Ads Raw Data'!C35</f>
        <v>807</v>
      </c>
      <c r="F35" s="9">
        <f t="shared" ca="1" si="2"/>
        <v>0.7794299876084263</v>
      </c>
      <c r="G35" s="9">
        <f t="shared" ca="1" si="3"/>
        <v>16.81953097842073</v>
      </c>
      <c r="H35" s="9">
        <f ca="1">'TikTok Ads Raw Data'!D35</f>
        <v>629</v>
      </c>
      <c r="I35" s="20">
        <f t="shared" ca="1" si="4"/>
        <v>2.1065675340768277E-2</v>
      </c>
      <c r="J35" s="8">
        <f ca="1">'TikTok Ads Raw Data'!E35</f>
        <v>17</v>
      </c>
      <c r="K35" s="9">
        <f t="shared" ca="1" si="5"/>
        <v>163.52941176470588</v>
      </c>
      <c r="L35" s="9">
        <f ca="1">'TikTok Ads Raw Data'!F35</f>
        <v>2780</v>
      </c>
    </row>
    <row r="36" spans="1:12" ht="15.75" customHeight="1" x14ac:dyDescent="0.15">
      <c r="A36" s="7">
        <f ca="1">'TikTok Ads Raw Data'!A36</f>
        <v>45692</v>
      </c>
      <c r="B36" s="8">
        <f t="shared" ca="1" si="0"/>
        <v>2</v>
      </c>
      <c r="C36" s="24">
        <f ca="1">'TikTok Ads Raw Data'!B36</f>
        <v>23589</v>
      </c>
      <c r="D36" s="20">
        <f t="shared" ca="1" si="1"/>
        <v>2.0348467506040951E-2</v>
      </c>
      <c r="E36" s="8">
        <f ca="1">'TikTok Ads Raw Data'!C36</f>
        <v>480</v>
      </c>
      <c r="F36" s="9">
        <f t="shared" ca="1" si="2"/>
        <v>0.8354166666666667</v>
      </c>
      <c r="G36" s="9">
        <f t="shared" ca="1" si="3"/>
        <v>16.999448895671712</v>
      </c>
      <c r="H36" s="9">
        <f ca="1">'TikTok Ads Raw Data'!D36</f>
        <v>401</v>
      </c>
      <c r="I36" s="20">
        <f t="shared" ca="1" si="4"/>
        <v>1.6666666666666666E-2</v>
      </c>
      <c r="J36" s="8">
        <f ca="1">'TikTok Ads Raw Data'!E36</f>
        <v>8</v>
      </c>
      <c r="K36" s="9">
        <f t="shared" ca="1" si="5"/>
        <v>142.25</v>
      </c>
      <c r="L36" s="9">
        <f ca="1">'TikTok Ads Raw Data'!F36</f>
        <v>1138</v>
      </c>
    </row>
    <row r="37" spans="1:12" ht="15.75" customHeight="1" x14ac:dyDescent="0.15">
      <c r="A37" s="7">
        <f ca="1">'TikTok Ads Raw Data'!A37</f>
        <v>45693</v>
      </c>
      <c r="B37" s="8">
        <f t="shared" ca="1" si="0"/>
        <v>2</v>
      </c>
      <c r="C37" s="24">
        <f ca="1">'TikTok Ads Raw Data'!B37</f>
        <v>92100</v>
      </c>
      <c r="D37" s="20">
        <f t="shared" ca="1" si="1"/>
        <v>2.6731813246471225E-2</v>
      </c>
      <c r="E37" s="8">
        <f ca="1">'TikTok Ads Raw Data'!C37</f>
        <v>2462</v>
      </c>
      <c r="F37" s="9">
        <f t="shared" ca="1" si="2"/>
        <v>1.1815597075548334</v>
      </c>
      <c r="G37" s="9">
        <f t="shared" ca="1" si="3"/>
        <v>31.585233441910969</v>
      </c>
      <c r="H37" s="9">
        <f ca="1">'TikTok Ads Raw Data'!D37</f>
        <v>2909</v>
      </c>
      <c r="I37" s="20">
        <f t="shared" ca="1" si="4"/>
        <v>1.7465475223395612E-2</v>
      </c>
      <c r="J37" s="8">
        <f ca="1">'TikTok Ads Raw Data'!E37</f>
        <v>43</v>
      </c>
      <c r="K37" s="9">
        <f t="shared" ca="1" si="5"/>
        <v>194.32558139534885</v>
      </c>
      <c r="L37" s="9">
        <f ca="1">'TikTok Ads Raw Data'!F37</f>
        <v>8356</v>
      </c>
    </row>
    <row r="38" spans="1:12" ht="15.75" customHeight="1" x14ac:dyDescent="0.15">
      <c r="A38" s="7">
        <f ca="1">'TikTok Ads Raw Data'!A38</f>
        <v>45694</v>
      </c>
      <c r="B38" s="8">
        <f t="shared" ca="1" si="0"/>
        <v>2</v>
      </c>
      <c r="C38" s="24">
        <f ca="1">'TikTok Ads Raw Data'!B38</f>
        <v>93317</v>
      </c>
      <c r="D38" s="20">
        <f t="shared" ca="1" si="1"/>
        <v>1.4006022482505867E-2</v>
      </c>
      <c r="E38" s="8">
        <f ca="1">'TikTok Ads Raw Data'!C38</f>
        <v>1307</v>
      </c>
      <c r="F38" s="9">
        <f t="shared" ca="1" si="2"/>
        <v>0.78959449120122416</v>
      </c>
      <c r="G38" s="9">
        <f t="shared" ca="1" si="3"/>
        <v>11.059078195827128</v>
      </c>
      <c r="H38" s="9">
        <f ca="1">'TikTok Ads Raw Data'!D38</f>
        <v>1032</v>
      </c>
      <c r="I38" s="20">
        <f t="shared" ca="1" si="4"/>
        <v>1.7597551644988524E-2</v>
      </c>
      <c r="J38" s="8">
        <f ca="1">'TikTok Ads Raw Data'!E38</f>
        <v>23</v>
      </c>
      <c r="K38" s="9">
        <f t="shared" ca="1" si="5"/>
        <v>134.69565217391303</v>
      </c>
      <c r="L38" s="9">
        <f ca="1">'TikTok Ads Raw Data'!F38</f>
        <v>3098</v>
      </c>
    </row>
    <row r="39" spans="1:12" ht="15.75" customHeight="1" x14ac:dyDescent="0.15">
      <c r="A39" s="7">
        <f ca="1">'TikTok Ads Raw Data'!A39</f>
        <v>45695</v>
      </c>
      <c r="B39" s="8">
        <f t="shared" ca="1" si="0"/>
        <v>2</v>
      </c>
      <c r="C39" s="24">
        <f ca="1">'TikTok Ads Raw Data'!B39</f>
        <v>105397</v>
      </c>
      <c r="D39" s="20">
        <f t="shared" ca="1" si="1"/>
        <v>2.8122242568574058E-2</v>
      </c>
      <c r="E39" s="8">
        <f ca="1">'TikTok Ads Raw Data'!C39</f>
        <v>2964</v>
      </c>
      <c r="F39" s="9">
        <f t="shared" ca="1" si="2"/>
        <v>0.93252361673414308</v>
      </c>
      <c r="G39" s="9">
        <f t="shared" ca="1" si="3"/>
        <v>26.224655350721555</v>
      </c>
      <c r="H39" s="9">
        <f ca="1">'TikTok Ads Raw Data'!D39</f>
        <v>2764</v>
      </c>
      <c r="I39" s="20">
        <f t="shared" ca="1" si="4"/>
        <v>1.6869095816464237E-2</v>
      </c>
      <c r="J39" s="8">
        <f ca="1">'TikTok Ads Raw Data'!E39</f>
        <v>50</v>
      </c>
      <c r="K39" s="9">
        <f t="shared" ca="1" si="5"/>
        <v>154.13999999999999</v>
      </c>
      <c r="L39" s="9">
        <f ca="1">'TikTok Ads Raw Data'!F39</f>
        <v>7707</v>
      </c>
    </row>
    <row r="40" spans="1:12" ht="15.75" customHeight="1" x14ac:dyDescent="0.15">
      <c r="A40" s="7">
        <f ca="1">'TikTok Ads Raw Data'!A40</f>
        <v>45696</v>
      </c>
      <c r="B40" s="8">
        <f t="shared" ca="1" si="0"/>
        <v>2</v>
      </c>
      <c r="C40" s="24">
        <f ca="1">'TikTok Ads Raw Data'!B40</f>
        <v>83825</v>
      </c>
      <c r="D40" s="20">
        <f t="shared" ca="1" si="1"/>
        <v>1.3969579481061735E-2</v>
      </c>
      <c r="E40" s="8">
        <f ca="1">'TikTok Ads Raw Data'!C40</f>
        <v>1171</v>
      </c>
      <c r="F40" s="9">
        <f t="shared" ca="1" si="2"/>
        <v>0.7011101622544833</v>
      </c>
      <c r="G40" s="9">
        <f t="shared" ca="1" si="3"/>
        <v>9.7942141365940945</v>
      </c>
      <c r="H40" s="9">
        <f ca="1">'TikTok Ads Raw Data'!D40</f>
        <v>821</v>
      </c>
      <c r="I40" s="20">
        <f t="shared" ca="1" si="4"/>
        <v>1.7933390264730998E-2</v>
      </c>
      <c r="J40" s="8">
        <f ca="1">'TikTok Ads Raw Data'!E40</f>
        <v>21</v>
      </c>
      <c r="K40" s="9">
        <f t="shared" ca="1" si="5"/>
        <v>187.52380952380952</v>
      </c>
      <c r="L40" s="9">
        <f ca="1">'TikTok Ads Raw Data'!F40</f>
        <v>3938</v>
      </c>
    </row>
    <row r="41" spans="1:12" ht="15.75" customHeight="1" x14ac:dyDescent="0.15">
      <c r="A41" s="7">
        <f ca="1">'TikTok Ads Raw Data'!A41</f>
        <v>45697</v>
      </c>
      <c r="B41" s="8">
        <f t="shared" ca="1" si="0"/>
        <v>2</v>
      </c>
      <c r="C41" s="24">
        <f ca="1">'TikTok Ads Raw Data'!B41</f>
        <v>75195</v>
      </c>
      <c r="D41" s="20">
        <f t="shared" ca="1" si="1"/>
        <v>2.4802180996076867E-2</v>
      </c>
      <c r="E41" s="8">
        <f ca="1">'TikTok Ads Raw Data'!C41</f>
        <v>1865</v>
      </c>
      <c r="F41" s="9">
        <f t="shared" ca="1" si="2"/>
        <v>1.1919571045576407</v>
      </c>
      <c r="G41" s="9">
        <f t="shared" ca="1" si="3"/>
        <v>29.563135846798328</v>
      </c>
      <c r="H41" s="9">
        <f ca="1">'TikTok Ads Raw Data'!D41</f>
        <v>2223</v>
      </c>
      <c r="I41" s="20">
        <f t="shared" ca="1" si="4"/>
        <v>1.4477211796246649E-2</v>
      </c>
      <c r="J41" s="8">
        <f ca="1">'TikTok Ads Raw Data'!E41</f>
        <v>27</v>
      </c>
      <c r="K41" s="9">
        <f t="shared" ca="1" si="5"/>
        <v>113.81481481481481</v>
      </c>
      <c r="L41" s="9">
        <f ca="1">'TikTok Ads Raw Data'!F41</f>
        <v>3073</v>
      </c>
    </row>
    <row r="42" spans="1:12" ht="15.75" customHeight="1" x14ac:dyDescent="0.15">
      <c r="A42" s="7">
        <f ca="1">'TikTok Ads Raw Data'!A42</f>
        <v>45698</v>
      </c>
      <c r="B42" s="8">
        <f t="shared" ca="1" si="0"/>
        <v>2</v>
      </c>
      <c r="C42" s="24">
        <f ca="1">'TikTok Ads Raw Data'!B42</f>
        <v>50744</v>
      </c>
      <c r="D42" s="20">
        <f t="shared" ca="1" si="1"/>
        <v>2.4948762415260919E-2</v>
      </c>
      <c r="E42" s="8">
        <f ca="1">'TikTok Ads Raw Data'!C42</f>
        <v>1266</v>
      </c>
      <c r="F42" s="9">
        <f t="shared" ca="1" si="2"/>
        <v>0.83333333333333337</v>
      </c>
      <c r="G42" s="9">
        <f t="shared" ca="1" si="3"/>
        <v>20.790635346050763</v>
      </c>
      <c r="H42" s="9">
        <f ca="1">'TikTok Ads Raw Data'!D42</f>
        <v>1055</v>
      </c>
      <c r="I42" s="20">
        <f t="shared" ca="1" si="4"/>
        <v>2.5276461295418641E-2</v>
      </c>
      <c r="J42" s="8">
        <f ca="1">'TikTok Ads Raw Data'!E42</f>
        <v>32</v>
      </c>
      <c r="K42" s="9">
        <f t="shared" ca="1" si="5"/>
        <v>232.125</v>
      </c>
      <c r="L42" s="9">
        <f ca="1">'TikTok Ads Raw Data'!F42</f>
        <v>7428</v>
      </c>
    </row>
    <row r="43" spans="1:12" ht="15.75" customHeight="1" x14ac:dyDescent="0.15">
      <c r="A43" s="7">
        <f ca="1">'TikTok Ads Raw Data'!A43</f>
        <v>45699</v>
      </c>
      <c r="B43" s="8">
        <f t="shared" ca="1" si="0"/>
        <v>2</v>
      </c>
      <c r="C43" s="24">
        <f ca="1">'TikTok Ads Raw Data'!B43</f>
        <v>86190</v>
      </c>
      <c r="D43" s="20">
        <f t="shared" ca="1" si="1"/>
        <v>2.7799048613528252E-2</v>
      </c>
      <c r="E43" s="8">
        <f ca="1">'TikTok Ads Raw Data'!C43</f>
        <v>2396</v>
      </c>
      <c r="F43" s="9">
        <f t="shared" ca="1" si="2"/>
        <v>0.669449081803005</v>
      </c>
      <c r="G43" s="9">
        <f t="shared" ca="1" si="3"/>
        <v>18.610047569323587</v>
      </c>
      <c r="H43" s="9">
        <f ca="1">'TikTok Ads Raw Data'!D43</f>
        <v>1604</v>
      </c>
      <c r="I43" s="20">
        <f t="shared" ca="1" si="4"/>
        <v>1.5025041736227046E-2</v>
      </c>
      <c r="J43" s="8">
        <f ca="1">'TikTok Ads Raw Data'!E43</f>
        <v>36</v>
      </c>
      <c r="K43" s="9">
        <f t="shared" ca="1" si="5"/>
        <v>191.5</v>
      </c>
      <c r="L43" s="9">
        <f ca="1">'TikTok Ads Raw Data'!F43</f>
        <v>6894</v>
      </c>
    </row>
    <row r="44" spans="1:12" ht="15.75" customHeight="1" x14ac:dyDescent="0.15">
      <c r="A44" s="7">
        <f ca="1">'TikTok Ads Raw Data'!A44</f>
        <v>45700</v>
      </c>
      <c r="B44" s="8">
        <f t="shared" ca="1" si="0"/>
        <v>2</v>
      </c>
      <c r="C44" s="24">
        <f ca="1">'TikTok Ads Raw Data'!B44</f>
        <v>102631</v>
      </c>
      <c r="D44" s="20">
        <f t="shared" ca="1" si="1"/>
        <v>1.9711393243756758E-2</v>
      </c>
      <c r="E44" s="8">
        <f ca="1">'TikTok Ads Raw Data'!C44</f>
        <v>2023</v>
      </c>
      <c r="F44" s="9">
        <f t="shared" ca="1" si="2"/>
        <v>0.77212061295106282</v>
      </c>
      <c r="G44" s="9">
        <f t="shared" ca="1" si="3"/>
        <v>15.219573033488906</v>
      </c>
      <c r="H44" s="9">
        <f ca="1">'TikTok Ads Raw Data'!D44</f>
        <v>1562</v>
      </c>
      <c r="I44" s="20">
        <f t="shared" ca="1" si="4"/>
        <v>1.5818091942659415E-2</v>
      </c>
      <c r="J44" s="8">
        <f ca="1">'TikTok Ads Raw Data'!E44</f>
        <v>32</v>
      </c>
      <c r="K44" s="9">
        <f t="shared" ca="1" si="5"/>
        <v>175.875</v>
      </c>
      <c r="L44" s="9">
        <f ca="1">'TikTok Ads Raw Data'!F44</f>
        <v>5628</v>
      </c>
    </row>
    <row r="45" spans="1:12" ht="13" x14ac:dyDescent="0.15">
      <c r="A45" s="7">
        <f ca="1">'TikTok Ads Raw Data'!A45</f>
        <v>45701</v>
      </c>
      <c r="B45" s="8">
        <f t="shared" ca="1" si="0"/>
        <v>2</v>
      </c>
      <c r="C45" s="24">
        <f ca="1">'TikTok Ads Raw Data'!B45</f>
        <v>38591</v>
      </c>
      <c r="D45" s="20">
        <f t="shared" ca="1" si="1"/>
        <v>1.5988183773418672E-2</v>
      </c>
      <c r="E45" s="8">
        <f ca="1">'TikTok Ads Raw Data'!C45</f>
        <v>617</v>
      </c>
      <c r="F45" s="9">
        <f t="shared" ca="1" si="2"/>
        <v>1.0891410048622365</v>
      </c>
      <c r="G45" s="9">
        <f t="shared" ca="1" si="3"/>
        <v>17.413386540903318</v>
      </c>
      <c r="H45" s="9">
        <f ca="1">'TikTok Ads Raw Data'!D45</f>
        <v>672</v>
      </c>
      <c r="I45" s="20">
        <f t="shared" ca="1" si="4"/>
        <v>2.5931928687196109E-2</v>
      </c>
      <c r="J45" s="8">
        <f ca="1">'TikTok Ads Raw Data'!E45</f>
        <v>16</v>
      </c>
      <c r="K45" s="9">
        <f t="shared" ca="1" si="5"/>
        <v>148.625</v>
      </c>
      <c r="L45" s="9">
        <f ca="1">'TikTok Ads Raw Data'!F45</f>
        <v>2378</v>
      </c>
    </row>
    <row r="46" spans="1:12" ht="13" x14ac:dyDescent="0.15">
      <c r="A46" s="7">
        <f ca="1">'TikTok Ads Raw Data'!A46</f>
        <v>45702</v>
      </c>
      <c r="B46" s="8">
        <f t="shared" ca="1" si="0"/>
        <v>2</v>
      </c>
      <c r="C46" s="24">
        <f ca="1">'TikTok Ads Raw Data'!B46</f>
        <v>105603</v>
      </c>
      <c r="D46" s="20">
        <f t="shared" ca="1" si="1"/>
        <v>2.0700169502760338E-2</v>
      </c>
      <c r="E46" s="8">
        <f ca="1">'TikTok Ads Raw Data'!C46</f>
        <v>2186</v>
      </c>
      <c r="F46" s="9">
        <f t="shared" ca="1" si="2"/>
        <v>0.95837145471180241</v>
      </c>
      <c r="G46" s="9">
        <f t="shared" ca="1" si="3"/>
        <v>19.838451559141312</v>
      </c>
      <c r="H46" s="9">
        <f ca="1">'TikTok Ads Raw Data'!D46</f>
        <v>2095</v>
      </c>
      <c r="I46" s="20">
        <f t="shared" ca="1" si="4"/>
        <v>2.2872827081427266E-2</v>
      </c>
      <c r="J46" s="8">
        <f ca="1">'TikTok Ads Raw Data'!E46</f>
        <v>50</v>
      </c>
      <c r="K46" s="9">
        <f t="shared" ca="1" si="5"/>
        <v>159.91999999999999</v>
      </c>
      <c r="L46" s="9">
        <f ca="1">'TikTok Ads Raw Data'!F46</f>
        <v>7996</v>
      </c>
    </row>
    <row r="47" spans="1:12" ht="13" x14ac:dyDescent="0.15">
      <c r="A47" s="7">
        <f ca="1">'TikTok Ads Raw Data'!A47</f>
        <v>45703</v>
      </c>
      <c r="B47" s="8">
        <f t="shared" ca="1" si="0"/>
        <v>2</v>
      </c>
      <c r="C47" s="24">
        <f ca="1">'TikTok Ads Raw Data'!B47</f>
        <v>86755</v>
      </c>
      <c r="D47" s="20">
        <f t="shared" ca="1" si="1"/>
        <v>2.905884387067028E-2</v>
      </c>
      <c r="E47" s="8">
        <f ca="1">'TikTok Ads Raw Data'!C47</f>
        <v>2521</v>
      </c>
      <c r="F47" s="9">
        <f t="shared" ca="1" si="2"/>
        <v>1.17810392701309</v>
      </c>
      <c r="G47" s="9">
        <f t="shared" ca="1" si="3"/>
        <v>34.234338078496918</v>
      </c>
      <c r="H47" s="9">
        <f ca="1">'TikTok Ads Raw Data'!D47</f>
        <v>2970</v>
      </c>
      <c r="I47" s="20">
        <f t="shared" ca="1" si="4"/>
        <v>1.1503371677905593E-2</v>
      </c>
      <c r="J47" s="8">
        <f ca="1">'TikTok Ads Raw Data'!E47</f>
        <v>29</v>
      </c>
      <c r="K47" s="9">
        <f t="shared" ca="1" si="5"/>
        <v>200.55172413793105</v>
      </c>
      <c r="L47" s="9">
        <f ca="1">'TikTok Ads Raw Data'!F47</f>
        <v>5816</v>
      </c>
    </row>
    <row r="48" spans="1:12" ht="13" x14ac:dyDescent="0.15">
      <c r="A48" s="7">
        <f ca="1">'TikTok Ads Raw Data'!A48</f>
        <v>45704</v>
      </c>
      <c r="B48" s="8">
        <f t="shared" ca="1" si="0"/>
        <v>2</v>
      </c>
      <c r="C48" s="24">
        <f ca="1">'TikTok Ads Raw Data'!B48</f>
        <v>24397</v>
      </c>
      <c r="D48" s="20">
        <f t="shared" ca="1" si="1"/>
        <v>1.0247161536254457E-2</v>
      </c>
      <c r="E48" s="8">
        <f ca="1">'TikTok Ads Raw Data'!C48</f>
        <v>250</v>
      </c>
      <c r="F48" s="9">
        <f t="shared" ca="1" si="2"/>
        <v>1.032</v>
      </c>
      <c r="G48" s="9">
        <f t="shared" ca="1" si="3"/>
        <v>10.575070705414602</v>
      </c>
      <c r="H48" s="9">
        <f ca="1">'TikTok Ads Raw Data'!D48</f>
        <v>258</v>
      </c>
      <c r="I48" s="20">
        <f t="shared" ca="1" si="4"/>
        <v>0.02</v>
      </c>
      <c r="J48" s="8">
        <f ca="1">'TikTok Ads Raw Data'!E48</f>
        <v>5</v>
      </c>
      <c r="K48" s="9">
        <f t="shared" ca="1" si="5"/>
        <v>165.4</v>
      </c>
      <c r="L48" s="9">
        <f ca="1">'TikTok Ads Raw Data'!F48</f>
        <v>827</v>
      </c>
    </row>
    <row r="49" spans="1:12" ht="13" x14ac:dyDescent="0.15">
      <c r="A49" s="7">
        <f ca="1">'TikTok Ads Raw Data'!A49</f>
        <v>45705</v>
      </c>
      <c r="B49" s="8">
        <f t="shared" ca="1" si="0"/>
        <v>2</v>
      </c>
      <c r="C49" s="24">
        <f ca="1">'TikTok Ads Raw Data'!B49</f>
        <v>22719</v>
      </c>
      <c r="D49" s="20">
        <f t="shared" ca="1" si="1"/>
        <v>9.5514767375324619E-3</v>
      </c>
      <c r="E49" s="8">
        <f ca="1">'TikTok Ads Raw Data'!C49</f>
        <v>217</v>
      </c>
      <c r="F49" s="9">
        <f t="shared" ca="1" si="2"/>
        <v>1.271889400921659</v>
      </c>
      <c r="G49" s="9">
        <f t="shared" ca="1" si="3"/>
        <v>12.148422025617323</v>
      </c>
      <c r="H49" s="9">
        <f ca="1">'TikTok Ads Raw Data'!D49</f>
        <v>276</v>
      </c>
      <c r="I49" s="20">
        <f t="shared" ca="1" si="4"/>
        <v>1.3824884792626729E-2</v>
      </c>
      <c r="J49" s="8">
        <f ca="1">'TikTok Ads Raw Data'!E49</f>
        <v>3</v>
      </c>
      <c r="K49" s="9">
        <f t="shared" ca="1" si="5"/>
        <v>275.33333333333331</v>
      </c>
      <c r="L49" s="9">
        <f ca="1">'TikTok Ads Raw Data'!F49</f>
        <v>826</v>
      </c>
    </row>
    <row r="50" spans="1:12" ht="13" x14ac:dyDescent="0.15">
      <c r="A50" s="7">
        <f ca="1">'TikTok Ads Raw Data'!A50</f>
        <v>45706</v>
      </c>
      <c r="B50" s="8">
        <f t="shared" ca="1" si="0"/>
        <v>2</v>
      </c>
      <c r="C50" s="24">
        <f ca="1">'TikTok Ads Raw Data'!B50</f>
        <v>68469</v>
      </c>
      <c r="D50" s="20">
        <f t="shared" ca="1" si="1"/>
        <v>1.3451342943521885E-2</v>
      </c>
      <c r="E50" s="8">
        <f ca="1">'TikTok Ads Raw Data'!C50</f>
        <v>921</v>
      </c>
      <c r="F50" s="9">
        <f t="shared" ca="1" si="2"/>
        <v>1.1140065146579805</v>
      </c>
      <c r="G50" s="9">
        <f t="shared" ca="1" si="3"/>
        <v>14.984883669982038</v>
      </c>
      <c r="H50" s="9">
        <f ca="1">'TikTok Ads Raw Data'!D50</f>
        <v>1026</v>
      </c>
      <c r="I50" s="20">
        <f t="shared" ca="1" si="4"/>
        <v>1.1943539630836048E-2</v>
      </c>
      <c r="J50" s="8">
        <f ca="1">'TikTok Ads Raw Data'!E50</f>
        <v>11</v>
      </c>
      <c r="K50" s="9">
        <f t="shared" ca="1" si="5"/>
        <v>199.72727272727272</v>
      </c>
      <c r="L50" s="9">
        <f ca="1">'TikTok Ads Raw Data'!F50</f>
        <v>2197</v>
      </c>
    </row>
    <row r="51" spans="1:12" ht="13" x14ac:dyDescent="0.15">
      <c r="A51" s="7">
        <f ca="1">'TikTok Ads Raw Data'!A51</f>
        <v>45707</v>
      </c>
      <c r="B51" s="8">
        <f t="shared" ca="1" si="0"/>
        <v>2</v>
      </c>
      <c r="C51" s="24">
        <f ca="1">'TikTok Ads Raw Data'!B51</f>
        <v>35741</v>
      </c>
      <c r="D51" s="20">
        <f t="shared" ca="1" si="1"/>
        <v>2.1935592177051565E-2</v>
      </c>
      <c r="E51" s="8">
        <f ca="1">'TikTok Ads Raw Data'!C51</f>
        <v>784</v>
      </c>
      <c r="F51" s="9">
        <f t="shared" ca="1" si="2"/>
        <v>1.2640306122448979</v>
      </c>
      <c r="G51" s="9">
        <f t="shared" ca="1" si="3"/>
        <v>27.727260009512886</v>
      </c>
      <c r="H51" s="9">
        <f ca="1">'TikTok Ads Raw Data'!D51</f>
        <v>991</v>
      </c>
      <c r="I51" s="20">
        <f t="shared" ca="1" si="4"/>
        <v>1.5306122448979591E-2</v>
      </c>
      <c r="J51" s="8">
        <f ca="1">'TikTok Ads Raw Data'!E51</f>
        <v>12</v>
      </c>
      <c r="K51" s="9">
        <f t="shared" ca="1" si="5"/>
        <v>134.16666666666666</v>
      </c>
      <c r="L51" s="9">
        <f ca="1">'TikTok Ads Raw Data'!F51</f>
        <v>1610</v>
      </c>
    </row>
    <row r="52" spans="1:12" ht="13" x14ac:dyDescent="0.15">
      <c r="A52" s="7">
        <f ca="1">'TikTok Ads Raw Data'!A52</f>
        <v>45708</v>
      </c>
      <c r="B52" s="8">
        <f t="shared" ca="1" si="0"/>
        <v>2</v>
      </c>
      <c r="C52" s="24">
        <f ca="1">'TikTok Ads Raw Data'!B52</f>
        <v>92642</v>
      </c>
      <c r="D52" s="20">
        <f t="shared" ca="1" si="1"/>
        <v>1.7983204162259018E-2</v>
      </c>
      <c r="E52" s="8">
        <f ca="1">'TikTok Ads Raw Data'!C52</f>
        <v>1666</v>
      </c>
      <c r="F52" s="9">
        <f t="shared" ca="1" si="2"/>
        <v>1.059423769507803</v>
      </c>
      <c r="G52" s="9">
        <f t="shared" ca="1" si="3"/>
        <v>19.051833941408866</v>
      </c>
      <c r="H52" s="9">
        <f ca="1">'TikTok Ads Raw Data'!D52</f>
        <v>1765</v>
      </c>
      <c r="I52" s="20">
        <f t="shared" ca="1" si="4"/>
        <v>2.2809123649459785E-2</v>
      </c>
      <c r="J52" s="8">
        <f ca="1">'TikTok Ads Raw Data'!E52</f>
        <v>38</v>
      </c>
      <c r="K52" s="9">
        <f t="shared" ca="1" si="5"/>
        <v>150.5</v>
      </c>
      <c r="L52" s="9">
        <f ca="1">'TikTok Ads Raw Data'!F52</f>
        <v>5719</v>
      </c>
    </row>
    <row r="53" spans="1:12" ht="13" x14ac:dyDescent="0.15">
      <c r="A53" s="7">
        <f ca="1">'TikTok Ads Raw Data'!A53</f>
        <v>45709</v>
      </c>
      <c r="B53" s="8">
        <f t="shared" ca="1" si="0"/>
        <v>2</v>
      </c>
      <c r="C53" s="24">
        <f ca="1">'TikTok Ads Raw Data'!B53</f>
        <v>108105</v>
      </c>
      <c r="D53" s="20">
        <f t="shared" ca="1" si="1"/>
        <v>1.0748809028259563E-2</v>
      </c>
      <c r="E53" s="8">
        <f ca="1">'TikTok Ads Raw Data'!C53</f>
        <v>1162</v>
      </c>
      <c r="F53" s="9">
        <f t="shared" ca="1" si="2"/>
        <v>1.1970740103270223</v>
      </c>
      <c r="G53" s="9">
        <f t="shared" ca="1" si="3"/>
        <v>12.867119929697978</v>
      </c>
      <c r="H53" s="9">
        <f ca="1">'TikTok Ads Raw Data'!D53</f>
        <v>1391</v>
      </c>
      <c r="I53" s="20">
        <f t="shared" ca="1" si="4"/>
        <v>1.4629948364888123E-2</v>
      </c>
      <c r="J53" s="8">
        <f ca="1">'TikTok Ads Raw Data'!E53</f>
        <v>17</v>
      </c>
      <c r="K53" s="9">
        <f t="shared" ca="1" si="5"/>
        <v>109.17647058823529</v>
      </c>
      <c r="L53" s="9">
        <f ca="1">'TikTok Ads Raw Data'!F53</f>
        <v>1856</v>
      </c>
    </row>
    <row r="54" spans="1:12" ht="13" x14ac:dyDescent="0.15">
      <c r="A54" s="7">
        <f ca="1">'TikTok Ads Raw Data'!A54</f>
        <v>45710</v>
      </c>
      <c r="B54" s="8">
        <f t="shared" ca="1" si="0"/>
        <v>2</v>
      </c>
      <c r="C54" s="24">
        <f ca="1">'TikTok Ads Raw Data'!B54</f>
        <v>81877</v>
      </c>
      <c r="D54" s="20">
        <f t="shared" ca="1" si="1"/>
        <v>1.4827118726870795E-2</v>
      </c>
      <c r="E54" s="8">
        <f ca="1">'TikTok Ads Raw Data'!C54</f>
        <v>1214</v>
      </c>
      <c r="F54" s="9">
        <f t="shared" ca="1" si="2"/>
        <v>1.0074135090609555</v>
      </c>
      <c r="G54" s="9">
        <f t="shared" ca="1" si="3"/>
        <v>14.937039705900315</v>
      </c>
      <c r="H54" s="9">
        <f ca="1">'TikTok Ads Raw Data'!D54</f>
        <v>1223</v>
      </c>
      <c r="I54" s="20">
        <f t="shared" ca="1" si="4"/>
        <v>1.4827018121911038E-2</v>
      </c>
      <c r="J54" s="8">
        <f ca="1">'TikTok Ads Raw Data'!E54</f>
        <v>18</v>
      </c>
      <c r="K54" s="9">
        <f t="shared" ca="1" si="5"/>
        <v>144.55555555555554</v>
      </c>
      <c r="L54" s="9">
        <f ca="1">'TikTok Ads Raw Data'!F54</f>
        <v>2602</v>
      </c>
    </row>
    <row r="55" spans="1:12" ht="13" x14ac:dyDescent="0.15">
      <c r="A55" s="7">
        <f ca="1">'TikTok Ads Raw Data'!A55</f>
        <v>45711</v>
      </c>
      <c r="B55" s="8">
        <f t="shared" ca="1" si="0"/>
        <v>2</v>
      </c>
      <c r="C55" s="24">
        <f ca="1">'TikTok Ads Raw Data'!B55</f>
        <v>103967</v>
      </c>
      <c r="D55" s="20">
        <f t="shared" ca="1" si="1"/>
        <v>1.1253570844594919E-2</v>
      </c>
      <c r="E55" s="8">
        <f ca="1">'TikTok Ads Raw Data'!C55</f>
        <v>1170</v>
      </c>
      <c r="F55" s="9">
        <f t="shared" ca="1" si="2"/>
        <v>0.93846153846153846</v>
      </c>
      <c r="G55" s="9">
        <f t="shared" ca="1" si="3"/>
        <v>10.561043408004464</v>
      </c>
      <c r="H55" s="9">
        <f ca="1">'TikTok Ads Raw Data'!D55</f>
        <v>1098</v>
      </c>
      <c r="I55" s="20">
        <f t="shared" ca="1" si="4"/>
        <v>2.3076923076923078E-2</v>
      </c>
      <c r="J55" s="8">
        <f ca="1">'TikTok Ads Raw Data'!E55</f>
        <v>27</v>
      </c>
      <c r="K55" s="9">
        <f t="shared" ca="1" si="5"/>
        <v>211.59259259259258</v>
      </c>
      <c r="L55" s="9">
        <f ca="1">'TikTok Ads Raw Data'!F55</f>
        <v>5713</v>
      </c>
    </row>
    <row r="56" spans="1:12" ht="13" x14ac:dyDescent="0.15">
      <c r="A56" s="7">
        <f ca="1">'TikTok Ads Raw Data'!A56</f>
        <v>45712</v>
      </c>
      <c r="B56" s="8">
        <f t="shared" ca="1" si="0"/>
        <v>2</v>
      </c>
      <c r="C56" s="24">
        <f ca="1">'TikTok Ads Raw Data'!B56</f>
        <v>27443</v>
      </c>
      <c r="D56" s="20">
        <f t="shared" ca="1" si="1"/>
        <v>2.3029552162664432E-2</v>
      </c>
      <c r="E56" s="8">
        <f ca="1">'TikTok Ads Raw Data'!C56</f>
        <v>632</v>
      </c>
      <c r="F56" s="9">
        <f t="shared" ca="1" si="2"/>
        <v>0.84810126582278478</v>
      </c>
      <c r="G56" s="9">
        <f t="shared" ca="1" si="3"/>
        <v>19.531392340487557</v>
      </c>
      <c r="H56" s="9">
        <f ca="1">'TikTok Ads Raw Data'!D56</f>
        <v>536</v>
      </c>
      <c r="I56" s="20">
        <f t="shared" ca="1" si="4"/>
        <v>1.1075949367088608E-2</v>
      </c>
      <c r="J56" s="8">
        <f ca="1">'TikTok Ads Raw Data'!E56</f>
        <v>7</v>
      </c>
      <c r="K56" s="9">
        <f t="shared" ca="1" si="5"/>
        <v>124</v>
      </c>
      <c r="L56" s="9">
        <f ca="1">'TikTok Ads Raw Data'!F56</f>
        <v>868</v>
      </c>
    </row>
    <row r="57" spans="1:12" ht="13" x14ac:dyDescent="0.15">
      <c r="A57" s="7">
        <f ca="1">'TikTok Ads Raw Data'!A57</f>
        <v>45713</v>
      </c>
      <c r="B57" s="8">
        <f t="shared" ca="1" si="0"/>
        <v>2</v>
      </c>
      <c r="C57" s="24">
        <f ca="1">'TikTok Ads Raw Data'!B57</f>
        <v>66742</v>
      </c>
      <c r="D57" s="20">
        <f t="shared" ca="1" si="1"/>
        <v>1.7964699889125288E-2</v>
      </c>
      <c r="E57" s="8">
        <f ca="1">'TikTok Ads Raw Data'!C57</f>
        <v>1199</v>
      </c>
      <c r="F57" s="9">
        <f t="shared" ca="1" si="2"/>
        <v>0.63803169307756469</v>
      </c>
      <c r="G57" s="9">
        <f t="shared" ca="1" si="3"/>
        <v>11.462047885888945</v>
      </c>
      <c r="H57" s="9">
        <f ca="1">'TikTok Ads Raw Data'!D57</f>
        <v>765</v>
      </c>
      <c r="I57" s="20">
        <f t="shared" ca="1" si="4"/>
        <v>1.5846538782318599E-2</v>
      </c>
      <c r="J57" s="8">
        <f ca="1">'TikTok Ads Raw Data'!E57</f>
        <v>19</v>
      </c>
      <c r="K57" s="9">
        <f t="shared" ca="1" si="5"/>
        <v>122.84210526315789</v>
      </c>
      <c r="L57" s="9">
        <f ca="1">'TikTok Ads Raw Data'!F57</f>
        <v>2334</v>
      </c>
    </row>
    <row r="58" spans="1:12" ht="13" x14ac:dyDescent="0.15">
      <c r="A58" s="7">
        <f ca="1">'TikTok Ads Raw Data'!A58</f>
        <v>45714</v>
      </c>
      <c r="B58" s="8">
        <f t="shared" ca="1" si="0"/>
        <v>2</v>
      </c>
      <c r="C58" s="24">
        <f ca="1">'TikTok Ads Raw Data'!B58</f>
        <v>94411</v>
      </c>
      <c r="D58" s="20">
        <f t="shared" ca="1" si="1"/>
        <v>2.8566586520638485E-2</v>
      </c>
      <c r="E58" s="8">
        <f ca="1">'TikTok Ads Raw Data'!C58</f>
        <v>2697</v>
      </c>
      <c r="F58" s="9">
        <f t="shared" ca="1" si="2"/>
        <v>0.96032628846866885</v>
      </c>
      <c r="G58" s="9">
        <f t="shared" ca="1" si="3"/>
        <v>27.433244007583863</v>
      </c>
      <c r="H58" s="9">
        <f ca="1">'TikTok Ads Raw Data'!D58</f>
        <v>2590</v>
      </c>
      <c r="I58" s="20">
        <f t="shared" ca="1" si="4"/>
        <v>1.6314423433444566E-2</v>
      </c>
      <c r="J58" s="8">
        <f ca="1">'TikTok Ads Raw Data'!E58</f>
        <v>44</v>
      </c>
      <c r="K58" s="9">
        <f t="shared" ca="1" si="5"/>
        <v>152.61363636363637</v>
      </c>
      <c r="L58" s="9">
        <f ca="1">'TikTok Ads Raw Data'!F58</f>
        <v>6715</v>
      </c>
    </row>
    <row r="59" spans="1:12" ht="13" x14ac:dyDescent="0.15">
      <c r="A59" s="7">
        <f ca="1">'TikTok Ads Raw Data'!A59</f>
        <v>45715</v>
      </c>
      <c r="B59" s="8">
        <f t="shared" ca="1" si="0"/>
        <v>2</v>
      </c>
      <c r="C59" s="24">
        <f ca="1">'TikTok Ads Raw Data'!B59</f>
        <v>59457</v>
      </c>
      <c r="D59" s="20">
        <f t="shared" ca="1" si="1"/>
        <v>2.960122441428259E-2</v>
      </c>
      <c r="E59" s="8">
        <f ca="1">'TikTok Ads Raw Data'!C59</f>
        <v>1760</v>
      </c>
      <c r="F59" s="9">
        <f t="shared" ca="1" si="2"/>
        <v>1.0272727272727273</v>
      </c>
      <c r="G59" s="9">
        <f t="shared" ca="1" si="3"/>
        <v>30.408530534672117</v>
      </c>
      <c r="H59" s="9">
        <f ca="1">'TikTok Ads Raw Data'!D59</f>
        <v>1808</v>
      </c>
      <c r="I59" s="20">
        <f t="shared" ca="1" si="4"/>
        <v>1.0227272727272727E-2</v>
      </c>
      <c r="J59" s="8">
        <f ca="1">'TikTok Ads Raw Data'!E59</f>
        <v>18</v>
      </c>
      <c r="K59" s="9">
        <f t="shared" ca="1" si="5"/>
        <v>218.66666666666666</v>
      </c>
      <c r="L59" s="9">
        <f ca="1">'TikTok Ads Raw Data'!F59</f>
        <v>3936</v>
      </c>
    </row>
    <row r="60" spans="1:12" ht="13" x14ac:dyDescent="0.15">
      <c r="A60" s="7">
        <f ca="1">'TikTok Ads Raw Data'!A60</f>
        <v>45716</v>
      </c>
      <c r="B60" s="8">
        <f t="shared" ca="1" si="0"/>
        <v>2</v>
      </c>
      <c r="C60" s="24">
        <f ca="1">'TikTok Ads Raw Data'!B60</f>
        <v>26211</v>
      </c>
      <c r="D60" s="20">
        <f t="shared" ca="1" si="1"/>
        <v>7.9355995574377173E-3</v>
      </c>
      <c r="E60" s="8">
        <f ca="1">'TikTok Ads Raw Data'!C60</f>
        <v>208</v>
      </c>
      <c r="F60" s="9">
        <f t="shared" ca="1" si="2"/>
        <v>1.0288461538461537</v>
      </c>
      <c r="G60" s="9">
        <f t="shared" ca="1" si="3"/>
        <v>8.1645110831330356</v>
      </c>
      <c r="H60" s="9">
        <f ca="1">'TikTok Ads Raw Data'!D60</f>
        <v>214</v>
      </c>
      <c r="I60" s="20">
        <f t="shared" ca="1" si="4"/>
        <v>9.6153846153846159E-3</v>
      </c>
      <c r="J60" s="8">
        <f ca="1">'TikTok Ads Raw Data'!E60</f>
        <v>2</v>
      </c>
      <c r="K60" s="9">
        <f t="shared" ca="1" si="5"/>
        <v>225.5</v>
      </c>
      <c r="L60" s="9">
        <f ca="1">'TikTok Ads Raw Data'!F60</f>
        <v>451</v>
      </c>
    </row>
    <row r="61" spans="1:12" ht="13" x14ac:dyDescent="0.15">
      <c r="A61" s="7">
        <f ca="1">'TikTok Ads Raw Data'!A61</f>
        <v>45717</v>
      </c>
      <c r="B61" s="8">
        <f t="shared" ca="1" si="0"/>
        <v>3</v>
      </c>
      <c r="C61" s="24">
        <f ca="1">'TikTok Ads Raw Data'!B61</f>
        <v>85553</v>
      </c>
      <c r="D61" s="20">
        <f t="shared" ca="1" si="1"/>
        <v>1.7661566514324455E-2</v>
      </c>
      <c r="E61" s="8">
        <f ca="1">'TikTok Ads Raw Data'!C61</f>
        <v>1511</v>
      </c>
      <c r="F61" s="9">
        <f t="shared" ca="1" si="2"/>
        <v>0.87822634017207146</v>
      </c>
      <c r="G61" s="9">
        <f t="shared" ca="1" si="3"/>
        <v>15.510852921580774</v>
      </c>
      <c r="H61" s="9">
        <f ca="1">'TikTok Ads Raw Data'!D61</f>
        <v>1327</v>
      </c>
      <c r="I61" s="20">
        <f t="shared" ca="1" si="4"/>
        <v>2.4487094639311716E-2</v>
      </c>
      <c r="J61" s="8">
        <f ca="1">'TikTok Ads Raw Data'!E61</f>
        <v>37</v>
      </c>
      <c r="K61" s="9">
        <f t="shared" ca="1" si="5"/>
        <v>159.67567567567568</v>
      </c>
      <c r="L61" s="9">
        <f ca="1">'TikTok Ads Raw Data'!F61</f>
        <v>5908</v>
      </c>
    </row>
    <row r="62" spans="1:12" ht="13" x14ac:dyDescent="0.15">
      <c r="A62" s="7">
        <f ca="1">'TikTok Ads Raw Data'!A62</f>
        <v>45718</v>
      </c>
      <c r="B62" s="8">
        <f t="shared" ca="1" si="0"/>
        <v>3</v>
      </c>
      <c r="C62" s="24">
        <f ca="1">'TikTok Ads Raw Data'!B62</f>
        <v>54557</v>
      </c>
      <c r="D62" s="20">
        <f t="shared" ca="1" si="1"/>
        <v>2.8227358542441849E-2</v>
      </c>
      <c r="E62" s="8">
        <f ca="1">'TikTok Ads Raw Data'!C62</f>
        <v>1540</v>
      </c>
      <c r="F62" s="9">
        <f t="shared" ca="1" si="2"/>
        <v>1.1597402597402597</v>
      </c>
      <c r="G62" s="9">
        <f t="shared" ca="1" si="3"/>
        <v>32.736404127792952</v>
      </c>
      <c r="H62" s="9">
        <f ca="1">'TikTok Ads Raw Data'!D62</f>
        <v>1786</v>
      </c>
      <c r="I62" s="20">
        <f t="shared" ca="1" si="4"/>
        <v>1.8831168831168831E-2</v>
      </c>
      <c r="J62" s="8">
        <f ca="1">'TikTok Ads Raw Data'!E62</f>
        <v>29</v>
      </c>
      <c r="K62" s="9">
        <f t="shared" ca="1" si="5"/>
        <v>164.37931034482759</v>
      </c>
      <c r="L62" s="9">
        <f ca="1">'TikTok Ads Raw Data'!F62</f>
        <v>4767</v>
      </c>
    </row>
    <row r="63" spans="1:12" ht="13" x14ac:dyDescent="0.15">
      <c r="A63" s="7">
        <f ca="1">'TikTok Ads Raw Data'!A63</f>
        <v>45719</v>
      </c>
      <c r="B63" s="8">
        <f t="shared" ca="1" si="0"/>
        <v>3</v>
      </c>
      <c r="C63" s="24">
        <f ca="1">'TikTok Ads Raw Data'!B63</f>
        <v>33309</v>
      </c>
      <c r="D63" s="20">
        <f t="shared" ca="1" si="1"/>
        <v>1.9724398811132127E-2</v>
      </c>
      <c r="E63" s="8">
        <f ca="1">'TikTok Ads Raw Data'!C63</f>
        <v>657</v>
      </c>
      <c r="F63" s="9">
        <f t="shared" ca="1" si="2"/>
        <v>0.91933028919330284</v>
      </c>
      <c r="G63" s="9">
        <f t="shared" ca="1" si="3"/>
        <v>18.13323726320214</v>
      </c>
      <c r="H63" s="9">
        <f ca="1">'TikTok Ads Raw Data'!D63</f>
        <v>604</v>
      </c>
      <c r="I63" s="20">
        <f t="shared" ca="1" si="4"/>
        <v>2.4353120243531201E-2</v>
      </c>
      <c r="J63" s="8">
        <f ca="1">'TikTok Ads Raw Data'!E63</f>
        <v>16</v>
      </c>
      <c r="K63" s="9">
        <f t="shared" ca="1" si="5"/>
        <v>201.5625</v>
      </c>
      <c r="L63" s="9">
        <f ca="1">'TikTok Ads Raw Data'!F63</f>
        <v>3225</v>
      </c>
    </row>
    <row r="64" spans="1:12" ht="13" x14ac:dyDescent="0.15">
      <c r="A64" s="7">
        <f ca="1">'TikTok Ads Raw Data'!A64</f>
        <v>45720</v>
      </c>
      <c r="B64" s="8">
        <f t="shared" ca="1" si="0"/>
        <v>3</v>
      </c>
      <c r="C64" s="24">
        <f ca="1">'TikTok Ads Raw Data'!B64</f>
        <v>41657</v>
      </c>
      <c r="D64" s="20">
        <f t="shared" ca="1" si="1"/>
        <v>1.5867681302062078E-2</v>
      </c>
      <c r="E64" s="8">
        <f ca="1">'TikTok Ads Raw Data'!C64</f>
        <v>661</v>
      </c>
      <c r="F64" s="9">
        <f t="shared" ca="1" si="2"/>
        <v>0.9636913767019667</v>
      </c>
      <c r="G64" s="9">
        <f t="shared" ca="1" si="3"/>
        <v>15.291547639052261</v>
      </c>
      <c r="H64" s="9">
        <f ca="1">'TikTok Ads Raw Data'!D64</f>
        <v>637</v>
      </c>
      <c r="I64" s="20">
        <f t="shared" ca="1" si="4"/>
        <v>1.8154311649016642E-2</v>
      </c>
      <c r="J64" s="8">
        <f ca="1">'TikTok Ads Raw Data'!E64</f>
        <v>12</v>
      </c>
      <c r="K64" s="9">
        <f t="shared" ca="1" si="5"/>
        <v>199.25</v>
      </c>
      <c r="L64" s="9">
        <f ca="1">'TikTok Ads Raw Data'!F64</f>
        <v>2391</v>
      </c>
    </row>
    <row r="65" spans="1:12" ht="13" x14ac:dyDescent="0.15">
      <c r="A65" s="7">
        <f ca="1">'TikTok Ads Raw Data'!A65</f>
        <v>45721</v>
      </c>
      <c r="B65" s="8">
        <f t="shared" ca="1" si="0"/>
        <v>3</v>
      </c>
      <c r="C65" s="24">
        <f ca="1">'TikTok Ads Raw Data'!B65</f>
        <v>68691</v>
      </c>
      <c r="D65" s="20">
        <f t="shared" ca="1" si="1"/>
        <v>2.5563756532879126E-2</v>
      </c>
      <c r="E65" s="8">
        <f ca="1">'TikTok Ads Raw Data'!C65</f>
        <v>1756</v>
      </c>
      <c r="F65" s="9">
        <f t="shared" ca="1" si="2"/>
        <v>0.96810933940774491</v>
      </c>
      <c r="G65" s="9">
        <f t="shared" ca="1" si="3"/>
        <v>24.748511449826033</v>
      </c>
      <c r="H65" s="9">
        <f ca="1">'TikTok Ads Raw Data'!D65</f>
        <v>1700</v>
      </c>
      <c r="I65" s="20">
        <f t="shared" ca="1" si="4"/>
        <v>2.1070615034168565E-2</v>
      </c>
      <c r="J65" s="8">
        <f ca="1">'TikTok Ads Raw Data'!E65</f>
        <v>37</v>
      </c>
      <c r="K65" s="9">
        <f t="shared" ca="1" si="5"/>
        <v>118.75675675675676</v>
      </c>
      <c r="L65" s="9">
        <f ca="1">'TikTok Ads Raw Data'!F65</f>
        <v>4394</v>
      </c>
    </row>
    <row r="66" spans="1:12" ht="13" x14ac:dyDescent="0.15">
      <c r="A66" s="7">
        <f ca="1">'TikTok Ads Raw Data'!A66</f>
        <v>45722</v>
      </c>
      <c r="B66" s="8">
        <f t="shared" ca="1" si="0"/>
        <v>3</v>
      </c>
      <c r="C66" s="24">
        <f ca="1">'TikTok Ads Raw Data'!B66</f>
        <v>65226</v>
      </c>
      <c r="D66" s="20">
        <f t="shared" ca="1" si="1"/>
        <v>2.4269463097537792E-2</v>
      </c>
      <c r="E66" s="8">
        <f ca="1">'TikTok Ads Raw Data'!C66</f>
        <v>1583</v>
      </c>
      <c r="F66" s="9">
        <f t="shared" ca="1" si="2"/>
        <v>0.80101073910296905</v>
      </c>
      <c r="G66" s="9">
        <f t="shared" ca="1" si="3"/>
        <v>19.440100573390978</v>
      </c>
      <c r="H66" s="9">
        <f ca="1">'TikTok Ads Raw Data'!D66</f>
        <v>1268</v>
      </c>
      <c r="I66" s="20">
        <f t="shared" ca="1" si="4"/>
        <v>1.5792798483891344E-2</v>
      </c>
      <c r="J66" s="8">
        <f ca="1">'TikTok Ads Raw Data'!E66</f>
        <v>25</v>
      </c>
      <c r="K66" s="9">
        <f t="shared" ca="1" si="5"/>
        <v>183.52</v>
      </c>
      <c r="L66" s="9">
        <f ca="1">'TikTok Ads Raw Data'!F66</f>
        <v>4588</v>
      </c>
    </row>
    <row r="67" spans="1:12" ht="13" x14ac:dyDescent="0.15">
      <c r="A67" s="7">
        <f ca="1">'TikTok Ads Raw Data'!A67</f>
        <v>45723</v>
      </c>
      <c r="B67" s="8">
        <f t="shared" ca="1" si="0"/>
        <v>3</v>
      </c>
      <c r="C67" s="24">
        <f ca="1">'TikTok Ads Raw Data'!B67</f>
        <v>35908</v>
      </c>
      <c r="D67" s="20">
        <f t="shared" ca="1" si="1"/>
        <v>2.1443689428539602E-2</v>
      </c>
      <c r="E67" s="8">
        <f ca="1">'TikTok Ads Raw Data'!C67</f>
        <v>770</v>
      </c>
      <c r="F67" s="9">
        <f t="shared" ca="1" si="2"/>
        <v>0.67792207792207793</v>
      </c>
      <c r="G67" s="9">
        <f t="shared" ca="1" si="3"/>
        <v>14.537150495711261</v>
      </c>
      <c r="H67" s="9">
        <f ca="1">'TikTok Ads Raw Data'!D67</f>
        <v>522</v>
      </c>
      <c r="I67" s="20">
        <f t="shared" ca="1" si="4"/>
        <v>1.6883116883116882E-2</v>
      </c>
      <c r="J67" s="8">
        <f ca="1">'TikTok Ads Raw Data'!E67</f>
        <v>13</v>
      </c>
      <c r="K67" s="9">
        <f t="shared" ca="1" si="5"/>
        <v>116.61538461538461</v>
      </c>
      <c r="L67" s="9">
        <f ca="1">'TikTok Ads Raw Data'!F67</f>
        <v>1516</v>
      </c>
    </row>
    <row r="68" spans="1:12" ht="13" x14ac:dyDescent="0.15">
      <c r="A68" s="7">
        <f ca="1">'TikTok Ads Raw Data'!A68</f>
        <v>45724</v>
      </c>
      <c r="B68" s="8">
        <f t="shared" ca="1" si="0"/>
        <v>3</v>
      </c>
      <c r="C68" s="24">
        <f ca="1">'TikTok Ads Raw Data'!B68</f>
        <v>90050</v>
      </c>
      <c r="D68" s="20">
        <f t="shared" ca="1" si="1"/>
        <v>2.903942254303165E-2</v>
      </c>
      <c r="E68" s="8">
        <f ca="1">'TikTok Ads Raw Data'!C68</f>
        <v>2615</v>
      </c>
      <c r="F68" s="9">
        <f t="shared" ca="1" si="2"/>
        <v>0.59923518164435952</v>
      </c>
      <c r="G68" s="9">
        <f t="shared" ca="1" si="3"/>
        <v>17.40144364242088</v>
      </c>
      <c r="H68" s="9">
        <f ca="1">'TikTok Ads Raw Data'!D68</f>
        <v>1567</v>
      </c>
      <c r="I68" s="20">
        <f t="shared" ca="1" si="4"/>
        <v>2.0267686424474188E-2</v>
      </c>
      <c r="J68" s="8">
        <f ca="1">'TikTok Ads Raw Data'!E68</f>
        <v>53</v>
      </c>
      <c r="K68" s="9">
        <f t="shared" ca="1" si="5"/>
        <v>109.28301886792453</v>
      </c>
      <c r="L68" s="9">
        <f ca="1">'TikTok Ads Raw Data'!F68</f>
        <v>5792</v>
      </c>
    </row>
    <row r="69" spans="1:12" ht="13" x14ac:dyDescent="0.15">
      <c r="A69" s="7">
        <f ca="1">'TikTok Ads Raw Data'!A69</f>
        <v>45725</v>
      </c>
      <c r="B69" s="8">
        <f t="shared" ca="1" si="0"/>
        <v>3</v>
      </c>
      <c r="C69" s="24">
        <f ca="1">'TikTok Ads Raw Data'!B69</f>
        <v>82917</v>
      </c>
      <c r="D69" s="20">
        <f t="shared" ca="1" si="1"/>
        <v>2.8679281691329883E-2</v>
      </c>
      <c r="E69" s="8">
        <f ca="1">'TikTok Ads Raw Data'!C69</f>
        <v>2378</v>
      </c>
      <c r="F69" s="9">
        <f t="shared" ca="1" si="2"/>
        <v>0.96888141295206054</v>
      </c>
      <c r="G69" s="9">
        <f t="shared" ca="1" si="3"/>
        <v>27.786822967545859</v>
      </c>
      <c r="H69" s="9">
        <f ca="1">'TikTok Ads Raw Data'!D69</f>
        <v>2304</v>
      </c>
      <c r="I69" s="20">
        <f t="shared" ca="1" si="4"/>
        <v>2.2708158116063918E-2</v>
      </c>
      <c r="J69" s="8">
        <f ca="1">'TikTok Ads Raw Data'!E69</f>
        <v>54</v>
      </c>
      <c r="K69" s="9">
        <f t="shared" ca="1" si="5"/>
        <v>159.24074074074073</v>
      </c>
      <c r="L69" s="9">
        <f ca="1">'TikTok Ads Raw Data'!F69</f>
        <v>8599</v>
      </c>
    </row>
    <row r="70" spans="1:12" ht="13" x14ac:dyDescent="0.15">
      <c r="A70" s="7">
        <f ca="1">'TikTok Ads Raw Data'!A70</f>
        <v>45726</v>
      </c>
      <c r="B70" s="8">
        <f t="shared" ca="1" si="0"/>
        <v>3</v>
      </c>
      <c r="C70" s="24">
        <f ca="1">'TikTok Ads Raw Data'!B70</f>
        <v>90435</v>
      </c>
      <c r="D70" s="20">
        <f t="shared" ca="1" si="1"/>
        <v>2.6372532758334715E-2</v>
      </c>
      <c r="E70" s="8">
        <f ca="1">'TikTok Ads Raw Data'!C70</f>
        <v>2385</v>
      </c>
      <c r="F70" s="9">
        <f t="shared" ca="1" si="2"/>
        <v>1.0004192872117401</v>
      </c>
      <c r="G70" s="9">
        <f t="shared" ca="1" si="3"/>
        <v>26.383590424061481</v>
      </c>
      <c r="H70" s="9">
        <f ca="1">'TikTok Ads Raw Data'!D70</f>
        <v>2386</v>
      </c>
      <c r="I70" s="20">
        <f t="shared" ca="1" si="4"/>
        <v>2.1383647798742137E-2</v>
      </c>
      <c r="J70" s="8">
        <f ca="1">'TikTok Ads Raw Data'!E70</f>
        <v>51</v>
      </c>
      <c r="K70" s="9">
        <f t="shared" ca="1" si="5"/>
        <v>175.50980392156862</v>
      </c>
      <c r="L70" s="9">
        <f ca="1">'TikTok Ads Raw Data'!F70</f>
        <v>8951</v>
      </c>
    </row>
    <row r="71" spans="1:12" ht="13" x14ac:dyDescent="0.15">
      <c r="A71" s="7">
        <f ca="1">'TikTok Ads Raw Data'!A71</f>
        <v>45727</v>
      </c>
      <c r="B71" s="8">
        <f t="shared" ca="1" si="0"/>
        <v>3</v>
      </c>
      <c r="C71" s="24">
        <f ca="1">'TikTok Ads Raw Data'!B71</f>
        <v>45828</v>
      </c>
      <c r="D71" s="20">
        <f t="shared" ca="1" si="1"/>
        <v>2.3391812865497075E-2</v>
      </c>
      <c r="E71" s="8">
        <f ca="1">'TikTok Ads Raw Data'!C71</f>
        <v>1072</v>
      </c>
      <c r="F71" s="9">
        <f t="shared" ca="1" si="2"/>
        <v>0.65858208955223885</v>
      </c>
      <c r="G71" s="9">
        <f t="shared" ca="1" si="3"/>
        <v>15.405428995374006</v>
      </c>
      <c r="H71" s="9">
        <f ca="1">'TikTok Ads Raw Data'!D71</f>
        <v>706</v>
      </c>
      <c r="I71" s="20">
        <f t="shared" ca="1" si="4"/>
        <v>1.1194029850746268E-2</v>
      </c>
      <c r="J71" s="8">
        <f ca="1">'TikTok Ads Raw Data'!E71</f>
        <v>12</v>
      </c>
      <c r="K71" s="9">
        <f t="shared" ca="1" si="5"/>
        <v>195.66666666666666</v>
      </c>
      <c r="L71" s="9">
        <f ca="1">'TikTok Ads Raw Data'!F71</f>
        <v>2348</v>
      </c>
    </row>
    <row r="72" spans="1:12" ht="13" x14ac:dyDescent="0.15">
      <c r="A72" s="7">
        <f ca="1">'TikTok Ads Raw Data'!A72</f>
        <v>45728</v>
      </c>
      <c r="B72" s="8">
        <f t="shared" ca="1" si="0"/>
        <v>3</v>
      </c>
      <c r="C72" s="24">
        <f ca="1">'TikTok Ads Raw Data'!B72</f>
        <v>96808</v>
      </c>
      <c r="D72" s="20">
        <f t="shared" ca="1" si="1"/>
        <v>2.1423849268655482E-2</v>
      </c>
      <c r="E72" s="8">
        <f ca="1">'TikTok Ads Raw Data'!C72</f>
        <v>2074</v>
      </c>
      <c r="F72" s="9">
        <f t="shared" ca="1" si="2"/>
        <v>0.79942140790742522</v>
      </c>
      <c r="G72" s="9">
        <f t="shared" ca="1" si="3"/>
        <v>17.126683745145026</v>
      </c>
      <c r="H72" s="9">
        <f ca="1">'TikTok Ads Raw Data'!D72</f>
        <v>1658</v>
      </c>
      <c r="I72" s="20">
        <f t="shared" ca="1" si="4"/>
        <v>1.7357762777242044E-2</v>
      </c>
      <c r="J72" s="8">
        <f ca="1">'TikTok Ads Raw Data'!E72</f>
        <v>36</v>
      </c>
      <c r="K72" s="9">
        <f t="shared" ca="1" si="5"/>
        <v>172.94444444444446</v>
      </c>
      <c r="L72" s="9">
        <f ca="1">'TikTok Ads Raw Data'!F72</f>
        <v>6226</v>
      </c>
    </row>
    <row r="73" spans="1:12" ht="13" x14ac:dyDescent="0.15">
      <c r="A73" s="7">
        <f ca="1">'TikTok Ads Raw Data'!A73</f>
        <v>45729</v>
      </c>
      <c r="B73" s="8">
        <f t="shared" ca="1" si="0"/>
        <v>3</v>
      </c>
      <c r="C73" s="24">
        <f ca="1">'TikTok Ads Raw Data'!B73</f>
        <v>36019</v>
      </c>
      <c r="D73" s="20">
        <f t="shared" ca="1" si="1"/>
        <v>1.8379188761486993E-2</v>
      </c>
      <c r="E73" s="8">
        <f ca="1">'TikTok Ads Raw Data'!C73</f>
        <v>662</v>
      </c>
      <c r="F73" s="9">
        <f t="shared" ca="1" si="2"/>
        <v>0.81570996978851962</v>
      </c>
      <c r="G73" s="9">
        <f t="shared" ca="1" si="3"/>
        <v>14.992087509370055</v>
      </c>
      <c r="H73" s="9">
        <f ca="1">'TikTok Ads Raw Data'!D73</f>
        <v>540</v>
      </c>
      <c r="I73" s="20">
        <f t="shared" ca="1" si="4"/>
        <v>1.6616314199395771E-2</v>
      </c>
      <c r="J73" s="8">
        <f ca="1">'TikTok Ads Raw Data'!E73</f>
        <v>11</v>
      </c>
      <c r="K73" s="9">
        <f t="shared" ca="1" si="5"/>
        <v>159.45454545454547</v>
      </c>
      <c r="L73" s="9">
        <f ca="1">'TikTok Ads Raw Data'!F73</f>
        <v>1754</v>
      </c>
    </row>
    <row r="74" spans="1:12" ht="13" x14ac:dyDescent="0.15">
      <c r="A74" s="7">
        <f ca="1">'TikTok Ads Raw Data'!A74</f>
        <v>45730</v>
      </c>
      <c r="B74" s="8">
        <f t="shared" ca="1" si="0"/>
        <v>3</v>
      </c>
      <c r="C74" s="24">
        <f ca="1">'TikTok Ads Raw Data'!B74</f>
        <v>65734</v>
      </c>
      <c r="D74" s="20">
        <f t="shared" ca="1" si="1"/>
        <v>1.2596221133659902E-2</v>
      </c>
      <c r="E74" s="8">
        <f ca="1">'TikTok Ads Raw Data'!C74</f>
        <v>828</v>
      </c>
      <c r="F74" s="9">
        <f t="shared" ca="1" si="2"/>
        <v>1.1461352657004831</v>
      </c>
      <c r="G74" s="9">
        <f t="shared" ca="1" si="3"/>
        <v>14.436973255849333</v>
      </c>
      <c r="H74" s="9">
        <f ca="1">'TikTok Ads Raw Data'!D74</f>
        <v>949</v>
      </c>
      <c r="I74" s="20">
        <f t="shared" ca="1" si="4"/>
        <v>1.3285024154589372E-2</v>
      </c>
      <c r="J74" s="8">
        <f ca="1">'TikTok Ads Raw Data'!E74</f>
        <v>11</v>
      </c>
      <c r="K74" s="9">
        <f t="shared" ca="1" si="5"/>
        <v>105.54545454545455</v>
      </c>
      <c r="L74" s="9">
        <f ca="1">'TikTok Ads Raw Data'!F74</f>
        <v>1161</v>
      </c>
    </row>
    <row r="75" spans="1:12" ht="13" x14ac:dyDescent="0.15">
      <c r="A75" s="7">
        <f ca="1">'TikTok Ads Raw Data'!A75</f>
        <v>45731</v>
      </c>
      <c r="B75" s="8">
        <f t="shared" ca="1" si="0"/>
        <v>3</v>
      </c>
      <c r="C75" s="24">
        <f ca="1">'TikTok Ads Raw Data'!B75</f>
        <v>34177</v>
      </c>
      <c r="D75" s="20">
        <f t="shared" ca="1" si="1"/>
        <v>1.114784796793165E-2</v>
      </c>
      <c r="E75" s="8">
        <f ca="1">'TikTok Ads Raw Data'!C75</f>
        <v>381</v>
      </c>
      <c r="F75" s="9">
        <f t="shared" ca="1" si="2"/>
        <v>0.73228346456692917</v>
      </c>
      <c r="G75" s="9">
        <f t="shared" ca="1" si="3"/>
        <v>8.16338473242239</v>
      </c>
      <c r="H75" s="9">
        <f ca="1">'TikTok Ads Raw Data'!D75</f>
        <v>279</v>
      </c>
      <c r="I75" s="20">
        <f t="shared" ca="1" si="4"/>
        <v>1.5748031496062992E-2</v>
      </c>
      <c r="J75" s="8">
        <f ca="1">'TikTok Ads Raw Data'!E75</f>
        <v>6</v>
      </c>
      <c r="K75" s="9">
        <f t="shared" ca="1" si="5"/>
        <v>209.66666666666666</v>
      </c>
      <c r="L75" s="9">
        <f ca="1">'TikTok Ads Raw Data'!F75</f>
        <v>1258</v>
      </c>
    </row>
    <row r="76" spans="1:12" ht="13" x14ac:dyDescent="0.15">
      <c r="A76" s="7">
        <f ca="1">'TikTok Ads Raw Data'!A76</f>
        <v>45732</v>
      </c>
      <c r="B76" s="8">
        <f t="shared" ca="1" si="0"/>
        <v>3</v>
      </c>
      <c r="C76" s="24">
        <f ca="1">'TikTok Ads Raw Data'!B76</f>
        <v>39087</v>
      </c>
      <c r="D76" s="20">
        <f t="shared" ca="1" si="1"/>
        <v>1.6373730396295444E-2</v>
      </c>
      <c r="E76" s="8">
        <f ca="1">'TikTok Ads Raw Data'!C76</f>
        <v>640</v>
      </c>
      <c r="F76" s="9">
        <f t="shared" ca="1" si="2"/>
        <v>1.1625000000000001</v>
      </c>
      <c r="G76" s="9">
        <f t="shared" ca="1" si="3"/>
        <v>19.034461585693453</v>
      </c>
      <c r="H76" s="9">
        <f ca="1">'TikTok Ads Raw Data'!D76</f>
        <v>744</v>
      </c>
      <c r="I76" s="20">
        <f t="shared" ca="1" si="4"/>
        <v>1.5625E-2</v>
      </c>
      <c r="J76" s="8">
        <f ca="1">'TikTok Ads Raw Data'!E76</f>
        <v>10</v>
      </c>
      <c r="K76" s="9">
        <f t="shared" ca="1" si="5"/>
        <v>136.19999999999999</v>
      </c>
      <c r="L76" s="9">
        <f ca="1">'TikTok Ads Raw Data'!F76</f>
        <v>1362</v>
      </c>
    </row>
    <row r="77" spans="1:12" ht="13" x14ac:dyDescent="0.15">
      <c r="A77" s="7">
        <f ca="1">'TikTok Ads Raw Data'!A77</f>
        <v>45733</v>
      </c>
      <c r="B77" s="8">
        <f t="shared" ca="1" si="0"/>
        <v>3</v>
      </c>
      <c r="C77" s="24">
        <f ca="1">'TikTok Ads Raw Data'!B77</f>
        <v>66428</v>
      </c>
      <c r="D77" s="20">
        <f t="shared" ca="1" si="1"/>
        <v>2.6284097067501656E-2</v>
      </c>
      <c r="E77" s="8">
        <f ca="1">'TikTok Ads Raw Data'!C77</f>
        <v>1746</v>
      </c>
      <c r="F77" s="9">
        <f t="shared" ca="1" si="2"/>
        <v>1.1712485681557847</v>
      </c>
      <c r="G77" s="9">
        <f t="shared" ca="1" si="3"/>
        <v>30.785211055578973</v>
      </c>
      <c r="H77" s="9">
        <f ca="1">'TikTok Ads Raw Data'!D77</f>
        <v>2045</v>
      </c>
      <c r="I77" s="20">
        <f t="shared" ca="1" si="4"/>
        <v>2.5200458190148912E-2</v>
      </c>
      <c r="J77" s="8">
        <f ca="1">'TikTok Ads Raw Data'!E77</f>
        <v>44</v>
      </c>
      <c r="K77" s="9">
        <f t="shared" ca="1" si="5"/>
        <v>207.56818181818181</v>
      </c>
      <c r="L77" s="9">
        <f ca="1">'TikTok Ads Raw Data'!F77</f>
        <v>9133</v>
      </c>
    </row>
    <row r="78" spans="1:12" ht="13" x14ac:dyDescent="0.15">
      <c r="A78" s="7">
        <f ca="1">'TikTok Ads Raw Data'!A78</f>
        <v>45734</v>
      </c>
      <c r="B78" s="8">
        <f t="shared" ca="1" si="0"/>
        <v>3</v>
      </c>
      <c r="C78" s="24">
        <f ca="1">'TikTok Ads Raw Data'!B78</f>
        <v>49952</v>
      </c>
      <c r="D78" s="20">
        <f t="shared" ca="1" si="1"/>
        <v>1.7016335682254965E-2</v>
      </c>
      <c r="E78" s="8">
        <f ca="1">'TikTok Ads Raw Data'!C78</f>
        <v>850</v>
      </c>
      <c r="F78" s="9">
        <f t="shared" ca="1" si="2"/>
        <v>1.0552941176470587</v>
      </c>
      <c r="G78" s="9">
        <f t="shared" ca="1" si="3"/>
        <v>17.957238949391417</v>
      </c>
      <c r="H78" s="9">
        <f ca="1">'TikTok Ads Raw Data'!D78</f>
        <v>897</v>
      </c>
      <c r="I78" s="20">
        <f t="shared" ca="1" si="4"/>
        <v>1.411764705882353E-2</v>
      </c>
      <c r="J78" s="8">
        <f ca="1">'TikTok Ads Raw Data'!E78</f>
        <v>12</v>
      </c>
      <c r="K78" s="9">
        <f t="shared" ca="1" si="5"/>
        <v>120.83333333333333</v>
      </c>
      <c r="L78" s="9">
        <f ca="1">'TikTok Ads Raw Data'!F78</f>
        <v>1450</v>
      </c>
    </row>
    <row r="79" spans="1:12" ht="13" x14ac:dyDescent="0.15">
      <c r="A79" s="7">
        <f ca="1">'TikTok Ads Raw Data'!A79</f>
        <v>45735</v>
      </c>
      <c r="B79" s="8">
        <f t="shared" ca="1" si="0"/>
        <v>3</v>
      </c>
      <c r="C79" s="24">
        <f ca="1">'TikTok Ads Raw Data'!B79</f>
        <v>38705</v>
      </c>
      <c r="D79" s="20">
        <f t="shared" ca="1" si="1"/>
        <v>1.8240537398268957E-2</v>
      </c>
      <c r="E79" s="8">
        <f ca="1">'TikTok Ads Raw Data'!C79</f>
        <v>706</v>
      </c>
      <c r="F79" s="9">
        <f t="shared" ca="1" si="2"/>
        <v>0.89093484419263458</v>
      </c>
      <c r="G79" s="9">
        <f t="shared" ca="1" si="3"/>
        <v>16.251130344916678</v>
      </c>
      <c r="H79" s="9">
        <f ca="1">'TikTok Ads Raw Data'!D79</f>
        <v>629</v>
      </c>
      <c r="I79" s="20">
        <f t="shared" ca="1" si="4"/>
        <v>2.1246458923512748E-2</v>
      </c>
      <c r="J79" s="8">
        <f ca="1">'TikTok Ads Raw Data'!E79</f>
        <v>15</v>
      </c>
      <c r="K79" s="9">
        <f t="shared" ca="1" si="5"/>
        <v>219.6</v>
      </c>
      <c r="L79" s="9">
        <f ca="1">'TikTok Ads Raw Data'!F79</f>
        <v>3294</v>
      </c>
    </row>
    <row r="80" spans="1:12" ht="13" x14ac:dyDescent="0.15">
      <c r="A80" s="7">
        <f ca="1">'TikTok Ads Raw Data'!A80</f>
        <v>45736</v>
      </c>
      <c r="B80" s="8">
        <f t="shared" ca="1" si="0"/>
        <v>3</v>
      </c>
      <c r="C80" s="24">
        <f ca="1">'TikTok Ads Raw Data'!B80</f>
        <v>104415</v>
      </c>
      <c r="D80" s="20">
        <f t="shared" ca="1" si="1"/>
        <v>1.0755159699276923E-2</v>
      </c>
      <c r="E80" s="8">
        <f ca="1">'TikTok Ads Raw Data'!C80</f>
        <v>1123</v>
      </c>
      <c r="F80" s="9">
        <f t="shared" ca="1" si="2"/>
        <v>1.1540516473731077</v>
      </c>
      <c r="G80" s="9">
        <f t="shared" ca="1" si="3"/>
        <v>12.412009768711391</v>
      </c>
      <c r="H80" s="9">
        <f ca="1">'TikTok Ads Raw Data'!D80</f>
        <v>1296</v>
      </c>
      <c r="I80" s="20">
        <f t="shared" ca="1" si="4"/>
        <v>2.2261798753339269E-2</v>
      </c>
      <c r="J80" s="8">
        <f ca="1">'TikTok Ads Raw Data'!E80</f>
        <v>25</v>
      </c>
      <c r="K80" s="9">
        <f t="shared" ca="1" si="5"/>
        <v>206.16</v>
      </c>
      <c r="L80" s="9">
        <f ca="1">'TikTok Ads Raw Data'!F80</f>
        <v>5154</v>
      </c>
    </row>
    <row r="81" spans="1:12" ht="13" x14ac:dyDescent="0.15">
      <c r="A81" s="7">
        <f ca="1">'TikTok Ads Raw Data'!A81</f>
        <v>45737</v>
      </c>
      <c r="B81" s="8">
        <f t="shared" ca="1" si="0"/>
        <v>3</v>
      </c>
      <c r="C81" s="24">
        <f ca="1">'TikTok Ads Raw Data'!B81</f>
        <v>45418</v>
      </c>
      <c r="D81" s="20">
        <f t="shared" ca="1" si="1"/>
        <v>1.9309524857985819E-2</v>
      </c>
      <c r="E81" s="8">
        <f ca="1">'TikTok Ads Raw Data'!C81</f>
        <v>877</v>
      </c>
      <c r="F81" s="9">
        <f t="shared" ca="1" si="2"/>
        <v>1.2086659064994298</v>
      </c>
      <c r="G81" s="9">
        <f t="shared" ca="1" si="3"/>
        <v>23.338764366550706</v>
      </c>
      <c r="H81" s="9">
        <f ca="1">'TikTok Ads Raw Data'!D81</f>
        <v>1060</v>
      </c>
      <c r="I81" s="20">
        <f t="shared" ca="1" si="4"/>
        <v>2.0524515393386546E-2</v>
      </c>
      <c r="J81" s="8">
        <f ca="1">'TikTok Ads Raw Data'!E81</f>
        <v>18</v>
      </c>
      <c r="K81" s="9">
        <f t="shared" ca="1" si="5"/>
        <v>114.05555555555556</v>
      </c>
      <c r="L81" s="9">
        <f ca="1">'TikTok Ads Raw Data'!F81</f>
        <v>2053</v>
      </c>
    </row>
    <row r="82" spans="1:12" ht="13" x14ac:dyDescent="0.15">
      <c r="A82" s="7">
        <f ca="1">'TikTok Ads Raw Data'!A82</f>
        <v>45738</v>
      </c>
      <c r="B82" s="8">
        <f t="shared" ca="1" si="0"/>
        <v>3</v>
      </c>
      <c r="C82" s="24">
        <f ca="1">'TikTok Ads Raw Data'!B82</f>
        <v>43038</v>
      </c>
      <c r="D82" s="20">
        <f t="shared" ca="1" si="1"/>
        <v>2.6488219712811935E-2</v>
      </c>
      <c r="E82" s="8">
        <f ca="1">'TikTok Ads Raw Data'!C82</f>
        <v>1140</v>
      </c>
      <c r="F82" s="9">
        <f t="shared" ca="1" si="2"/>
        <v>0.90701754385964917</v>
      </c>
      <c r="G82" s="9">
        <f t="shared" ca="1" si="3"/>
        <v>24.025279985129423</v>
      </c>
      <c r="H82" s="9">
        <f ca="1">'TikTok Ads Raw Data'!D82</f>
        <v>1034</v>
      </c>
      <c r="I82" s="20">
        <f t="shared" ca="1" si="4"/>
        <v>1.5789473684210527E-2</v>
      </c>
      <c r="J82" s="8">
        <f ca="1">'TikTok Ads Raw Data'!E82</f>
        <v>18</v>
      </c>
      <c r="K82" s="9">
        <f t="shared" ca="1" si="5"/>
        <v>151.88888888888889</v>
      </c>
      <c r="L82" s="9">
        <f ca="1">'TikTok Ads Raw Data'!F82</f>
        <v>2734</v>
      </c>
    </row>
    <row r="83" spans="1:12" ht="13" x14ac:dyDescent="0.15">
      <c r="A83" s="7">
        <f ca="1">'TikTok Ads Raw Data'!A83</f>
        <v>45739</v>
      </c>
      <c r="B83" s="8">
        <f t="shared" ca="1" si="0"/>
        <v>3</v>
      </c>
      <c r="C83" s="24">
        <f ca="1">'TikTok Ads Raw Data'!B83</f>
        <v>112277</v>
      </c>
      <c r="D83" s="20">
        <f t="shared" ca="1" si="1"/>
        <v>1.9255947344514013E-2</v>
      </c>
      <c r="E83" s="8">
        <f ca="1">'TikTok Ads Raw Data'!C83</f>
        <v>2162</v>
      </c>
      <c r="F83" s="9">
        <f t="shared" ca="1" si="2"/>
        <v>0.83626271970397781</v>
      </c>
      <c r="G83" s="9">
        <f t="shared" ca="1" si="3"/>
        <v>16.103030896799879</v>
      </c>
      <c r="H83" s="9">
        <f ca="1">'TikTok Ads Raw Data'!D83</f>
        <v>1808</v>
      </c>
      <c r="I83" s="20">
        <f t="shared" ca="1" si="4"/>
        <v>1.6651248843663275E-2</v>
      </c>
      <c r="J83" s="8">
        <f ca="1">'TikTok Ads Raw Data'!E83</f>
        <v>36</v>
      </c>
      <c r="K83" s="9">
        <f t="shared" ca="1" si="5"/>
        <v>142.61111111111111</v>
      </c>
      <c r="L83" s="9">
        <f ca="1">'TikTok Ads Raw Data'!F83</f>
        <v>5134</v>
      </c>
    </row>
    <row r="84" spans="1:12" ht="13" x14ac:dyDescent="0.15">
      <c r="A84" s="7">
        <f ca="1">'TikTok Ads Raw Data'!A84</f>
        <v>45740</v>
      </c>
      <c r="B84" s="8">
        <f t="shared" ca="1" si="0"/>
        <v>3</v>
      </c>
      <c r="C84" s="24">
        <f ca="1">'TikTok Ads Raw Data'!B84</f>
        <v>19294</v>
      </c>
      <c r="D84" s="20">
        <f t="shared" ca="1" si="1"/>
        <v>7.3598009743961849E-3</v>
      </c>
      <c r="E84" s="8">
        <f ca="1">'TikTok Ads Raw Data'!C84</f>
        <v>142</v>
      </c>
      <c r="F84" s="9">
        <f t="shared" ca="1" si="2"/>
        <v>1.176056338028169</v>
      </c>
      <c r="G84" s="9">
        <f t="shared" ca="1" si="3"/>
        <v>8.6555405825645284</v>
      </c>
      <c r="H84" s="9">
        <f ca="1">'TikTok Ads Raw Data'!D84</f>
        <v>167</v>
      </c>
      <c r="I84" s="20">
        <f t="shared" ca="1" si="4"/>
        <v>7.0422535211267607E-3</v>
      </c>
      <c r="J84" s="8">
        <f ca="1">'TikTok Ads Raw Data'!E84</f>
        <v>1</v>
      </c>
      <c r="K84" s="9">
        <f t="shared" ca="1" si="5"/>
        <v>271</v>
      </c>
      <c r="L84" s="9">
        <f ca="1">'TikTok Ads Raw Data'!F84</f>
        <v>271</v>
      </c>
    </row>
    <row r="85" spans="1:12" ht="13" x14ac:dyDescent="0.15">
      <c r="A85" s="7">
        <f ca="1">'TikTok Ads Raw Data'!A85</f>
        <v>45741</v>
      </c>
      <c r="B85" s="8">
        <f t="shared" ca="1" si="0"/>
        <v>3</v>
      </c>
      <c r="C85" s="24">
        <f ca="1">'TikTok Ads Raw Data'!B85</f>
        <v>85477</v>
      </c>
      <c r="D85" s="20">
        <f t="shared" ca="1" si="1"/>
        <v>2.6732337353908068E-2</v>
      </c>
      <c r="E85" s="8">
        <f ca="1">'TikTok Ads Raw Data'!C85</f>
        <v>2285</v>
      </c>
      <c r="F85" s="9">
        <f t="shared" ca="1" si="2"/>
        <v>1.1391684901531729</v>
      </c>
      <c r="G85" s="9">
        <f t="shared" ca="1" si="3"/>
        <v>30.452636381716719</v>
      </c>
      <c r="H85" s="9">
        <f ca="1">'TikTok Ads Raw Data'!D85</f>
        <v>2603</v>
      </c>
      <c r="I85" s="20">
        <f t="shared" ca="1" si="4"/>
        <v>1.7943107221006564E-2</v>
      </c>
      <c r="J85" s="8">
        <f ca="1">'TikTok Ads Raw Data'!E85</f>
        <v>41</v>
      </c>
      <c r="K85" s="9">
        <f t="shared" ca="1" si="5"/>
        <v>114.34146341463415</v>
      </c>
      <c r="L85" s="9">
        <f ca="1">'TikTok Ads Raw Data'!F85</f>
        <v>4688</v>
      </c>
    </row>
    <row r="86" spans="1:12" ht="13" x14ac:dyDescent="0.15">
      <c r="A86" s="7">
        <f ca="1">'TikTok Ads Raw Data'!A86</f>
        <v>45742</v>
      </c>
      <c r="B86" s="8">
        <f t="shared" ca="1" si="0"/>
        <v>3</v>
      </c>
      <c r="C86" s="24">
        <f ca="1">'TikTok Ads Raw Data'!B86</f>
        <v>35785</v>
      </c>
      <c r="D86" s="20">
        <f t="shared" ca="1" si="1"/>
        <v>1.9309766662009221E-2</v>
      </c>
      <c r="E86" s="8">
        <f ca="1">'TikTok Ads Raw Data'!C86</f>
        <v>691</v>
      </c>
      <c r="F86" s="9">
        <f t="shared" ca="1" si="2"/>
        <v>0.76266280752532567</v>
      </c>
      <c r="G86" s="9">
        <f t="shared" ca="1" si="3"/>
        <v>14.726840855106889</v>
      </c>
      <c r="H86" s="9">
        <f ca="1">'TikTok Ads Raw Data'!D86</f>
        <v>527</v>
      </c>
      <c r="I86" s="20">
        <f t="shared" ca="1" si="4"/>
        <v>2.1707670043415339E-2</v>
      </c>
      <c r="J86" s="8">
        <f ca="1">'TikTok Ads Raw Data'!E86</f>
        <v>15</v>
      </c>
      <c r="K86" s="9">
        <f t="shared" ca="1" si="5"/>
        <v>128</v>
      </c>
      <c r="L86" s="9">
        <f ca="1">'TikTok Ads Raw Data'!F86</f>
        <v>1920</v>
      </c>
    </row>
    <row r="87" spans="1:12" ht="13" x14ac:dyDescent="0.15">
      <c r="A87" s="7">
        <f ca="1">'TikTok Ads Raw Data'!A87</f>
        <v>45743</v>
      </c>
      <c r="B87" s="8">
        <f t="shared" ca="1" si="0"/>
        <v>3</v>
      </c>
      <c r="C87" s="24">
        <f ca="1">'TikTok Ads Raw Data'!B87</f>
        <v>91829</v>
      </c>
      <c r="D87" s="20">
        <f t="shared" ca="1" si="1"/>
        <v>1.47665770072635E-2</v>
      </c>
      <c r="E87" s="8">
        <f ca="1">'TikTok Ads Raw Data'!C87</f>
        <v>1356</v>
      </c>
      <c r="F87" s="9">
        <f t="shared" ca="1" si="2"/>
        <v>0.76253687315634222</v>
      </c>
      <c r="G87" s="9">
        <f t="shared" ca="1" si="3"/>
        <v>11.260059458341047</v>
      </c>
      <c r="H87" s="9">
        <f ca="1">'TikTok Ads Raw Data'!D87</f>
        <v>1034</v>
      </c>
      <c r="I87" s="20">
        <f t="shared" ca="1" si="4"/>
        <v>1.9174041297935103E-2</v>
      </c>
      <c r="J87" s="8">
        <f ca="1">'TikTok Ads Raw Data'!E87</f>
        <v>26</v>
      </c>
      <c r="K87" s="9">
        <f t="shared" ca="1" si="5"/>
        <v>132.65384615384616</v>
      </c>
      <c r="L87" s="9">
        <f ca="1">'TikTok Ads Raw Data'!F87</f>
        <v>3449</v>
      </c>
    </row>
    <row r="88" spans="1:12" ht="13" x14ac:dyDescent="0.15">
      <c r="A88" s="7">
        <f ca="1">'TikTok Ads Raw Data'!A88</f>
        <v>45744</v>
      </c>
      <c r="B88" s="8">
        <f t="shared" ca="1" si="0"/>
        <v>3</v>
      </c>
      <c r="C88" s="24">
        <f ca="1">'TikTok Ads Raw Data'!B88</f>
        <v>25201</v>
      </c>
      <c r="D88" s="20">
        <f t="shared" ca="1" si="1"/>
        <v>1.5991428911551128E-2</v>
      </c>
      <c r="E88" s="8">
        <f ca="1">'TikTok Ads Raw Data'!C88</f>
        <v>403</v>
      </c>
      <c r="F88" s="9">
        <f t="shared" ca="1" si="2"/>
        <v>0.82133995037220842</v>
      </c>
      <c r="G88" s="9">
        <f t="shared" ca="1" si="3"/>
        <v>13.134399428594103</v>
      </c>
      <c r="H88" s="9">
        <f ca="1">'TikTok Ads Raw Data'!D88</f>
        <v>331</v>
      </c>
      <c r="I88" s="20">
        <f t="shared" ca="1" si="4"/>
        <v>1.488833746898263E-2</v>
      </c>
      <c r="J88" s="8">
        <f ca="1">'TikTok Ads Raw Data'!E88</f>
        <v>6</v>
      </c>
      <c r="K88" s="9">
        <f t="shared" ca="1" si="5"/>
        <v>202.16666666666666</v>
      </c>
      <c r="L88" s="9">
        <f ca="1">'TikTok Ads Raw Data'!F88</f>
        <v>1213</v>
      </c>
    </row>
    <row r="89" spans="1:12" ht="13" x14ac:dyDescent="0.15">
      <c r="A89" s="7">
        <f ca="1">'TikTok Ads Raw Data'!A89</f>
        <v>45745</v>
      </c>
      <c r="B89" s="8">
        <f t="shared" ca="1" si="0"/>
        <v>3</v>
      </c>
      <c r="C89" s="24">
        <f ca="1">'TikTok Ads Raw Data'!B89</f>
        <v>83832</v>
      </c>
      <c r="D89" s="20">
        <f t="shared" ca="1" si="1"/>
        <v>3.3853421127970226E-2</v>
      </c>
      <c r="E89" s="8">
        <f ca="1">'TikTok Ads Raw Data'!C89</f>
        <v>2838</v>
      </c>
      <c r="F89" s="9">
        <f t="shared" ca="1" si="2"/>
        <v>1.1381254404510219</v>
      </c>
      <c r="G89" s="9">
        <f t="shared" ca="1" si="3"/>
        <v>38.529439832045043</v>
      </c>
      <c r="H89" s="9">
        <f ca="1">'TikTok Ads Raw Data'!D89</f>
        <v>3230</v>
      </c>
      <c r="I89" s="20">
        <f t="shared" ca="1" si="4"/>
        <v>1.4799154334038054E-2</v>
      </c>
      <c r="J89" s="8">
        <f ca="1">'TikTok Ads Raw Data'!E89</f>
        <v>42</v>
      </c>
      <c r="K89" s="9">
        <f t="shared" ca="1" si="5"/>
        <v>176.73809523809524</v>
      </c>
      <c r="L89" s="9">
        <f ca="1">'TikTok Ads Raw Data'!F89</f>
        <v>7423</v>
      </c>
    </row>
    <row r="90" spans="1:12" ht="13" x14ac:dyDescent="0.15">
      <c r="A90" s="7">
        <f ca="1">'TikTok Ads Raw Data'!A90</f>
        <v>45746</v>
      </c>
      <c r="B90" s="8">
        <f t="shared" ca="1" si="0"/>
        <v>3</v>
      </c>
      <c r="C90" s="24">
        <f ca="1">'TikTok Ads Raw Data'!B90</f>
        <v>65661</v>
      </c>
      <c r="D90" s="20">
        <f t="shared" ca="1" si="1"/>
        <v>1.4757618677753917E-2</v>
      </c>
      <c r="E90" s="8">
        <f ca="1">'TikTok Ads Raw Data'!C90</f>
        <v>969</v>
      </c>
      <c r="F90" s="9">
        <f t="shared" ca="1" si="2"/>
        <v>0.74303405572755421</v>
      </c>
      <c r="G90" s="9">
        <f t="shared" ca="1" si="3"/>
        <v>10.965413259012198</v>
      </c>
      <c r="H90" s="9">
        <f ca="1">'TikTok Ads Raw Data'!D90</f>
        <v>720</v>
      </c>
      <c r="I90" s="20">
        <f t="shared" ca="1" si="4"/>
        <v>1.5479876160990712E-2</v>
      </c>
      <c r="J90" s="8">
        <f ca="1">'TikTok Ads Raw Data'!E90</f>
        <v>15</v>
      </c>
      <c r="K90" s="9">
        <f t="shared" ca="1" si="5"/>
        <v>114.86666666666666</v>
      </c>
      <c r="L90" s="9">
        <f ca="1">'TikTok Ads Raw Data'!F90</f>
        <v>1723</v>
      </c>
    </row>
    <row r="91" spans="1:12" ht="13" x14ac:dyDescent="0.15">
      <c r="A91" s="7">
        <f ca="1">'TikTok Ads Raw Data'!A91</f>
        <v>45747</v>
      </c>
      <c r="B91" s="8">
        <f t="shared" ca="1" si="0"/>
        <v>3</v>
      </c>
      <c r="C91" s="24">
        <f ca="1">'TikTok Ads Raw Data'!B91</f>
        <v>60497</v>
      </c>
      <c r="D91" s="20">
        <f t="shared" ca="1" si="1"/>
        <v>1.3802337305982114E-2</v>
      </c>
      <c r="E91" s="8">
        <f ca="1">'TikTok Ads Raw Data'!C91</f>
        <v>835</v>
      </c>
      <c r="F91" s="9">
        <f t="shared" ca="1" si="2"/>
        <v>0.88023952095808389</v>
      </c>
      <c r="G91" s="9">
        <f t="shared" ca="1" si="3"/>
        <v>12.149362778319587</v>
      </c>
      <c r="H91" s="9">
        <f ca="1">'TikTok Ads Raw Data'!D91</f>
        <v>735</v>
      </c>
      <c r="I91" s="20">
        <f t="shared" ca="1" si="4"/>
        <v>2.1556886227544911E-2</v>
      </c>
      <c r="J91" s="8">
        <f ca="1">'TikTok Ads Raw Data'!E91</f>
        <v>18</v>
      </c>
      <c r="K91" s="9">
        <f t="shared" ca="1" si="5"/>
        <v>120.11111111111111</v>
      </c>
      <c r="L91" s="9">
        <f ca="1">'TikTok Ads Raw Data'!F91</f>
        <v>2162</v>
      </c>
    </row>
    <row r="92" spans="1:12" ht="13" x14ac:dyDescent="0.15">
      <c r="A92" s="7">
        <f ca="1">'TikTok Ads Raw Data'!A92</f>
        <v>45748</v>
      </c>
      <c r="B92" s="8">
        <f t="shared" ca="1" si="0"/>
        <v>4</v>
      </c>
      <c r="C92" s="24">
        <f ca="1">'TikTok Ads Raw Data'!B92</f>
        <v>75083</v>
      </c>
      <c r="D92" s="20">
        <f t="shared" ca="1" si="1"/>
        <v>2.0630502244183103E-2</v>
      </c>
      <c r="E92" s="8">
        <f ca="1">'TikTok Ads Raw Data'!C92</f>
        <v>1549</v>
      </c>
      <c r="F92" s="9">
        <f t="shared" ca="1" si="2"/>
        <v>0.87153001936733376</v>
      </c>
      <c r="G92" s="9">
        <f t="shared" ca="1" si="3"/>
        <v>17.980102020430724</v>
      </c>
      <c r="H92" s="9">
        <f ca="1">'TikTok Ads Raw Data'!D92</f>
        <v>1350</v>
      </c>
      <c r="I92" s="20">
        <f t="shared" ca="1" si="4"/>
        <v>1.8721755971594579E-2</v>
      </c>
      <c r="J92" s="8">
        <f ca="1">'TikTok Ads Raw Data'!E92</f>
        <v>29</v>
      </c>
      <c r="K92" s="9">
        <f t="shared" ca="1" si="5"/>
        <v>114.58620689655173</v>
      </c>
      <c r="L92" s="9">
        <f ca="1">'TikTok Ads Raw Data'!F92</f>
        <v>3323</v>
      </c>
    </row>
    <row r="93" spans="1:12" ht="13" x14ac:dyDescent="0.15">
      <c r="A93" s="7">
        <f ca="1">'TikTok Ads Raw Data'!A93</f>
        <v>45749</v>
      </c>
      <c r="B93" s="8">
        <f t="shared" ca="1" si="0"/>
        <v>4</v>
      </c>
      <c r="C93" s="24">
        <f ca="1">'TikTok Ads Raw Data'!B93</f>
        <v>106776</v>
      </c>
      <c r="D93" s="20">
        <f t="shared" ca="1" si="1"/>
        <v>2.2252191503708697E-2</v>
      </c>
      <c r="E93" s="8">
        <f ca="1">'TikTok Ads Raw Data'!C93</f>
        <v>2376</v>
      </c>
      <c r="F93" s="9">
        <f t="shared" ca="1" si="2"/>
        <v>1.0378787878787878</v>
      </c>
      <c r="G93" s="9">
        <f t="shared" ca="1" si="3"/>
        <v>23.095077545515846</v>
      </c>
      <c r="H93" s="9">
        <f ca="1">'TikTok Ads Raw Data'!D93</f>
        <v>2466</v>
      </c>
      <c r="I93" s="20">
        <f t="shared" ca="1" si="4"/>
        <v>2.1464646464646464E-2</v>
      </c>
      <c r="J93" s="8">
        <f ca="1">'TikTok Ads Raw Data'!E93</f>
        <v>51</v>
      </c>
      <c r="K93" s="9">
        <f t="shared" ca="1" si="5"/>
        <v>119.94117647058823</v>
      </c>
      <c r="L93" s="9">
        <f ca="1">'TikTok Ads Raw Data'!F93</f>
        <v>6117</v>
      </c>
    </row>
    <row r="94" spans="1:12" ht="13" x14ac:dyDescent="0.15">
      <c r="A94" s="7">
        <f ca="1">'TikTok Ads Raw Data'!A94</f>
        <v>45750</v>
      </c>
      <c r="B94" s="8">
        <f t="shared" ca="1" si="0"/>
        <v>4</v>
      </c>
      <c r="C94" s="24">
        <f ca="1">'TikTok Ads Raw Data'!B94</f>
        <v>38478</v>
      </c>
      <c r="D94" s="20">
        <f t="shared" ca="1" si="1"/>
        <v>1.0239617443734082E-2</v>
      </c>
      <c r="E94" s="8">
        <f ca="1">'TikTok Ads Raw Data'!C94</f>
        <v>394</v>
      </c>
      <c r="F94" s="9">
        <f t="shared" ca="1" si="2"/>
        <v>1</v>
      </c>
      <c r="G94" s="9">
        <f t="shared" ca="1" si="3"/>
        <v>10.239617443734081</v>
      </c>
      <c r="H94" s="9">
        <f ca="1">'TikTok Ads Raw Data'!D94</f>
        <v>394</v>
      </c>
      <c r="I94" s="20">
        <f t="shared" ca="1" si="4"/>
        <v>1.7766497461928935E-2</v>
      </c>
      <c r="J94" s="8">
        <f ca="1">'TikTok Ads Raw Data'!E94</f>
        <v>7</v>
      </c>
      <c r="K94" s="9">
        <f t="shared" ca="1" si="5"/>
        <v>138.57142857142858</v>
      </c>
      <c r="L94" s="9">
        <f ca="1">'TikTok Ads Raw Data'!F94</f>
        <v>970</v>
      </c>
    </row>
    <row r="95" spans="1:12" ht="13" x14ac:dyDescent="0.15">
      <c r="A95" s="7">
        <f ca="1">'TikTok Ads Raw Data'!A95</f>
        <v>45751</v>
      </c>
      <c r="B95" s="8">
        <f t="shared" ca="1" si="0"/>
        <v>4</v>
      </c>
      <c r="C95" s="24">
        <f ca="1">'TikTok Ads Raw Data'!B95</f>
        <v>88425</v>
      </c>
      <c r="D95" s="20">
        <f t="shared" ca="1" si="1"/>
        <v>3.2264631043256997E-2</v>
      </c>
      <c r="E95" s="8">
        <f ca="1">'TikTok Ads Raw Data'!C95</f>
        <v>2853</v>
      </c>
      <c r="F95" s="9">
        <f t="shared" ca="1" si="2"/>
        <v>0.8454258675078864</v>
      </c>
      <c r="G95" s="9">
        <f t="shared" ca="1" si="3"/>
        <v>27.27735368956743</v>
      </c>
      <c r="H95" s="9">
        <f ca="1">'TikTok Ads Raw Data'!D95</f>
        <v>2412</v>
      </c>
      <c r="I95" s="20">
        <f t="shared" ca="1" si="4"/>
        <v>2.0679985979670523E-2</v>
      </c>
      <c r="J95" s="8">
        <f ca="1">'TikTok Ads Raw Data'!E95</f>
        <v>59</v>
      </c>
      <c r="K95" s="9">
        <f t="shared" ca="1" si="5"/>
        <v>137.35593220338984</v>
      </c>
      <c r="L95" s="9">
        <f ca="1">'TikTok Ads Raw Data'!F95</f>
        <v>8104</v>
      </c>
    </row>
    <row r="96" spans="1:12" ht="13" x14ac:dyDescent="0.15">
      <c r="A96" s="7">
        <f ca="1">'TikTok Ads Raw Data'!A96</f>
        <v>45752</v>
      </c>
      <c r="B96" s="8">
        <f t="shared" ca="1" si="0"/>
        <v>4</v>
      </c>
      <c r="C96" s="24">
        <f ca="1">'TikTok Ads Raw Data'!B96</f>
        <v>29606</v>
      </c>
      <c r="D96" s="20">
        <f t="shared" ca="1" si="1"/>
        <v>2.0333716138620551E-2</v>
      </c>
      <c r="E96" s="8">
        <f ca="1">'TikTok Ads Raw Data'!C96</f>
        <v>602</v>
      </c>
      <c r="F96" s="9">
        <f t="shared" ca="1" si="2"/>
        <v>0.93687707641196016</v>
      </c>
      <c r="G96" s="9">
        <f t="shared" ca="1" si="3"/>
        <v>19.050192528541512</v>
      </c>
      <c r="H96" s="9">
        <f ca="1">'TikTok Ads Raw Data'!D96</f>
        <v>564</v>
      </c>
      <c r="I96" s="20">
        <f t="shared" ca="1" si="4"/>
        <v>1.3289036544850499E-2</v>
      </c>
      <c r="J96" s="8">
        <f ca="1">'TikTok Ads Raw Data'!E96</f>
        <v>8</v>
      </c>
      <c r="K96" s="9">
        <f t="shared" ca="1" si="5"/>
        <v>117.75</v>
      </c>
      <c r="L96" s="9">
        <f ca="1">'TikTok Ads Raw Data'!F96</f>
        <v>942</v>
      </c>
    </row>
    <row r="97" spans="1:12" ht="13" x14ac:dyDescent="0.15">
      <c r="A97" s="7">
        <f ca="1">'TikTok Ads Raw Data'!A97</f>
        <v>45753</v>
      </c>
      <c r="B97" s="8">
        <f t="shared" ca="1" si="0"/>
        <v>4</v>
      </c>
      <c r="C97" s="24">
        <f ca="1">'TikTok Ads Raw Data'!B97</f>
        <v>110299</v>
      </c>
      <c r="D97" s="20">
        <f t="shared" ca="1" si="1"/>
        <v>1.8467982483975375E-2</v>
      </c>
      <c r="E97" s="8">
        <f ca="1">'TikTok Ads Raw Data'!C97</f>
        <v>2037</v>
      </c>
      <c r="F97" s="9">
        <f t="shared" ca="1" si="2"/>
        <v>1.1566028473244969</v>
      </c>
      <c r="G97" s="9">
        <f t="shared" ca="1" si="3"/>
        <v>21.36012112530485</v>
      </c>
      <c r="H97" s="9">
        <f ca="1">'TikTok Ads Raw Data'!D97</f>
        <v>2356</v>
      </c>
      <c r="I97" s="20">
        <f t="shared" ca="1" si="4"/>
        <v>1.8163966617574866E-2</v>
      </c>
      <c r="J97" s="8">
        <f ca="1">'TikTok Ads Raw Data'!E97</f>
        <v>37</v>
      </c>
      <c r="K97" s="9">
        <f t="shared" ca="1" si="5"/>
        <v>164.24324324324326</v>
      </c>
      <c r="L97" s="9">
        <f ca="1">'TikTok Ads Raw Data'!F97</f>
        <v>6077</v>
      </c>
    </row>
    <row r="98" spans="1:12" ht="13" x14ac:dyDescent="0.15">
      <c r="A98" s="7">
        <f ca="1">'TikTok Ads Raw Data'!A98</f>
        <v>45754</v>
      </c>
      <c r="B98" s="8">
        <f t="shared" ca="1" si="0"/>
        <v>4</v>
      </c>
      <c r="C98" s="24">
        <f ca="1">'TikTok Ads Raw Data'!B98</f>
        <v>95139</v>
      </c>
      <c r="D98" s="20">
        <f t="shared" ca="1" si="1"/>
        <v>2.9493688182553948E-2</v>
      </c>
      <c r="E98" s="8">
        <f ca="1">'TikTok Ads Raw Data'!C98</f>
        <v>2806</v>
      </c>
      <c r="F98" s="9">
        <f t="shared" ca="1" si="2"/>
        <v>1.0908766928011404</v>
      </c>
      <c r="G98" s="9">
        <f t="shared" ca="1" si="3"/>
        <v>32.173977023092526</v>
      </c>
      <c r="H98" s="9">
        <f ca="1">'TikTok Ads Raw Data'!D98</f>
        <v>3061</v>
      </c>
      <c r="I98" s="20">
        <f t="shared" ca="1" si="4"/>
        <v>1.8175338560228082E-2</v>
      </c>
      <c r="J98" s="8">
        <f ca="1">'TikTok Ads Raw Data'!E98</f>
        <v>51</v>
      </c>
      <c r="K98" s="9">
        <f t="shared" ca="1" si="5"/>
        <v>145.68627450980392</v>
      </c>
      <c r="L98" s="9">
        <f ca="1">'TikTok Ads Raw Data'!F98</f>
        <v>7430</v>
      </c>
    </row>
    <row r="99" spans="1:12" ht="13" x14ac:dyDescent="0.15">
      <c r="A99" s="7">
        <f ca="1">'TikTok Ads Raw Data'!A99</f>
        <v>45755</v>
      </c>
      <c r="B99" s="8">
        <f t="shared" ca="1" si="0"/>
        <v>4</v>
      </c>
      <c r="C99" s="24">
        <f ca="1">'TikTok Ads Raw Data'!B99</f>
        <v>102095</v>
      </c>
      <c r="D99" s="20">
        <f t="shared" ca="1" si="1"/>
        <v>2.3017777560115579E-2</v>
      </c>
      <c r="E99" s="8">
        <f ca="1">'TikTok Ads Raw Data'!C99</f>
        <v>2350</v>
      </c>
      <c r="F99" s="9">
        <f t="shared" ca="1" si="2"/>
        <v>1.2357446808510639</v>
      </c>
      <c r="G99" s="9">
        <f t="shared" ca="1" si="3"/>
        <v>28.444096184925804</v>
      </c>
      <c r="H99" s="9">
        <f ca="1">'TikTok Ads Raw Data'!D99</f>
        <v>2904</v>
      </c>
      <c r="I99" s="20">
        <f t="shared" ca="1" si="4"/>
        <v>1.5744680851063831E-2</v>
      </c>
      <c r="J99" s="8">
        <f ca="1">'TikTok Ads Raw Data'!E99</f>
        <v>37</v>
      </c>
      <c r="K99" s="9">
        <f t="shared" ca="1" si="5"/>
        <v>187.08108108108109</v>
      </c>
      <c r="L99" s="9">
        <f ca="1">'TikTok Ads Raw Data'!F99</f>
        <v>6922</v>
      </c>
    </row>
    <row r="100" spans="1:12" ht="13" x14ac:dyDescent="0.15">
      <c r="A100" s="7">
        <f ca="1">'TikTok Ads Raw Data'!A100</f>
        <v>45756</v>
      </c>
      <c r="B100" s="8">
        <f t="shared" ca="1" si="0"/>
        <v>4</v>
      </c>
      <c r="C100" s="24">
        <f ca="1">'TikTok Ads Raw Data'!B100</f>
        <v>66319</v>
      </c>
      <c r="D100" s="20">
        <f t="shared" ca="1" si="1"/>
        <v>1.1881964444578477E-2</v>
      </c>
      <c r="E100" s="8">
        <f ca="1">'TikTok Ads Raw Data'!C100</f>
        <v>788</v>
      </c>
      <c r="F100" s="9">
        <f t="shared" ca="1" si="2"/>
        <v>0.8616751269035533</v>
      </c>
      <c r="G100" s="9">
        <f t="shared" ca="1" si="3"/>
        <v>10.238393220645667</v>
      </c>
      <c r="H100" s="9">
        <f ca="1">'TikTok Ads Raw Data'!D100</f>
        <v>679</v>
      </c>
      <c r="I100" s="20">
        <f t="shared" ca="1" si="4"/>
        <v>1.9035532994923859E-2</v>
      </c>
      <c r="J100" s="8">
        <f ca="1">'TikTok Ads Raw Data'!E100</f>
        <v>15</v>
      </c>
      <c r="K100" s="9">
        <f t="shared" ca="1" si="5"/>
        <v>115.8</v>
      </c>
      <c r="L100" s="9">
        <f ca="1">'TikTok Ads Raw Data'!F100</f>
        <v>1737</v>
      </c>
    </row>
    <row r="101" spans="1:12" ht="13" x14ac:dyDescent="0.15">
      <c r="A101" s="7">
        <f ca="1">'TikTok Ads Raw Data'!A101</f>
        <v>45757</v>
      </c>
      <c r="B101" s="8">
        <f t="shared" ca="1" si="0"/>
        <v>4</v>
      </c>
      <c r="C101" s="24">
        <f ca="1">'TikTok Ads Raw Data'!B101</f>
        <v>64829</v>
      </c>
      <c r="D101" s="20">
        <f t="shared" ca="1" si="1"/>
        <v>1.756929769084823E-2</v>
      </c>
      <c r="E101" s="8">
        <f ca="1">'TikTok Ads Raw Data'!C101</f>
        <v>1139</v>
      </c>
      <c r="F101" s="9">
        <f t="shared" ca="1" si="2"/>
        <v>0.84460052677787534</v>
      </c>
      <c r="G101" s="9">
        <f t="shared" ca="1" si="3"/>
        <v>14.839038084807726</v>
      </c>
      <c r="H101" s="9">
        <f ca="1">'TikTok Ads Raw Data'!D101</f>
        <v>962</v>
      </c>
      <c r="I101" s="20">
        <f t="shared" ca="1" si="4"/>
        <v>1.3169446883230905E-2</v>
      </c>
      <c r="J101" s="8">
        <f ca="1">'TikTok Ads Raw Data'!E101</f>
        <v>15</v>
      </c>
      <c r="K101" s="9">
        <f t="shared" ca="1" si="5"/>
        <v>138.46666666666667</v>
      </c>
      <c r="L101" s="9">
        <f ca="1">'TikTok Ads Raw Data'!F101</f>
        <v>2077</v>
      </c>
    </row>
    <row r="102" spans="1:12" ht="13" x14ac:dyDescent="0.15">
      <c r="A102" s="7">
        <f ca="1">'TikTok Ads Raw Data'!A102</f>
        <v>45758</v>
      </c>
      <c r="B102" s="8">
        <f t="shared" ca="1" si="0"/>
        <v>4</v>
      </c>
      <c r="C102" s="24">
        <f ca="1">'TikTok Ads Raw Data'!B102</f>
        <v>77950</v>
      </c>
      <c r="D102" s="20">
        <f t="shared" ca="1" si="1"/>
        <v>3.3636946760744066E-2</v>
      </c>
      <c r="E102" s="8">
        <f ca="1">'TikTok Ads Raw Data'!C102</f>
        <v>2622</v>
      </c>
      <c r="F102" s="9">
        <f t="shared" ca="1" si="2"/>
        <v>0.87833714721586575</v>
      </c>
      <c r="G102" s="9">
        <f t="shared" ca="1" si="3"/>
        <v>29.5445798588839</v>
      </c>
      <c r="H102" s="9">
        <f ca="1">'TikTok Ads Raw Data'!D102</f>
        <v>2303</v>
      </c>
      <c r="I102" s="20">
        <f t="shared" ca="1" si="4"/>
        <v>1.6781083142639208E-2</v>
      </c>
      <c r="J102" s="8">
        <f ca="1">'TikTok Ads Raw Data'!E102</f>
        <v>44</v>
      </c>
      <c r="K102" s="9">
        <f t="shared" ca="1" si="5"/>
        <v>186.77272727272728</v>
      </c>
      <c r="L102" s="9">
        <f ca="1">'TikTok Ads Raw Data'!F102</f>
        <v>8218</v>
      </c>
    </row>
    <row r="103" spans="1:12" ht="13" x14ac:dyDescent="0.15">
      <c r="A103" s="7">
        <f ca="1">'TikTok Ads Raw Data'!A103</f>
        <v>45759</v>
      </c>
      <c r="B103" s="8">
        <f t="shared" ca="1" si="0"/>
        <v>4</v>
      </c>
      <c r="C103" s="24">
        <f ca="1">'TikTok Ads Raw Data'!B103</f>
        <v>109882</v>
      </c>
      <c r="D103" s="20">
        <f t="shared" ca="1" si="1"/>
        <v>2.0167088331118837E-2</v>
      </c>
      <c r="E103" s="8">
        <f ca="1">'TikTok Ads Raw Data'!C103</f>
        <v>2216</v>
      </c>
      <c r="F103" s="9">
        <f t="shared" ca="1" si="2"/>
        <v>0.6827617328519856</v>
      </c>
      <c r="G103" s="9">
        <f t="shared" ca="1" si="3"/>
        <v>13.769316175533755</v>
      </c>
      <c r="H103" s="9">
        <f ca="1">'TikTok Ads Raw Data'!D103</f>
        <v>1513</v>
      </c>
      <c r="I103" s="20">
        <f t="shared" ca="1" si="4"/>
        <v>1.128158844765343E-2</v>
      </c>
      <c r="J103" s="8">
        <f ca="1">'TikTok Ads Raw Data'!E103</f>
        <v>25</v>
      </c>
      <c r="K103" s="9">
        <f t="shared" ca="1" si="5"/>
        <v>119.96</v>
      </c>
      <c r="L103" s="9">
        <f ca="1">'TikTok Ads Raw Data'!F103</f>
        <v>2999</v>
      </c>
    </row>
    <row r="104" spans="1:12" ht="13" x14ac:dyDescent="0.15">
      <c r="A104" s="7">
        <f ca="1">'TikTok Ads Raw Data'!A104</f>
        <v>45760</v>
      </c>
      <c r="B104" s="8">
        <f t="shared" ca="1" si="0"/>
        <v>4</v>
      </c>
      <c r="C104" s="24">
        <f ca="1">'TikTok Ads Raw Data'!B104</f>
        <v>30168</v>
      </c>
      <c r="D104" s="20">
        <f t="shared" ca="1" si="1"/>
        <v>1.7700875099443118E-2</v>
      </c>
      <c r="E104" s="8">
        <f ca="1">'TikTok Ads Raw Data'!C104</f>
        <v>534</v>
      </c>
      <c r="F104" s="9">
        <f t="shared" ca="1" si="2"/>
        <v>1.0767790262172285</v>
      </c>
      <c r="G104" s="9">
        <f t="shared" ca="1" si="3"/>
        <v>19.059931052771148</v>
      </c>
      <c r="H104" s="9">
        <f ca="1">'TikTok Ads Raw Data'!D104</f>
        <v>575</v>
      </c>
      <c r="I104" s="20">
        <f t="shared" ca="1" si="4"/>
        <v>1.3108614232209739E-2</v>
      </c>
      <c r="J104" s="8">
        <f ca="1">'TikTok Ads Raw Data'!E104</f>
        <v>7</v>
      </c>
      <c r="K104" s="9">
        <f t="shared" ca="1" si="5"/>
        <v>164.14285714285714</v>
      </c>
      <c r="L104" s="9">
        <f ca="1">'TikTok Ads Raw Data'!F104</f>
        <v>1149</v>
      </c>
    </row>
    <row r="105" spans="1:12" ht="13" x14ac:dyDescent="0.15">
      <c r="A105" s="7">
        <f ca="1">'TikTok Ads Raw Data'!A105</f>
        <v>45761</v>
      </c>
      <c r="B105" s="8">
        <f t="shared" ca="1" si="0"/>
        <v>4</v>
      </c>
      <c r="C105" s="24">
        <f ca="1">'TikTok Ads Raw Data'!B105</f>
        <v>87700</v>
      </c>
      <c r="D105" s="20">
        <f t="shared" ca="1" si="1"/>
        <v>1.3831242873432155E-2</v>
      </c>
      <c r="E105" s="8">
        <f ca="1">'TikTok Ads Raw Data'!C105</f>
        <v>1213</v>
      </c>
      <c r="F105" s="9">
        <f t="shared" ca="1" si="2"/>
        <v>0.93322341302555645</v>
      </c>
      <c r="G105" s="9">
        <f t="shared" ca="1" si="3"/>
        <v>12.90763968072976</v>
      </c>
      <c r="H105" s="9">
        <f ca="1">'TikTok Ads Raw Data'!D105</f>
        <v>1132</v>
      </c>
      <c r="I105" s="20">
        <f t="shared" ca="1" si="4"/>
        <v>2.2258862324814509E-2</v>
      </c>
      <c r="J105" s="8">
        <f ca="1">'TikTok Ads Raw Data'!E105</f>
        <v>27</v>
      </c>
      <c r="K105" s="9">
        <f t="shared" ca="1" si="5"/>
        <v>161.81481481481481</v>
      </c>
      <c r="L105" s="9">
        <f ca="1">'TikTok Ads Raw Data'!F105</f>
        <v>4369</v>
      </c>
    </row>
    <row r="106" spans="1:12" ht="13" x14ac:dyDescent="0.15">
      <c r="A106" s="7">
        <f ca="1">'TikTok Ads Raw Data'!A106</f>
        <v>45762</v>
      </c>
      <c r="B106" s="8">
        <f t="shared" ca="1" si="0"/>
        <v>4</v>
      </c>
      <c r="C106" s="24">
        <f ca="1">'TikTok Ads Raw Data'!B106</f>
        <v>97251</v>
      </c>
      <c r="D106" s="20">
        <f t="shared" ca="1" si="1"/>
        <v>2.6693812917090828E-2</v>
      </c>
      <c r="E106" s="8">
        <f ca="1">'TikTok Ads Raw Data'!C106</f>
        <v>2596</v>
      </c>
      <c r="F106" s="9">
        <f t="shared" ca="1" si="2"/>
        <v>1.2950693374422189</v>
      </c>
      <c r="G106" s="9">
        <f t="shared" ca="1" si="3"/>
        <v>34.570338608343356</v>
      </c>
      <c r="H106" s="9">
        <f ca="1">'TikTok Ads Raw Data'!D106</f>
        <v>3362</v>
      </c>
      <c r="I106" s="20">
        <f t="shared" ca="1" si="4"/>
        <v>1.5793528505392913E-2</v>
      </c>
      <c r="J106" s="8">
        <f ca="1">'TikTok Ads Raw Data'!E106</f>
        <v>41</v>
      </c>
      <c r="K106" s="9">
        <f t="shared" ca="1" si="5"/>
        <v>200.41463414634146</v>
      </c>
      <c r="L106" s="9">
        <f ca="1">'TikTok Ads Raw Data'!F106</f>
        <v>8217</v>
      </c>
    </row>
    <row r="107" spans="1:12" ht="13" x14ac:dyDescent="0.15">
      <c r="A107" s="7">
        <f ca="1">'TikTok Ads Raw Data'!A107</f>
        <v>45763</v>
      </c>
      <c r="B107" s="8">
        <f t="shared" ca="1" si="0"/>
        <v>4</v>
      </c>
      <c r="C107" s="24">
        <f ca="1">'TikTok Ads Raw Data'!B107</f>
        <v>34338</v>
      </c>
      <c r="D107" s="20">
        <f t="shared" ca="1" si="1"/>
        <v>1.3629215446444173E-2</v>
      </c>
      <c r="E107" s="8">
        <f ca="1">'TikTok Ads Raw Data'!C107</f>
        <v>468</v>
      </c>
      <c r="F107" s="9">
        <f t="shared" ca="1" si="2"/>
        <v>0.62393162393162394</v>
      </c>
      <c r="G107" s="9">
        <f t="shared" ca="1" si="3"/>
        <v>8.5036985264138849</v>
      </c>
      <c r="H107" s="9">
        <f ca="1">'TikTok Ads Raw Data'!D107</f>
        <v>292</v>
      </c>
      <c r="I107" s="20">
        <f t="shared" ca="1" si="4"/>
        <v>2.1367521367521368E-2</v>
      </c>
      <c r="J107" s="8">
        <f ca="1">'TikTok Ads Raw Data'!E107</f>
        <v>10</v>
      </c>
      <c r="K107" s="9">
        <f t="shared" ca="1" si="5"/>
        <v>168.6</v>
      </c>
      <c r="L107" s="9">
        <f ca="1">'TikTok Ads Raw Data'!F107</f>
        <v>1686</v>
      </c>
    </row>
    <row r="108" spans="1:12" ht="13" x14ac:dyDescent="0.15">
      <c r="A108" s="7">
        <f ca="1">'TikTok Ads Raw Data'!A108</f>
        <v>45764</v>
      </c>
      <c r="B108" s="8">
        <f t="shared" ca="1" si="0"/>
        <v>4</v>
      </c>
      <c r="C108" s="24">
        <f ca="1">'TikTok Ads Raw Data'!B108</f>
        <v>97838</v>
      </c>
      <c r="D108" s="20">
        <f t="shared" ca="1" si="1"/>
        <v>1.2132300333203868E-2</v>
      </c>
      <c r="E108" s="8">
        <f ca="1">'TikTok Ads Raw Data'!C108</f>
        <v>1187</v>
      </c>
      <c r="F108" s="9">
        <f t="shared" ca="1" si="2"/>
        <v>1.3647851727042966</v>
      </c>
      <c r="G108" s="9">
        <f t="shared" ca="1" si="3"/>
        <v>16.557983605552035</v>
      </c>
      <c r="H108" s="9">
        <f ca="1">'TikTok Ads Raw Data'!D108</f>
        <v>1620</v>
      </c>
      <c r="I108" s="20">
        <f t="shared" ca="1" si="4"/>
        <v>2.1903959561920809E-2</v>
      </c>
      <c r="J108" s="8">
        <f ca="1">'TikTok Ads Raw Data'!E108</f>
        <v>26</v>
      </c>
      <c r="K108" s="9">
        <f t="shared" ca="1" si="5"/>
        <v>175.11538461538461</v>
      </c>
      <c r="L108" s="9">
        <f ca="1">'TikTok Ads Raw Data'!F108</f>
        <v>4553</v>
      </c>
    </row>
    <row r="109" spans="1:12" ht="13" x14ac:dyDescent="0.15">
      <c r="A109" s="7">
        <f ca="1">'TikTok Ads Raw Data'!A109</f>
        <v>45765</v>
      </c>
      <c r="B109" s="8">
        <f t="shared" ca="1" si="0"/>
        <v>4</v>
      </c>
      <c r="C109" s="24">
        <f ca="1">'TikTok Ads Raw Data'!B109</f>
        <v>111480</v>
      </c>
      <c r="D109" s="20">
        <f t="shared" ca="1" si="1"/>
        <v>2.1420882669537136E-2</v>
      </c>
      <c r="E109" s="8">
        <f ca="1">'TikTok Ads Raw Data'!C109</f>
        <v>2388</v>
      </c>
      <c r="F109" s="9">
        <f t="shared" ca="1" si="2"/>
        <v>0.80946398659966501</v>
      </c>
      <c r="G109" s="9">
        <f t="shared" ca="1" si="3"/>
        <v>17.339433082167204</v>
      </c>
      <c r="H109" s="9">
        <f ca="1">'TikTok Ads Raw Data'!D109</f>
        <v>1933</v>
      </c>
      <c r="I109" s="20">
        <f t="shared" ca="1" si="4"/>
        <v>2.2613065326633167E-2</v>
      </c>
      <c r="J109" s="8">
        <f ca="1">'TikTok Ads Raw Data'!E109</f>
        <v>54</v>
      </c>
      <c r="K109" s="9">
        <f t="shared" ca="1" si="5"/>
        <v>143.40740740740742</v>
      </c>
      <c r="L109" s="9">
        <f ca="1">'TikTok Ads Raw Data'!F109</f>
        <v>7744</v>
      </c>
    </row>
    <row r="110" spans="1:12" ht="13" x14ac:dyDescent="0.15">
      <c r="A110" s="7">
        <f ca="1">'TikTok Ads Raw Data'!A110</f>
        <v>45766</v>
      </c>
      <c r="B110" s="8">
        <f t="shared" ca="1" si="0"/>
        <v>4</v>
      </c>
      <c r="C110" s="24">
        <f ca="1">'TikTok Ads Raw Data'!B110</f>
        <v>31279</v>
      </c>
      <c r="D110" s="20">
        <f t="shared" ca="1" si="1"/>
        <v>1.6113047092298348E-2</v>
      </c>
      <c r="E110" s="8">
        <f ca="1">'TikTok Ads Raw Data'!C110</f>
        <v>504</v>
      </c>
      <c r="F110" s="9">
        <f t="shared" ca="1" si="2"/>
        <v>1.1805555555555556</v>
      </c>
      <c r="G110" s="9">
        <f t="shared" ca="1" si="3"/>
        <v>19.022347261741103</v>
      </c>
      <c r="H110" s="9">
        <f ca="1">'TikTok Ads Raw Data'!D110</f>
        <v>595</v>
      </c>
      <c r="I110" s="20">
        <f t="shared" ca="1" si="4"/>
        <v>9.9206349206349201E-3</v>
      </c>
      <c r="J110" s="8">
        <f ca="1">'TikTok Ads Raw Data'!E110</f>
        <v>5</v>
      </c>
      <c r="K110" s="9">
        <f t="shared" ca="1" si="5"/>
        <v>166.4</v>
      </c>
      <c r="L110" s="9">
        <f ca="1">'TikTok Ads Raw Data'!F110</f>
        <v>832</v>
      </c>
    </row>
    <row r="111" spans="1:12" ht="13" x14ac:dyDescent="0.15">
      <c r="A111" s="7">
        <f ca="1">'TikTok Ads Raw Data'!A111</f>
        <v>45767</v>
      </c>
      <c r="B111" s="8">
        <f t="shared" ca="1" si="0"/>
        <v>4</v>
      </c>
      <c r="C111" s="24">
        <f ca="1">'TikTok Ads Raw Data'!B111</f>
        <v>50596</v>
      </c>
      <c r="D111" s="20">
        <f t="shared" ca="1" si="1"/>
        <v>1.7847260653016048E-2</v>
      </c>
      <c r="E111" s="8">
        <f ca="1">'TikTok Ads Raw Data'!C111</f>
        <v>903</v>
      </c>
      <c r="F111" s="9">
        <f t="shared" ca="1" si="2"/>
        <v>1.0265780730897009</v>
      </c>
      <c r="G111" s="9">
        <f t="shared" ca="1" si="3"/>
        <v>18.321606451102856</v>
      </c>
      <c r="H111" s="9">
        <f ca="1">'TikTok Ads Raw Data'!D111</f>
        <v>927</v>
      </c>
      <c r="I111" s="20">
        <f t="shared" ca="1" si="4"/>
        <v>2.3255813953488372E-2</v>
      </c>
      <c r="J111" s="8">
        <f ca="1">'TikTok Ads Raw Data'!E111</f>
        <v>21</v>
      </c>
      <c r="K111" s="9">
        <f t="shared" ca="1" si="5"/>
        <v>180</v>
      </c>
      <c r="L111" s="9">
        <f ca="1">'TikTok Ads Raw Data'!F111</f>
        <v>3780</v>
      </c>
    </row>
    <row r="112" spans="1:12" ht="13" x14ac:dyDescent="0.15">
      <c r="A112" s="7">
        <f ca="1">'TikTok Ads Raw Data'!A112</f>
        <v>45768</v>
      </c>
      <c r="B112" s="8">
        <f t="shared" ca="1" si="0"/>
        <v>4</v>
      </c>
      <c r="C112" s="24">
        <f ca="1">'TikTok Ads Raw Data'!B112</f>
        <v>100697</v>
      </c>
      <c r="D112" s="20">
        <f t="shared" ca="1" si="1"/>
        <v>2.6753527910464064E-2</v>
      </c>
      <c r="E112" s="8">
        <f ca="1">'TikTok Ads Raw Data'!C112</f>
        <v>2694</v>
      </c>
      <c r="F112" s="9">
        <f t="shared" ca="1" si="2"/>
        <v>1.0850037119524869</v>
      </c>
      <c r="G112" s="9">
        <f t="shared" ca="1" si="3"/>
        <v>29.027677090677972</v>
      </c>
      <c r="H112" s="9">
        <f ca="1">'TikTok Ads Raw Data'!D112</f>
        <v>2923</v>
      </c>
      <c r="I112" s="20">
        <f t="shared" ca="1" si="4"/>
        <v>2.5612472160356347E-2</v>
      </c>
      <c r="J112" s="8">
        <f ca="1">'TikTok Ads Raw Data'!E112</f>
        <v>69</v>
      </c>
      <c r="K112" s="9">
        <f t="shared" ca="1" si="5"/>
        <v>163.53623188405797</v>
      </c>
      <c r="L112" s="9">
        <f ca="1">'TikTok Ads Raw Data'!F112</f>
        <v>11284</v>
      </c>
    </row>
    <row r="113" spans="1:12" ht="13" x14ac:dyDescent="0.15">
      <c r="A113" s="7">
        <f ca="1">'TikTok Ads Raw Data'!A113</f>
        <v>45769</v>
      </c>
      <c r="B113" s="8">
        <f t="shared" ca="1" si="0"/>
        <v>4</v>
      </c>
      <c r="C113" s="24">
        <f ca="1">'TikTok Ads Raw Data'!B113</f>
        <v>102536</v>
      </c>
      <c r="D113" s="20">
        <f t="shared" ca="1" si="1"/>
        <v>2.2957790434579076E-2</v>
      </c>
      <c r="E113" s="8">
        <f ca="1">'TikTok Ads Raw Data'!C113</f>
        <v>2354</v>
      </c>
      <c r="F113" s="9">
        <f t="shared" ca="1" si="2"/>
        <v>1.1898895497026338</v>
      </c>
      <c r="G113" s="9">
        <f t="shared" ca="1" si="3"/>
        <v>27.31723492236873</v>
      </c>
      <c r="H113" s="9">
        <f ca="1">'TikTok Ads Raw Data'!D113</f>
        <v>2801</v>
      </c>
      <c r="I113" s="20">
        <f t="shared" ca="1" si="4"/>
        <v>1.5293118096856415E-2</v>
      </c>
      <c r="J113" s="8">
        <f ca="1">'TikTok Ads Raw Data'!E113</f>
        <v>36</v>
      </c>
      <c r="K113" s="9">
        <f t="shared" ca="1" si="5"/>
        <v>160.08333333333334</v>
      </c>
      <c r="L113" s="9">
        <f ca="1">'TikTok Ads Raw Data'!F113</f>
        <v>5763</v>
      </c>
    </row>
    <row r="114" spans="1:12" ht="13" x14ac:dyDescent="0.15">
      <c r="A114" s="7">
        <f ca="1">'TikTok Ads Raw Data'!A114</f>
        <v>45770</v>
      </c>
      <c r="B114" s="8">
        <f t="shared" ca="1" si="0"/>
        <v>4</v>
      </c>
      <c r="C114" s="24">
        <f ca="1">'TikTok Ads Raw Data'!B114</f>
        <v>89706</v>
      </c>
      <c r="D114" s="20">
        <f t="shared" ca="1" si="1"/>
        <v>3.1235368871647382E-2</v>
      </c>
      <c r="E114" s="8">
        <f ca="1">'TikTok Ads Raw Data'!C114</f>
        <v>2802</v>
      </c>
      <c r="F114" s="9">
        <f t="shared" ca="1" si="2"/>
        <v>0.54782298358315484</v>
      </c>
      <c r="G114" s="9">
        <f t="shared" ca="1" si="3"/>
        <v>17.111452968586271</v>
      </c>
      <c r="H114" s="9">
        <f ca="1">'TikTok Ads Raw Data'!D114</f>
        <v>1535</v>
      </c>
      <c r="I114" s="20">
        <f t="shared" ca="1" si="4"/>
        <v>1.8558172733761598E-2</v>
      </c>
      <c r="J114" s="8">
        <f ca="1">'TikTok Ads Raw Data'!E114</f>
        <v>52</v>
      </c>
      <c r="K114" s="9">
        <f t="shared" ca="1" si="5"/>
        <v>148.53846153846155</v>
      </c>
      <c r="L114" s="9">
        <f ca="1">'TikTok Ads Raw Data'!F114</f>
        <v>7724</v>
      </c>
    </row>
    <row r="115" spans="1:12" ht="13" x14ac:dyDescent="0.15">
      <c r="A115" s="7">
        <f ca="1">'TikTok Ads Raw Data'!A115</f>
        <v>45771</v>
      </c>
      <c r="B115" s="8">
        <f t="shared" ca="1" si="0"/>
        <v>4</v>
      </c>
      <c r="C115" s="24">
        <f ca="1">'TikTok Ads Raw Data'!B115</f>
        <v>101868</v>
      </c>
      <c r="D115" s="20">
        <f t="shared" ca="1" si="1"/>
        <v>1.1583618015471002E-2</v>
      </c>
      <c r="E115" s="8">
        <f ca="1">'TikTok Ads Raw Data'!C115</f>
        <v>1180</v>
      </c>
      <c r="F115" s="9">
        <f t="shared" ca="1" si="2"/>
        <v>1.4635593220338983</v>
      </c>
      <c r="G115" s="9">
        <f t="shared" ca="1" si="3"/>
        <v>16.95331212942239</v>
      </c>
      <c r="H115" s="9">
        <f ca="1">'TikTok Ads Raw Data'!D115</f>
        <v>1727</v>
      </c>
      <c r="I115" s="20">
        <f t="shared" ca="1" si="4"/>
        <v>2.4576271186440679E-2</v>
      </c>
      <c r="J115" s="8">
        <f ca="1">'TikTok Ads Raw Data'!E115</f>
        <v>29</v>
      </c>
      <c r="K115" s="9">
        <f t="shared" ca="1" si="5"/>
        <v>156</v>
      </c>
      <c r="L115" s="9">
        <f ca="1">'TikTok Ads Raw Data'!F115</f>
        <v>4524</v>
      </c>
    </row>
    <row r="116" spans="1:12" ht="13" x14ac:dyDescent="0.15">
      <c r="A116" s="7">
        <f ca="1">'TikTok Ads Raw Data'!A116</f>
        <v>45772</v>
      </c>
      <c r="B116" s="8">
        <f t="shared" ca="1" si="0"/>
        <v>4</v>
      </c>
      <c r="C116" s="24">
        <f ca="1">'TikTok Ads Raw Data'!B116</f>
        <v>51639</v>
      </c>
      <c r="D116" s="20">
        <f t="shared" ca="1" si="1"/>
        <v>2.6375413931330971E-2</v>
      </c>
      <c r="E116" s="8">
        <f ca="1">'TikTok Ads Raw Data'!C116</f>
        <v>1362</v>
      </c>
      <c r="F116" s="9">
        <f t="shared" ca="1" si="2"/>
        <v>1.2055800293685757</v>
      </c>
      <c r="G116" s="9">
        <f t="shared" ca="1" si="3"/>
        <v>31.797672301942328</v>
      </c>
      <c r="H116" s="9">
        <f ca="1">'TikTok Ads Raw Data'!D116</f>
        <v>1642</v>
      </c>
      <c r="I116" s="20">
        <f t="shared" ca="1" si="4"/>
        <v>2.0558002936857563E-2</v>
      </c>
      <c r="J116" s="8">
        <f ca="1">'TikTok Ads Raw Data'!E116</f>
        <v>28</v>
      </c>
      <c r="K116" s="9">
        <f t="shared" ca="1" si="5"/>
        <v>202.46428571428572</v>
      </c>
      <c r="L116" s="9">
        <f ca="1">'TikTok Ads Raw Data'!F116</f>
        <v>5669</v>
      </c>
    </row>
    <row r="117" spans="1:12" ht="13" x14ac:dyDescent="0.15">
      <c r="A117" s="7">
        <f ca="1">'TikTok Ads Raw Data'!A117</f>
        <v>45773</v>
      </c>
      <c r="B117" s="8">
        <f t="shared" ca="1" si="0"/>
        <v>4</v>
      </c>
      <c r="C117" s="24">
        <f ca="1">'TikTok Ads Raw Data'!B117</f>
        <v>84816</v>
      </c>
      <c r="D117" s="20">
        <f t="shared" ca="1" si="1"/>
        <v>1.4843897377853235E-2</v>
      </c>
      <c r="E117" s="8">
        <f ca="1">'TikTok Ads Raw Data'!C117</f>
        <v>1259</v>
      </c>
      <c r="F117" s="9">
        <f t="shared" ca="1" si="2"/>
        <v>1.1143764892772041</v>
      </c>
      <c r="G117" s="9">
        <f t="shared" ca="1" si="3"/>
        <v>16.541690247123185</v>
      </c>
      <c r="H117" s="9">
        <f ca="1">'TikTok Ads Raw Data'!D117</f>
        <v>1403</v>
      </c>
      <c r="I117" s="20">
        <f t="shared" ca="1" si="4"/>
        <v>2.1445591739475776E-2</v>
      </c>
      <c r="J117" s="8">
        <f ca="1">'TikTok Ads Raw Data'!E117</f>
        <v>27</v>
      </c>
      <c r="K117" s="9">
        <f t="shared" ca="1" si="5"/>
        <v>171.4814814814815</v>
      </c>
      <c r="L117" s="9">
        <f ca="1">'TikTok Ads Raw Data'!F117</f>
        <v>4630</v>
      </c>
    </row>
    <row r="118" spans="1:12" ht="13" x14ac:dyDescent="0.15">
      <c r="A118" s="7">
        <f ca="1">'TikTok Ads Raw Data'!A118</f>
        <v>45774</v>
      </c>
      <c r="B118" s="8">
        <f t="shared" ca="1" si="0"/>
        <v>4</v>
      </c>
      <c r="C118" s="24">
        <f ca="1">'TikTok Ads Raw Data'!B118</f>
        <v>39447</v>
      </c>
      <c r="D118" s="20">
        <f t="shared" ca="1" si="1"/>
        <v>1.6629908484802391E-2</v>
      </c>
      <c r="E118" s="8">
        <f ca="1">'TikTok Ads Raw Data'!C118</f>
        <v>656</v>
      </c>
      <c r="F118" s="9">
        <f t="shared" ca="1" si="2"/>
        <v>1.1737804878048781</v>
      </c>
      <c r="G118" s="9">
        <f t="shared" ca="1" si="3"/>
        <v>19.519862093441834</v>
      </c>
      <c r="H118" s="9">
        <f ca="1">'TikTok Ads Raw Data'!D118</f>
        <v>770</v>
      </c>
      <c r="I118" s="20">
        <f t="shared" ca="1" si="4"/>
        <v>1.676829268292683E-2</v>
      </c>
      <c r="J118" s="8">
        <f ca="1">'TikTok Ads Raw Data'!E118</f>
        <v>11</v>
      </c>
      <c r="K118" s="9">
        <f t="shared" ca="1" si="5"/>
        <v>137.09090909090909</v>
      </c>
      <c r="L118" s="9">
        <f ca="1">'TikTok Ads Raw Data'!F118</f>
        <v>1508</v>
      </c>
    </row>
    <row r="119" spans="1:12" ht="13" x14ac:dyDescent="0.15">
      <c r="A119" s="7">
        <f ca="1">'TikTok Ads Raw Data'!A119</f>
        <v>45775</v>
      </c>
      <c r="B119" s="8">
        <f t="shared" ca="1" si="0"/>
        <v>4</v>
      </c>
      <c r="C119" s="24">
        <f ca="1">'TikTok Ads Raw Data'!B119</f>
        <v>76707</v>
      </c>
      <c r="D119" s="20">
        <f t="shared" ca="1" si="1"/>
        <v>1.1459188861511987E-2</v>
      </c>
      <c r="E119" s="8">
        <f ca="1">'TikTok Ads Raw Data'!C119</f>
        <v>879</v>
      </c>
      <c r="F119" s="9">
        <f t="shared" ca="1" si="2"/>
        <v>0.83390216154721275</v>
      </c>
      <c r="G119" s="9">
        <f t="shared" ca="1" si="3"/>
        <v>9.5558423611925907</v>
      </c>
      <c r="H119" s="9">
        <f ca="1">'TikTok Ads Raw Data'!D119</f>
        <v>733</v>
      </c>
      <c r="I119" s="20">
        <f t="shared" ca="1" si="4"/>
        <v>1.9340159271899887E-2</v>
      </c>
      <c r="J119" s="8">
        <f ca="1">'TikTok Ads Raw Data'!E119</f>
        <v>17</v>
      </c>
      <c r="K119" s="9">
        <f t="shared" ca="1" si="5"/>
        <v>173.76470588235293</v>
      </c>
      <c r="L119" s="9">
        <f ca="1">'TikTok Ads Raw Data'!F119</f>
        <v>2954</v>
      </c>
    </row>
    <row r="120" spans="1:12" ht="13" x14ac:dyDescent="0.15">
      <c r="A120" s="7">
        <f ca="1">'TikTok Ads Raw Data'!A120</f>
        <v>45776</v>
      </c>
      <c r="B120" s="8">
        <f t="shared" ca="1" si="0"/>
        <v>4</v>
      </c>
      <c r="C120" s="24">
        <f ca="1">'TikTok Ads Raw Data'!B120</f>
        <v>53101</v>
      </c>
      <c r="D120" s="20">
        <f t="shared" ca="1" si="1"/>
        <v>1.8700212802018796E-2</v>
      </c>
      <c r="E120" s="8">
        <f ca="1">'TikTok Ads Raw Data'!C120</f>
        <v>993</v>
      </c>
      <c r="F120" s="9">
        <f t="shared" ca="1" si="2"/>
        <v>0.83585095669687814</v>
      </c>
      <c r="G120" s="9">
        <f t="shared" ca="1" si="3"/>
        <v>15.630590761002617</v>
      </c>
      <c r="H120" s="9">
        <f ca="1">'TikTok Ads Raw Data'!D120</f>
        <v>830</v>
      </c>
      <c r="I120" s="20">
        <f t="shared" ca="1" si="4"/>
        <v>1.9133937562940583E-2</v>
      </c>
      <c r="J120" s="8">
        <f ca="1">'TikTok Ads Raw Data'!E120</f>
        <v>19</v>
      </c>
      <c r="K120" s="9">
        <f t="shared" ca="1" si="5"/>
        <v>145.84210526315789</v>
      </c>
      <c r="L120" s="9">
        <f ca="1">'TikTok Ads Raw Data'!F120</f>
        <v>2771</v>
      </c>
    </row>
    <row r="121" spans="1:12" ht="13" x14ac:dyDescent="0.15">
      <c r="A121" s="7">
        <f ca="1">'TikTok Ads Raw Data'!A121</f>
        <v>45777</v>
      </c>
      <c r="B121" s="8">
        <f t="shared" ca="1" si="0"/>
        <v>4</v>
      </c>
      <c r="C121" s="24">
        <f ca="1">'TikTok Ads Raw Data'!B121</f>
        <v>76471</v>
      </c>
      <c r="D121" s="20">
        <f t="shared" ca="1" si="1"/>
        <v>2.2178342116619371E-2</v>
      </c>
      <c r="E121" s="8">
        <f ca="1">'TikTok Ads Raw Data'!C121</f>
        <v>1696</v>
      </c>
      <c r="F121" s="9">
        <f t="shared" ca="1" si="2"/>
        <v>1.0430424528301887</v>
      </c>
      <c r="G121" s="9">
        <f t="shared" ca="1" si="3"/>
        <v>23.132952361025747</v>
      </c>
      <c r="H121" s="9">
        <f ca="1">'TikTok Ads Raw Data'!D121</f>
        <v>1769</v>
      </c>
      <c r="I121" s="20">
        <f t="shared" ca="1" si="4"/>
        <v>1.7688679245283018E-2</v>
      </c>
      <c r="J121" s="8">
        <f ca="1">'TikTok Ads Raw Data'!E121</f>
        <v>30</v>
      </c>
      <c r="K121" s="9">
        <f t="shared" ca="1" si="5"/>
        <v>137.13333333333333</v>
      </c>
      <c r="L121" s="9">
        <f ca="1">'TikTok Ads Raw Data'!F121</f>
        <v>4114</v>
      </c>
    </row>
    <row r="122" spans="1:12" ht="13" x14ac:dyDescent="0.15">
      <c r="A122" s="7">
        <f ca="1">'TikTok Ads Raw Data'!A122</f>
        <v>45778</v>
      </c>
      <c r="B122" s="8">
        <f t="shared" ca="1" si="0"/>
        <v>5</v>
      </c>
      <c r="C122" s="24">
        <f ca="1">'TikTok Ads Raw Data'!B122</f>
        <v>24448</v>
      </c>
      <c r="D122" s="20">
        <f t="shared" ca="1" si="1"/>
        <v>1.0471204188481676E-2</v>
      </c>
      <c r="E122" s="8">
        <f ca="1">'TikTok Ads Raw Data'!C122</f>
        <v>256</v>
      </c>
      <c r="F122" s="9">
        <f t="shared" ca="1" si="2"/>
        <v>0.9296875</v>
      </c>
      <c r="G122" s="9">
        <f t="shared" ca="1" si="3"/>
        <v>9.7349476439790568</v>
      </c>
      <c r="H122" s="9">
        <f ca="1">'TikTok Ads Raw Data'!D122</f>
        <v>238</v>
      </c>
      <c r="I122" s="20">
        <f t="shared" ca="1" si="4"/>
        <v>1.953125E-2</v>
      </c>
      <c r="J122" s="8">
        <f ca="1">'TikTok Ads Raw Data'!E122</f>
        <v>5</v>
      </c>
      <c r="K122" s="9">
        <f t="shared" ca="1" si="5"/>
        <v>153.19999999999999</v>
      </c>
      <c r="L122" s="9">
        <f ca="1">'TikTok Ads Raw Data'!F122</f>
        <v>766</v>
      </c>
    </row>
    <row r="123" spans="1:12" ht="13" x14ac:dyDescent="0.15">
      <c r="A123" s="7">
        <f ca="1">'TikTok Ads Raw Data'!A123</f>
        <v>45779</v>
      </c>
      <c r="B123" s="8">
        <f t="shared" ca="1" si="0"/>
        <v>5</v>
      </c>
      <c r="C123" s="24">
        <f ca="1">'TikTok Ads Raw Data'!B123</f>
        <v>107312</v>
      </c>
      <c r="D123" s="20">
        <f t="shared" ca="1" si="1"/>
        <v>1.5832339346950948E-2</v>
      </c>
      <c r="E123" s="8">
        <f ca="1">'TikTok Ads Raw Data'!C123</f>
        <v>1699</v>
      </c>
      <c r="F123" s="9">
        <f t="shared" ca="1" si="2"/>
        <v>0.87639788110653327</v>
      </c>
      <c r="G123" s="9">
        <f t="shared" ca="1" si="3"/>
        <v>13.875428656627404</v>
      </c>
      <c r="H123" s="9">
        <f ca="1">'TikTok Ads Raw Data'!D123</f>
        <v>1489</v>
      </c>
      <c r="I123" s="20">
        <f t="shared" ca="1" si="4"/>
        <v>1.8246027074749854E-2</v>
      </c>
      <c r="J123" s="8">
        <f ca="1">'TikTok Ads Raw Data'!E123</f>
        <v>31</v>
      </c>
      <c r="K123" s="9">
        <f t="shared" ca="1" si="5"/>
        <v>111.25806451612904</v>
      </c>
      <c r="L123" s="9">
        <f ca="1">'TikTok Ads Raw Data'!F123</f>
        <v>3449</v>
      </c>
    </row>
    <row r="124" spans="1:12" ht="13" x14ac:dyDescent="0.15">
      <c r="A124" s="7">
        <f ca="1">'TikTok Ads Raw Data'!A124</f>
        <v>45780</v>
      </c>
      <c r="B124" s="8">
        <f t="shared" ca="1" si="0"/>
        <v>5</v>
      </c>
      <c r="C124" s="24">
        <f ca="1">'TikTok Ads Raw Data'!B124</f>
        <v>66041</v>
      </c>
      <c r="D124" s="20">
        <f t="shared" ca="1" si="1"/>
        <v>2.5771868990475615E-2</v>
      </c>
      <c r="E124" s="8">
        <f ca="1">'TikTok Ads Raw Data'!C124</f>
        <v>1702</v>
      </c>
      <c r="F124" s="9">
        <f t="shared" ca="1" si="2"/>
        <v>1.1104582843713278</v>
      </c>
      <c r="G124" s="9">
        <f t="shared" ca="1" si="3"/>
        <v>28.618585424206177</v>
      </c>
      <c r="H124" s="9">
        <f ca="1">'TikTok Ads Raw Data'!D124</f>
        <v>1890</v>
      </c>
      <c r="I124" s="20">
        <f t="shared" ca="1" si="4"/>
        <v>1.7626321974148061E-2</v>
      </c>
      <c r="J124" s="8">
        <f ca="1">'TikTok Ads Raw Data'!E124</f>
        <v>30</v>
      </c>
      <c r="K124" s="9">
        <f t="shared" ca="1" si="5"/>
        <v>141.06666666666666</v>
      </c>
      <c r="L124" s="9">
        <f ca="1">'TikTok Ads Raw Data'!F124</f>
        <v>4232</v>
      </c>
    </row>
    <row r="125" spans="1:12" ht="13" x14ac:dyDescent="0.15">
      <c r="A125" s="7">
        <f ca="1">'TikTok Ads Raw Data'!A125</f>
        <v>45781</v>
      </c>
      <c r="B125" s="8">
        <f t="shared" ca="1" si="0"/>
        <v>5</v>
      </c>
      <c r="C125" s="24">
        <f ca="1">'TikTok Ads Raw Data'!B125</f>
        <v>67456</v>
      </c>
      <c r="D125" s="20">
        <f t="shared" ca="1" si="1"/>
        <v>2.6891603415559771E-2</v>
      </c>
      <c r="E125" s="8">
        <f ca="1">'TikTok Ads Raw Data'!C125</f>
        <v>1814</v>
      </c>
      <c r="F125" s="9">
        <f t="shared" ca="1" si="2"/>
        <v>0.92778390297684676</v>
      </c>
      <c r="G125" s="9">
        <f t="shared" ca="1" si="3"/>
        <v>24.949596774193548</v>
      </c>
      <c r="H125" s="9">
        <f ca="1">'TikTok Ads Raw Data'!D125</f>
        <v>1683</v>
      </c>
      <c r="I125" s="20">
        <f t="shared" ca="1" si="4"/>
        <v>2.0948180815876516E-2</v>
      </c>
      <c r="J125" s="8">
        <f ca="1">'TikTok Ads Raw Data'!E125</f>
        <v>38</v>
      </c>
      <c r="K125" s="9">
        <f t="shared" ca="1" si="5"/>
        <v>154.94736842105263</v>
      </c>
      <c r="L125" s="9">
        <f ca="1">'TikTok Ads Raw Data'!F125</f>
        <v>5888</v>
      </c>
    </row>
    <row r="126" spans="1:12" ht="13" x14ac:dyDescent="0.15">
      <c r="A126" s="7">
        <f ca="1">'TikTok Ads Raw Data'!A126</f>
        <v>45782</v>
      </c>
      <c r="B126" s="8">
        <f t="shared" ca="1" si="0"/>
        <v>5</v>
      </c>
      <c r="C126" s="24">
        <f ca="1">'TikTok Ads Raw Data'!B126</f>
        <v>105881</v>
      </c>
      <c r="D126" s="20">
        <f t="shared" ca="1" si="1"/>
        <v>2.0693042188872413E-2</v>
      </c>
      <c r="E126" s="8">
        <f ca="1">'TikTok Ads Raw Data'!C126</f>
        <v>2191</v>
      </c>
      <c r="F126" s="9">
        <f t="shared" ca="1" si="2"/>
        <v>1.0807850296668189</v>
      </c>
      <c r="G126" s="9">
        <f t="shared" ca="1" si="3"/>
        <v>22.364730215997206</v>
      </c>
      <c r="H126" s="9">
        <f ca="1">'TikTok Ads Raw Data'!D126</f>
        <v>2368</v>
      </c>
      <c r="I126" s="20">
        <f t="shared" ca="1" si="4"/>
        <v>2.5102692834322229E-2</v>
      </c>
      <c r="J126" s="8">
        <f ca="1">'TikTok Ads Raw Data'!E126</f>
        <v>55</v>
      </c>
      <c r="K126" s="9">
        <f t="shared" ca="1" si="5"/>
        <v>151.5090909090909</v>
      </c>
      <c r="L126" s="9">
        <f ca="1">'TikTok Ads Raw Data'!F126</f>
        <v>8333</v>
      </c>
    </row>
    <row r="127" spans="1:12" ht="13" x14ac:dyDescent="0.15">
      <c r="A127" s="7">
        <f ca="1">'TikTok Ads Raw Data'!A127</f>
        <v>45783</v>
      </c>
      <c r="B127" s="8">
        <f t="shared" ca="1" si="0"/>
        <v>5</v>
      </c>
      <c r="C127" s="24">
        <f ca="1">'TikTok Ads Raw Data'!B127</f>
        <v>63438</v>
      </c>
      <c r="D127" s="20">
        <f t="shared" ca="1" si="1"/>
        <v>1.6252088653488445E-2</v>
      </c>
      <c r="E127" s="8">
        <f ca="1">'TikTok Ads Raw Data'!C127</f>
        <v>1031</v>
      </c>
      <c r="F127" s="9">
        <f t="shared" ca="1" si="2"/>
        <v>0.68768186226964112</v>
      </c>
      <c r="G127" s="9">
        <f t="shared" ca="1" si="3"/>
        <v>11.176266591002237</v>
      </c>
      <c r="H127" s="9">
        <f ca="1">'TikTok Ads Raw Data'!D127</f>
        <v>709</v>
      </c>
      <c r="I127" s="20">
        <f t="shared" ca="1" si="4"/>
        <v>2.0368574199806012E-2</v>
      </c>
      <c r="J127" s="8">
        <f ca="1">'TikTok Ads Raw Data'!E127</f>
        <v>21</v>
      </c>
      <c r="K127" s="9">
        <f t="shared" ca="1" si="5"/>
        <v>161.85714285714286</v>
      </c>
      <c r="L127" s="9">
        <f ca="1">'TikTok Ads Raw Data'!F127</f>
        <v>3399</v>
      </c>
    </row>
    <row r="128" spans="1:12" ht="13" x14ac:dyDescent="0.15">
      <c r="A128" s="7">
        <f ca="1">'TikTok Ads Raw Data'!A128</f>
        <v>45784</v>
      </c>
      <c r="B128" s="8">
        <f t="shared" ca="1" si="0"/>
        <v>5</v>
      </c>
      <c r="C128" s="24">
        <f ca="1">'TikTok Ads Raw Data'!B128</f>
        <v>80609</v>
      </c>
      <c r="D128" s="20">
        <f t="shared" ca="1" si="1"/>
        <v>2.6473470704263792E-2</v>
      </c>
      <c r="E128" s="8">
        <f ca="1">'TikTok Ads Raw Data'!C128</f>
        <v>2134</v>
      </c>
      <c r="F128" s="9">
        <f t="shared" ca="1" si="2"/>
        <v>1.3612933458294283</v>
      </c>
      <c r="G128" s="9">
        <f t="shared" ca="1" si="3"/>
        <v>36.038159510724611</v>
      </c>
      <c r="H128" s="9">
        <f ca="1">'TikTok Ads Raw Data'!D128</f>
        <v>2905</v>
      </c>
      <c r="I128" s="20">
        <f t="shared" ca="1" si="4"/>
        <v>1.5463917525773196E-2</v>
      </c>
      <c r="J128" s="8">
        <f ca="1">'TikTok Ads Raw Data'!E128</f>
        <v>33</v>
      </c>
      <c r="K128" s="9">
        <f t="shared" ca="1" si="5"/>
        <v>102.84848484848484</v>
      </c>
      <c r="L128" s="9">
        <f ca="1">'TikTok Ads Raw Data'!F128</f>
        <v>3394</v>
      </c>
    </row>
    <row r="129" spans="1:12" ht="13" x14ac:dyDescent="0.15">
      <c r="A129" s="7">
        <f ca="1">'TikTok Ads Raw Data'!A129</f>
        <v>45785</v>
      </c>
      <c r="B129" s="8">
        <f t="shared" ca="1" si="0"/>
        <v>5</v>
      </c>
      <c r="C129" s="24">
        <f ca="1">'TikTok Ads Raw Data'!B129</f>
        <v>36438</v>
      </c>
      <c r="D129" s="20">
        <f t="shared" ca="1" si="1"/>
        <v>1.4874581480871618E-2</v>
      </c>
      <c r="E129" s="8">
        <f ca="1">'TikTok Ads Raw Data'!C129</f>
        <v>542</v>
      </c>
      <c r="F129" s="9">
        <f t="shared" ca="1" si="2"/>
        <v>0.78228782287822873</v>
      </c>
      <c r="G129" s="9">
        <f t="shared" ca="1" si="3"/>
        <v>11.636203962895877</v>
      </c>
      <c r="H129" s="9">
        <f ca="1">'TikTok Ads Raw Data'!D129</f>
        <v>424</v>
      </c>
      <c r="I129" s="20">
        <f t="shared" ca="1" si="4"/>
        <v>1.2915129151291513E-2</v>
      </c>
      <c r="J129" s="8">
        <f ca="1">'TikTok Ads Raw Data'!E129</f>
        <v>7</v>
      </c>
      <c r="K129" s="9">
        <f t="shared" ca="1" si="5"/>
        <v>161</v>
      </c>
      <c r="L129" s="9">
        <f ca="1">'TikTok Ads Raw Data'!F129</f>
        <v>1127</v>
      </c>
    </row>
    <row r="130" spans="1:12" ht="13" x14ac:dyDescent="0.15">
      <c r="A130" s="7">
        <f ca="1">'TikTok Ads Raw Data'!A130</f>
        <v>45786</v>
      </c>
      <c r="B130" s="8">
        <f t="shared" ca="1" si="0"/>
        <v>5</v>
      </c>
      <c r="C130" s="24">
        <f ca="1">'TikTok Ads Raw Data'!B130</f>
        <v>85077</v>
      </c>
      <c r="D130" s="20">
        <f t="shared" ca="1" si="1"/>
        <v>2.7292922881624881E-2</v>
      </c>
      <c r="E130" s="8">
        <f ca="1">'TikTok Ads Raw Data'!C130</f>
        <v>2322</v>
      </c>
      <c r="F130" s="9">
        <f t="shared" ca="1" si="2"/>
        <v>0.859603789836348</v>
      </c>
      <c r="G130" s="9">
        <f t="shared" ca="1" si="3"/>
        <v>23.461099944755926</v>
      </c>
      <c r="H130" s="9">
        <f ca="1">'TikTok Ads Raw Data'!D130</f>
        <v>1996</v>
      </c>
      <c r="I130" s="20">
        <f t="shared" ca="1" si="4"/>
        <v>2.3686477174849268E-2</v>
      </c>
      <c r="J130" s="8">
        <f ca="1">'TikTok Ads Raw Data'!E130</f>
        <v>55</v>
      </c>
      <c r="K130" s="9">
        <f t="shared" ca="1" si="5"/>
        <v>144.52727272727273</v>
      </c>
      <c r="L130" s="9">
        <f ca="1">'TikTok Ads Raw Data'!F130</f>
        <v>7949</v>
      </c>
    </row>
    <row r="131" spans="1:12" ht="13" x14ac:dyDescent="0.15">
      <c r="A131" s="7">
        <f ca="1">'TikTok Ads Raw Data'!A131</f>
        <v>45787</v>
      </c>
      <c r="B131" s="8">
        <f t="shared" ca="1" si="0"/>
        <v>5</v>
      </c>
      <c r="C131" s="24">
        <f ca="1">'TikTok Ads Raw Data'!B131</f>
        <v>73834</v>
      </c>
      <c r="D131" s="20">
        <f t="shared" ca="1" si="1"/>
        <v>3.264078879648942E-2</v>
      </c>
      <c r="E131" s="8">
        <f ca="1">'TikTok Ads Raw Data'!C131</f>
        <v>2410</v>
      </c>
      <c r="F131" s="9">
        <f t="shared" ca="1" si="2"/>
        <v>1.1651452282157677</v>
      </c>
      <c r="G131" s="9">
        <f t="shared" ca="1" si="3"/>
        <v>38.031259311428336</v>
      </c>
      <c r="H131" s="9">
        <f ca="1">'TikTok Ads Raw Data'!D131</f>
        <v>2808</v>
      </c>
      <c r="I131" s="20">
        <f t="shared" ca="1" si="4"/>
        <v>1.9917012448132779E-2</v>
      </c>
      <c r="J131" s="8">
        <f ca="1">'TikTok Ads Raw Data'!E131</f>
        <v>48</v>
      </c>
      <c r="K131" s="9">
        <f t="shared" ca="1" si="5"/>
        <v>147.4375</v>
      </c>
      <c r="L131" s="9">
        <f ca="1">'TikTok Ads Raw Data'!F131</f>
        <v>7077</v>
      </c>
    </row>
    <row r="132" spans="1:12" ht="13" x14ac:dyDescent="0.15">
      <c r="A132" s="7">
        <f ca="1">'TikTok Ads Raw Data'!A132</f>
        <v>45788</v>
      </c>
      <c r="B132" s="8">
        <f t="shared" ca="1" si="0"/>
        <v>5</v>
      </c>
      <c r="C132" s="24">
        <f ca="1">'TikTok Ads Raw Data'!B132</f>
        <v>21139</v>
      </c>
      <c r="D132" s="20">
        <f t="shared" ca="1" si="1"/>
        <v>1.3009130043994512E-2</v>
      </c>
      <c r="E132" s="8">
        <f ca="1">'TikTok Ads Raw Data'!C132</f>
        <v>275</v>
      </c>
      <c r="F132" s="9">
        <f t="shared" ca="1" si="2"/>
        <v>1.2727272727272727</v>
      </c>
      <c r="G132" s="9">
        <f t="shared" ca="1" si="3"/>
        <v>16.55707460144756</v>
      </c>
      <c r="H132" s="9">
        <f ca="1">'TikTok Ads Raw Data'!D132</f>
        <v>350</v>
      </c>
      <c r="I132" s="20">
        <f t="shared" ca="1" si="4"/>
        <v>1.8181818181818181E-2</v>
      </c>
      <c r="J132" s="8">
        <f ca="1">'TikTok Ads Raw Data'!E132</f>
        <v>5</v>
      </c>
      <c r="K132" s="9">
        <f t="shared" ca="1" si="5"/>
        <v>123</v>
      </c>
      <c r="L132" s="9">
        <f ca="1">'TikTok Ads Raw Data'!F132</f>
        <v>615</v>
      </c>
    </row>
    <row r="133" spans="1:12" ht="13" x14ac:dyDescent="0.15">
      <c r="A133" s="7">
        <f ca="1">'TikTok Ads Raw Data'!A133</f>
        <v>45789</v>
      </c>
      <c r="B133" s="8">
        <f t="shared" ca="1" si="0"/>
        <v>5</v>
      </c>
      <c r="C133" s="24">
        <f ca="1">'TikTok Ads Raw Data'!B133</f>
        <v>37740</v>
      </c>
      <c r="D133" s="20">
        <f t="shared" ca="1" si="1"/>
        <v>2.5304716481187071E-2</v>
      </c>
      <c r="E133" s="8">
        <f ca="1">'TikTok Ads Raw Data'!C133</f>
        <v>955</v>
      </c>
      <c r="F133" s="9">
        <f t="shared" ca="1" si="2"/>
        <v>1.1298429319371728</v>
      </c>
      <c r="G133" s="9">
        <f t="shared" ca="1" si="3"/>
        <v>28.590355060943295</v>
      </c>
      <c r="H133" s="9">
        <f ca="1">'TikTok Ads Raw Data'!D133</f>
        <v>1079</v>
      </c>
      <c r="I133" s="20">
        <f t="shared" ca="1" si="4"/>
        <v>1.4659685863874346E-2</v>
      </c>
      <c r="J133" s="8">
        <f ca="1">'TikTok Ads Raw Data'!E133</f>
        <v>14</v>
      </c>
      <c r="K133" s="9">
        <f t="shared" ca="1" si="5"/>
        <v>223.14285714285714</v>
      </c>
      <c r="L133" s="9">
        <f ca="1">'TikTok Ads Raw Data'!F133</f>
        <v>3124</v>
      </c>
    </row>
    <row r="134" spans="1:12" ht="13" x14ac:dyDescent="0.15">
      <c r="A134" s="7">
        <f ca="1">'TikTok Ads Raw Data'!A134</f>
        <v>45790</v>
      </c>
      <c r="B134" s="8">
        <f t="shared" ca="1" si="0"/>
        <v>5</v>
      </c>
      <c r="C134" s="24">
        <f ca="1">'TikTok Ads Raw Data'!B134</f>
        <v>52306</v>
      </c>
      <c r="D134" s="20">
        <f t="shared" ca="1" si="1"/>
        <v>1.781822353076129E-2</v>
      </c>
      <c r="E134" s="8">
        <f ca="1">'TikTok Ads Raw Data'!C134</f>
        <v>932</v>
      </c>
      <c r="F134" s="9">
        <f t="shared" ca="1" si="2"/>
        <v>0.96995708154506433</v>
      </c>
      <c r="G134" s="9">
        <f t="shared" ca="1" si="3"/>
        <v>17.282912094214815</v>
      </c>
      <c r="H134" s="9">
        <f ca="1">'TikTok Ads Raw Data'!D134</f>
        <v>904</v>
      </c>
      <c r="I134" s="20">
        <f t="shared" ca="1" si="4"/>
        <v>1.8240343347639486E-2</v>
      </c>
      <c r="J134" s="8">
        <f ca="1">'TikTok Ads Raw Data'!E134</f>
        <v>17</v>
      </c>
      <c r="K134" s="9">
        <f t="shared" ca="1" si="5"/>
        <v>134.58823529411765</v>
      </c>
      <c r="L134" s="9">
        <f ca="1">'TikTok Ads Raw Data'!F134</f>
        <v>2288</v>
      </c>
    </row>
    <row r="135" spans="1:12" ht="13" x14ac:dyDescent="0.15">
      <c r="A135" s="7">
        <f ca="1">'TikTok Ads Raw Data'!A135</f>
        <v>45791</v>
      </c>
      <c r="B135" s="8">
        <f t="shared" ca="1" si="0"/>
        <v>5</v>
      </c>
      <c r="C135" s="24">
        <f ca="1">'TikTok Ads Raw Data'!B135</f>
        <v>117564</v>
      </c>
      <c r="D135" s="20">
        <f t="shared" ca="1" si="1"/>
        <v>1.685039637984417E-2</v>
      </c>
      <c r="E135" s="8">
        <f ca="1">'TikTok Ads Raw Data'!C135</f>
        <v>1981</v>
      </c>
      <c r="F135" s="9">
        <f t="shared" ca="1" si="2"/>
        <v>1.2882382635032812</v>
      </c>
      <c r="G135" s="9">
        <f t="shared" ca="1" si="3"/>
        <v>21.707325371712429</v>
      </c>
      <c r="H135" s="9">
        <f ca="1">'TikTok Ads Raw Data'!D135</f>
        <v>2552</v>
      </c>
      <c r="I135" s="20">
        <f t="shared" ca="1" si="4"/>
        <v>1.2619888944977285E-2</v>
      </c>
      <c r="J135" s="8">
        <f ca="1">'TikTok Ads Raw Data'!E135</f>
        <v>25</v>
      </c>
      <c r="K135" s="9">
        <f t="shared" ca="1" si="5"/>
        <v>108.4</v>
      </c>
      <c r="L135" s="9">
        <f ca="1">'TikTok Ads Raw Data'!F135</f>
        <v>2710</v>
      </c>
    </row>
    <row r="136" spans="1:12" ht="13" x14ac:dyDescent="0.15">
      <c r="A136" s="7">
        <f ca="1">'TikTok Ads Raw Data'!A136</f>
        <v>45792</v>
      </c>
      <c r="B136" s="8">
        <f t="shared" ca="1" si="0"/>
        <v>5</v>
      </c>
      <c r="C136" s="24">
        <f ca="1">'TikTok Ads Raw Data'!B136</f>
        <v>25364</v>
      </c>
      <c r="D136" s="20">
        <f t="shared" ca="1" si="1"/>
        <v>1.7110865794038796E-2</v>
      </c>
      <c r="E136" s="8">
        <f ca="1">'TikTok Ads Raw Data'!C136</f>
        <v>434</v>
      </c>
      <c r="F136" s="9">
        <f t="shared" ca="1" si="2"/>
        <v>0.67741935483870963</v>
      </c>
      <c r="G136" s="9">
        <f t="shared" ca="1" si="3"/>
        <v>11.591231666929506</v>
      </c>
      <c r="H136" s="9">
        <f ca="1">'TikTok Ads Raw Data'!D136</f>
        <v>294</v>
      </c>
      <c r="I136" s="20">
        <f t="shared" ca="1" si="4"/>
        <v>2.5345622119815669E-2</v>
      </c>
      <c r="J136" s="8">
        <f ca="1">'TikTok Ads Raw Data'!E136</f>
        <v>11</v>
      </c>
      <c r="K136" s="9">
        <f t="shared" ca="1" si="5"/>
        <v>108.54545454545455</v>
      </c>
      <c r="L136" s="9">
        <f ca="1">'TikTok Ads Raw Data'!F136</f>
        <v>1194</v>
      </c>
    </row>
    <row r="137" spans="1:12" ht="13" x14ac:dyDescent="0.15">
      <c r="A137" s="7">
        <f ca="1">'TikTok Ads Raw Data'!A137</f>
        <v>45793</v>
      </c>
      <c r="B137" s="8">
        <f t="shared" ca="1" si="0"/>
        <v>5</v>
      </c>
      <c r="C137" s="24">
        <f ca="1">'TikTok Ads Raw Data'!B137</f>
        <v>74630</v>
      </c>
      <c r="D137" s="20">
        <f t="shared" ca="1" si="1"/>
        <v>2.1224708562240385E-2</v>
      </c>
      <c r="E137" s="8">
        <f ca="1">'TikTok Ads Raw Data'!C137</f>
        <v>1584</v>
      </c>
      <c r="F137" s="9">
        <f t="shared" ca="1" si="2"/>
        <v>0.69570707070707072</v>
      </c>
      <c r="G137" s="9">
        <f t="shared" ca="1" si="3"/>
        <v>14.766179820447542</v>
      </c>
      <c r="H137" s="9">
        <f ca="1">'TikTok Ads Raw Data'!D137</f>
        <v>1102</v>
      </c>
      <c r="I137" s="20">
        <f t="shared" ca="1" si="4"/>
        <v>2.5252525252525252E-2</v>
      </c>
      <c r="J137" s="8">
        <f ca="1">'TikTok Ads Raw Data'!E137</f>
        <v>40</v>
      </c>
      <c r="K137" s="9">
        <f t="shared" ca="1" si="5"/>
        <v>144.25</v>
      </c>
      <c r="L137" s="9">
        <f ca="1">'TikTok Ads Raw Data'!F137</f>
        <v>5770</v>
      </c>
    </row>
    <row r="138" spans="1:12" ht="13" x14ac:dyDescent="0.15">
      <c r="A138" s="7">
        <f ca="1">'TikTok Ads Raw Data'!A138</f>
        <v>45794</v>
      </c>
      <c r="B138" s="8">
        <f t="shared" ca="1" si="0"/>
        <v>5</v>
      </c>
      <c r="C138" s="24">
        <f ca="1">'TikTok Ads Raw Data'!B138</f>
        <v>63489</v>
      </c>
      <c r="D138" s="20">
        <f t="shared" ca="1" si="1"/>
        <v>1.946793932807258E-2</v>
      </c>
      <c r="E138" s="8">
        <f ca="1">'TikTok Ads Raw Data'!C138</f>
        <v>1236</v>
      </c>
      <c r="F138" s="9">
        <f t="shared" ca="1" si="2"/>
        <v>0.86245954692556637</v>
      </c>
      <c r="G138" s="9">
        <f t="shared" ca="1" si="3"/>
        <v>16.79031013246389</v>
      </c>
      <c r="H138" s="9">
        <f ca="1">'TikTok Ads Raw Data'!D138</f>
        <v>1066</v>
      </c>
      <c r="I138" s="20">
        <f t="shared" ca="1" si="4"/>
        <v>1.3754045307443365E-2</v>
      </c>
      <c r="J138" s="8">
        <f ca="1">'TikTok Ads Raw Data'!E138</f>
        <v>17</v>
      </c>
      <c r="K138" s="9">
        <f t="shared" ca="1" si="5"/>
        <v>153.58823529411765</v>
      </c>
      <c r="L138" s="9">
        <f ca="1">'TikTok Ads Raw Data'!F138</f>
        <v>2611</v>
      </c>
    </row>
    <row r="139" spans="1:12" ht="13" x14ac:dyDescent="0.15">
      <c r="A139" s="7">
        <f ca="1">'TikTok Ads Raw Data'!A139</f>
        <v>45795</v>
      </c>
      <c r="B139" s="8">
        <f t="shared" ca="1" si="0"/>
        <v>5</v>
      </c>
      <c r="C139" s="24">
        <f ca="1">'TikTok Ads Raw Data'!B139</f>
        <v>105220</v>
      </c>
      <c r="D139" s="20">
        <f t="shared" ca="1" si="1"/>
        <v>1.6175632009123742E-2</v>
      </c>
      <c r="E139" s="8">
        <f ca="1">'TikTok Ads Raw Data'!C139</f>
        <v>1702</v>
      </c>
      <c r="F139" s="9">
        <f t="shared" ca="1" si="2"/>
        <v>1.2925969447708578</v>
      </c>
      <c r="G139" s="9">
        <f t="shared" ca="1" si="3"/>
        <v>20.908572514731041</v>
      </c>
      <c r="H139" s="9">
        <f ca="1">'TikTok Ads Raw Data'!D139</f>
        <v>2200</v>
      </c>
      <c r="I139" s="20">
        <f t="shared" ca="1" si="4"/>
        <v>2.6439482961222092E-2</v>
      </c>
      <c r="J139" s="8">
        <f ca="1">'TikTok Ads Raw Data'!E139</f>
        <v>45</v>
      </c>
      <c r="K139" s="9">
        <f t="shared" ca="1" si="5"/>
        <v>146.62222222222223</v>
      </c>
      <c r="L139" s="9">
        <f ca="1">'TikTok Ads Raw Data'!F139</f>
        <v>6598</v>
      </c>
    </row>
    <row r="140" spans="1:12" ht="13" x14ac:dyDescent="0.15">
      <c r="A140" s="7">
        <f ca="1">'TikTok Ads Raw Data'!A140</f>
        <v>45796</v>
      </c>
      <c r="B140" s="8">
        <f t="shared" ca="1" si="0"/>
        <v>5</v>
      </c>
      <c r="C140" s="24">
        <f ca="1">'TikTok Ads Raw Data'!B140</f>
        <v>68778</v>
      </c>
      <c r="D140" s="20">
        <f t="shared" ca="1" si="1"/>
        <v>3.6377911541481289E-2</v>
      </c>
      <c r="E140" s="8">
        <f ca="1">'TikTok Ads Raw Data'!C140</f>
        <v>2502</v>
      </c>
      <c r="F140" s="9">
        <f t="shared" ca="1" si="2"/>
        <v>0.84172661870503596</v>
      </c>
      <c r="G140" s="9">
        <f t="shared" ca="1" si="3"/>
        <v>30.620256477361945</v>
      </c>
      <c r="H140" s="9">
        <f ca="1">'TikTok Ads Raw Data'!D140</f>
        <v>2106</v>
      </c>
      <c r="I140" s="20">
        <f t="shared" ca="1" si="4"/>
        <v>2.2382094324540368E-2</v>
      </c>
      <c r="J140" s="8">
        <f ca="1">'TikTok Ads Raw Data'!E140</f>
        <v>56</v>
      </c>
      <c r="K140" s="9">
        <f t="shared" ca="1" si="5"/>
        <v>154.01785714285714</v>
      </c>
      <c r="L140" s="9">
        <f ca="1">'TikTok Ads Raw Data'!F140</f>
        <v>8625</v>
      </c>
    </row>
    <row r="141" spans="1:12" ht="13" x14ac:dyDescent="0.15">
      <c r="A141" s="7">
        <f ca="1">'TikTok Ads Raw Data'!A141</f>
        <v>45797</v>
      </c>
      <c r="B141" s="8">
        <f t="shared" ca="1" si="0"/>
        <v>5</v>
      </c>
      <c r="C141" s="24">
        <f ca="1">'TikTok Ads Raw Data'!B141</f>
        <v>93302</v>
      </c>
      <c r="D141" s="20">
        <f t="shared" ca="1" si="1"/>
        <v>1.0428500996763198E-2</v>
      </c>
      <c r="E141" s="8">
        <f ca="1">'TikTok Ads Raw Data'!C141</f>
        <v>973</v>
      </c>
      <c r="F141" s="9">
        <f t="shared" ca="1" si="2"/>
        <v>0.79547790339157243</v>
      </c>
      <c r="G141" s="9">
        <f t="shared" ca="1" si="3"/>
        <v>8.295642108422113</v>
      </c>
      <c r="H141" s="9">
        <f ca="1">'TikTok Ads Raw Data'!D141</f>
        <v>774</v>
      </c>
      <c r="I141" s="20">
        <f t="shared" ca="1" si="4"/>
        <v>1.3360739979445015E-2</v>
      </c>
      <c r="J141" s="8">
        <f ca="1">'TikTok Ads Raw Data'!E141</f>
        <v>13</v>
      </c>
      <c r="K141" s="9">
        <f t="shared" ca="1" si="5"/>
        <v>113.69230769230769</v>
      </c>
      <c r="L141" s="9">
        <f ca="1">'TikTok Ads Raw Data'!F141</f>
        <v>1478</v>
      </c>
    </row>
    <row r="142" spans="1:12" ht="13" x14ac:dyDescent="0.15">
      <c r="A142" s="7">
        <f ca="1">'TikTok Ads Raw Data'!A142</f>
        <v>45798</v>
      </c>
      <c r="B142" s="8">
        <f t="shared" ca="1" si="0"/>
        <v>5</v>
      </c>
      <c r="C142" s="24">
        <f ca="1">'TikTok Ads Raw Data'!B142</f>
        <v>91348</v>
      </c>
      <c r="D142" s="20">
        <f t="shared" ca="1" si="1"/>
        <v>1.5139904540876648E-2</v>
      </c>
      <c r="E142" s="8">
        <f ca="1">'TikTok Ads Raw Data'!C142</f>
        <v>1383</v>
      </c>
      <c r="F142" s="9">
        <f t="shared" ca="1" si="2"/>
        <v>1.0412147505422993</v>
      </c>
      <c r="G142" s="9">
        <f t="shared" ca="1" si="3"/>
        <v>15.763891929763103</v>
      </c>
      <c r="H142" s="9">
        <f ca="1">'TikTok Ads Raw Data'!D142</f>
        <v>1440</v>
      </c>
      <c r="I142" s="20">
        <f t="shared" ca="1" si="4"/>
        <v>2.2415039768618944E-2</v>
      </c>
      <c r="J142" s="8">
        <f ca="1">'TikTok Ads Raw Data'!E142</f>
        <v>31</v>
      </c>
      <c r="K142" s="9">
        <f t="shared" ca="1" si="5"/>
        <v>184.25806451612902</v>
      </c>
      <c r="L142" s="9">
        <f ca="1">'TikTok Ads Raw Data'!F142</f>
        <v>5712</v>
      </c>
    </row>
    <row r="143" spans="1:12" ht="13" x14ac:dyDescent="0.15">
      <c r="A143" s="7">
        <f ca="1">'TikTok Ads Raw Data'!A143</f>
        <v>45799</v>
      </c>
      <c r="B143" s="8">
        <f t="shared" ca="1" si="0"/>
        <v>5</v>
      </c>
      <c r="C143" s="24">
        <f ca="1">'TikTok Ads Raw Data'!B143</f>
        <v>70267</v>
      </c>
      <c r="D143" s="20">
        <f t="shared" ca="1" si="1"/>
        <v>1.1655542431013136E-2</v>
      </c>
      <c r="E143" s="8">
        <f ca="1">'TikTok Ads Raw Data'!C143</f>
        <v>819</v>
      </c>
      <c r="F143" s="9">
        <f t="shared" ca="1" si="2"/>
        <v>1.253968253968254</v>
      </c>
      <c r="G143" s="9">
        <f t="shared" ca="1" si="3"/>
        <v>14.615680191270441</v>
      </c>
      <c r="H143" s="9">
        <f ca="1">'TikTok Ads Raw Data'!D143</f>
        <v>1027</v>
      </c>
      <c r="I143" s="20">
        <f t="shared" ca="1" si="4"/>
        <v>1.9536019536019536E-2</v>
      </c>
      <c r="J143" s="8">
        <f ca="1">'TikTok Ads Raw Data'!E143</f>
        <v>16</v>
      </c>
      <c r="K143" s="9">
        <f t="shared" ca="1" si="5"/>
        <v>168.25</v>
      </c>
      <c r="L143" s="9">
        <f ca="1">'TikTok Ads Raw Data'!F143</f>
        <v>2692</v>
      </c>
    </row>
    <row r="144" spans="1:12" ht="13" x14ac:dyDescent="0.15">
      <c r="A144" s="7">
        <f ca="1">'TikTok Ads Raw Data'!A144</f>
        <v>45800</v>
      </c>
      <c r="B144" s="8">
        <f t="shared" ca="1" si="0"/>
        <v>5</v>
      </c>
      <c r="C144" s="24">
        <f ca="1">'TikTok Ads Raw Data'!B144</f>
        <v>80874</v>
      </c>
      <c r="D144" s="20">
        <f t="shared" ca="1" si="1"/>
        <v>1.7706555877043301E-2</v>
      </c>
      <c r="E144" s="8">
        <f ca="1">'TikTok Ads Raw Data'!C144</f>
        <v>1432</v>
      </c>
      <c r="F144" s="9">
        <f t="shared" ca="1" si="2"/>
        <v>0.93645251396648044</v>
      </c>
      <c r="G144" s="9">
        <f t="shared" ca="1" si="3"/>
        <v>16.581348764745162</v>
      </c>
      <c r="H144" s="9">
        <f ca="1">'TikTok Ads Raw Data'!D144</f>
        <v>1341</v>
      </c>
      <c r="I144" s="20">
        <f t="shared" ca="1" si="4"/>
        <v>1.6759776536312849E-2</v>
      </c>
      <c r="J144" s="8">
        <f ca="1">'TikTok Ads Raw Data'!E144</f>
        <v>24</v>
      </c>
      <c r="K144" s="9">
        <f t="shared" ca="1" si="5"/>
        <v>169.04166666666666</v>
      </c>
      <c r="L144" s="9">
        <f ca="1">'TikTok Ads Raw Data'!F144</f>
        <v>4057</v>
      </c>
    </row>
    <row r="145" spans="1:12" ht="13" x14ac:dyDescent="0.15">
      <c r="A145" s="7">
        <f ca="1">'TikTok Ads Raw Data'!A145</f>
        <v>45801</v>
      </c>
      <c r="B145" s="8">
        <f t="shared" ca="1" si="0"/>
        <v>5</v>
      </c>
      <c r="C145" s="24">
        <f ca="1">'TikTok Ads Raw Data'!B145</f>
        <v>103764</v>
      </c>
      <c r="D145" s="20">
        <f t="shared" ca="1" si="1"/>
        <v>1.1545430014263136E-2</v>
      </c>
      <c r="E145" s="8">
        <f ca="1">'TikTok Ads Raw Data'!C145</f>
        <v>1198</v>
      </c>
      <c r="F145" s="9">
        <f t="shared" ca="1" si="2"/>
        <v>0.91068447412353926</v>
      </c>
      <c r="G145" s="9">
        <f t="shared" ca="1" si="3"/>
        <v>10.51424386106935</v>
      </c>
      <c r="H145" s="9">
        <f ca="1">'TikTok Ads Raw Data'!D145</f>
        <v>1091</v>
      </c>
      <c r="I145" s="20">
        <f t="shared" ca="1" si="4"/>
        <v>1.5859766277128547E-2</v>
      </c>
      <c r="J145" s="8">
        <f ca="1">'TikTok Ads Raw Data'!E145</f>
        <v>19</v>
      </c>
      <c r="K145" s="9">
        <f t="shared" ca="1" si="5"/>
        <v>180.10526315789474</v>
      </c>
      <c r="L145" s="9">
        <f ca="1">'TikTok Ads Raw Data'!F145</f>
        <v>3422</v>
      </c>
    </row>
    <row r="146" spans="1:12" ht="13" x14ac:dyDescent="0.15">
      <c r="A146" s="7">
        <f ca="1">'TikTok Ads Raw Data'!A146</f>
        <v>45802</v>
      </c>
      <c r="B146" s="8">
        <f t="shared" ca="1" si="0"/>
        <v>5</v>
      </c>
      <c r="C146" s="24">
        <f ca="1">'TikTok Ads Raw Data'!B146</f>
        <v>72519</v>
      </c>
      <c r="D146" s="20">
        <f t="shared" ca="1" si="1"/>
        <v>3.3122354141673215E-2</v>
      </c>
      <c r="E146" s="8">
        <f ca="1">'TikTok Ads Raw Data'!C146</f>
        <v>2402</v>
      </c>
      <c r="F146" s="9">
        <f t="shared" ca="1" si="2"/>
        <v>1.1952539550374688</v>
      </c>
      <c r="G146" s="9">
        <f t="shared" ca="1" si="3"/>
        <v>39.589624787986594</v>
      </c>
      <c r="H146" s="9">
        <f ca="1">'TikTok Ads Raw Data'!D146</f>
        <v>2871</v>
      </c>
      <c r="I146" s="20">
        <f t="shared" ca="1" si="4"/>
        <v>1.2073272273105746E-2</v>
      </c>
      <c r="J146" s="8">
        <f ca="1">'TikTok Ads Raw Data'!E146</f>
        <v>29</v>
      </c>
      <c r="K146" s="9">
        <f t="shared" ca="1" si="5"/>
        <v>157.44827586206895</v>
      </c>
      <c r="L146" s="9">
        <f ca="1">'TikTok Ads Raw Data'!F146</f>
        <v>4566</v>
      </c>
    </row>
    <row r="147" spans="1:12" ht="13" x14ac:dyDescent="0.15">
      <c r="A147" s="7">
        <f ca="1">'TikTok Ads Raw Data'!A147</f>
        <v>45803</v>
      </c>
      <c r="B147" s="8">
        <f t="shared" ca="1" si="0"/>
        <v>5</v>
      </c>
      <c r="C147" s="24">
        <f ca="1">'TikTok Ads Raw Data'!B147</f>
        <v>81742</v>
      </c>
      <c r="D147" s="20">
        <f t="shared" ca="1" si="1"/>
        <v>2.8259646203909864E-2</v>
      </c>
      <c r="E147" s="8">
        <f ca="1">'TikTok Ads Raw Data'!C147</f>
        <v>2310</v>
      </c>
      <c r="F147" s="9">
        <f t="shared" ca="1" si="2"/>
        <v>1.261038961038961</v>
      </c>
      <c r="G147" s="9">
        <f t="shared" ca="1" si="3"/>
        <v>35.636514888307111</v>
      </c>
      <c r="H147" s="9">
        <f ca="1">'TikTok Ads Raw Data'!D147</f>
        <v>2913</v>
      </c>
      <c r="I147" s="20">
        <f t="shared" ca="1" si="4"/>
        <v>2.1645021645021644E-2</v>
      </c>
      <c r="J147" s="8">
        <f ca="1">'TikTok Ads Raw Data'!E147</f>
        <v>50</v>
      </c>
      <c r="K147" s="9">
        <f t="shared" ca="1" si="5"/>
        <v>166.64</v>
      </c>
      <c r="L147" s="9">
        <f ca="1">'TikTok Ads Raw Data'!F147</f>
        <v>8332</v>
      </c>
    </row>
    <row r="148" spans="1:12" ht="13" x14ac:dyDescent="0.15">
      <c r="A148" s="7">
        <f ca="1">'TikTok Ads Raw Data'!A148</f>
        <v>45804</v>
      </c>
      <c r="B148" s="8">
        <f t="shared" ca="1" si="0"/>
        <v>5</v>
      </c>
      <c r="C148" s="24">
        <f ca="1">'TikTok Ads Raw Data'!B148</f>
        <v>46255</v>
      </c>
      <c r="D148" s="20">
        <f t="shared" ca="1" si="1"/>
        <v>1.7533239649767593E-2</v>
      </c>
      <c r="E148" s="8">
        <f ca="1">'TikTok Ads Raw Data'!C148</f>
        <v>811</v>
      </c>
      <c r="F148" s="9">
        <f t="shared" ca="1" si="2"/>
        <v>0.81381011097410605</v>
      </c>
      <c r="G148" s="9">
        <f t="shared" ca="1" si="3"/>
        <v>14.26872770511296</v>
      </c>
      <c r="H148" s="9">
        <f ca="1">'TikTok Ads Raw Data'!D148</f>
        <v>660</v>
      </c>
      <c r="I148" s="20">
        <f t="shared" ca="1" si="4"/>
        <v>1.3563501849568433E-2</v>
      </c>
      <c r="J148" s="8">
        <f ca="1">'TikTok Ads Raw Data'!E148</f>
        <v>11</v>
      </c>
      <c r="K148" s="9">
        <f t="shared" ca="1" si="5"/>
        <v>187.45454545454547</v>
      </c>
      <c r="L148" s="9">
        <f ca="1">'TikTok Ads Raw Data'!F148</f>
        <v>2062</v>
      </c>
    </row>
    <row r="149" spans="1:12" ht="13" x14ac:dyDescent="0.15">
      <c r="A149" s="7">
        <f ca="1">'TikTok Ads Raw Data'!A149</f>
        <v>45805</v>
      </c>
      <c r="B149" s="8">
        <f t="shared" ca="1" si="0"/>
        <v>5</v>
      </c>
      <c r="C149" s="24">
        <f ca="1">'TikTok Ads Raw Data'!B149</f>
        <v>94627</v>
      </c>
      <c r="D149" s="20">
        <f t="shared" ca="1" si="1"/>
        <v>2.8681031840806535E-2</v>
      </c>
      <c r="E149" s="8">
        <f ca="1">'TikTok Ads Raw Data'!C149</f>
        <v>2714</v>
      </c>
      <c r="F149" s="9">
        <f t="shared" ca="1" si="2"/>
        <v>1.1068533529845246</v>
      </c>
      <c r="G149" s="9">
        <f t="shared" ca="1" si="3"/>
        <v>31.745696260052629</v>
      </c>
      <c r="H149" s="9">
        <f ca="1">'TikTok Ads Raw Data'!D149</f>
        <v>3004</v>
      </c>
      <c r="I149" s="20">
        <f t="shared" ca="1" si="4"/>
        <v>2.1002210759027265E-2</v>
      </c>
      <c r="J149" s="8">
        <f ca="1">'TikTok Ads Raw Data'!E149</f>
        <v>57</v>
      </c>
      <c r="K149" s="9">
        <f t="shared" ca="1" si="5"/>
        <v>182.7017543859649</v>
      </c>
      <c r="L149" s="9">
        <f ca="1">'TikTok Ads Raw Data'!F149</f>
        <v>10414</v>
      </c>
    </row>
    <row r="150" spans="1:12" ht="13" x14ac:dyDescent="0.15">
      <c r="A150" s="7">
        <f ca="1">'TikTok Ads Raw Data'!A150</f>
        <v>45806</v>
      </c>
      <c r="B150" s="8">
        <f t="shared" ca="1" si="0"/>
        <v>5</v>
      </c>
      <c r="C150" s="24">
        <f ca="1">'TikTok Ads Raw Data'!B150</f>
        <v>64109</v>
      </c>
      <c r="D150" s="20">
        <f t="shared" ca="1" si="1"/>
        <v>2.3210469668845247E-2</v>
      </c>
      <c r="E150" s="8">
        <f ca="1">'TikTok Ads Raw Data'!C150</f>
        <v>1488</v>
      </c>
      <c r="F150" s="9">
        <f t="shared" ca="1" si="2"/>
        <v>0.65255376344086025</v>
      </c>
      <c r="G150" s="9">
        <f t="shared" ca="1" si="3"/>
        <v>15.146079333634905</v>
      </c>
      <c r="H150" s="9">
        <f ca="1">'TikTok Ads Raw Data'!D150</f>
        <v>971</v>
      </c>
      <c r="I150" s="20">
        <f t="shared" ca="1" si="4"/>
        <v>2.2849462365591398E-2</v>
      </c>
      <c r="J150" s="8">
        <f ca="1">'TikTok Ads Raw Data'!E150</f>
        <v>34</v>
      </c>
      <c r="K150" s="9">
        <f t="shared" ca="1" si="5"/>
        <v>133.8235294117647</v>
      </c>
      <c r="L150" s="9">
        <f ca="1">'TikTok Ads Raw Data'!F150</f>
        <v>4550</v>
      </c>
    </row>
    <row r="151" spans="1:12" ht="13" x14ac:dyDescent="0.15">
      <c r="A151" s="7">
        <f ca="1">'TikTok Ads Raw Data'!A151</f>
        <v>45807</v>
      </c>
      <c r="B151" s="8">
        <f t="shared" ca="1" si="0"/>
        <v>5</v>
      </c>
      <c r="C151" s="24">
        <f ca="1">'TikTok Ads Raw Data'!B151</f>
        <v>56435</v>
      </c>
      <c r="D151" s="20">
        <f t="shared" ca="1" si="1"/>
        <v>2.3478337910870912E-2</v>
      </c>
      <c r="E151" s="8">
        <f ca="1">'TikTok Ads Raw Data'!C151</f>
        <v>1325</v>
      </c>
      <c r="F151" s="9">
        <f t="shared" ca="1" si="2"/>
        <v>1.1705660377358491</v>
      </c>
      <c r="G151" s="9">
        <f t="shared" ca="1" si="3"/>
        <v>27.482944980951537</v>
      </c>
      <c r="H151" s="9">
        <f ca="1">'TikTok Ads Raw Data'!D151</f>
        <v>1551</v>
      </c>
      <c r="I151" s="20">
        <f t="shared" ca="1" si="4"/>
        <v>1.9622641509433963E-2</v>
      </c>
      <c r="J151" s="8">
        <f ca="1">'TikTok Ads Raw Data'!E151</f>
        <v>26</v>
      </c>
      <c r="K151" s="9">
        <f t="shared" ca="1" si="5"/>
        <v>170.80769230769232</v>
      </c>
      <c r="L151" s="9">
        <f ca="1">'TikTok Ads Raw Data'!F151</f>
        <v>4441</v>
      </c>
    </row>
    <row r="152" spans="1:12" ht="13" x14ac:dyDescent="0.15">
      <c r="A152" s="7">
        <f ca="1">'TikTok Ads Raw Data'!A152</f>
        <v>45808</v>
      </c>
      <c r="B152" s="8">
        <f t="shared" ca="1" si="0"/>
        <v>5</v>
      </c>
      <c r="C152" s="24">
        <f ca="1">'TikTok Ads Raw Data'!B152</f>
        <v>33813</v>
      </c>
      <c r="D152" s="20">
        <f t="shared" ca="1" si="1"/>
        <v>1.2036790583503387E-2</v>
      </c>
      <c r="E152" s="8">
        <f ca="1">'TikTok Ads Raw Data'!C152</f>
        <v>407</v>
      </c>
      <c r="F152" s="9">
        <f t="shared" ca="1" si="2"/>
        <v>0.75429975429975427</v>
      </c>
      <c r="G152" s="9">
        <f t="shared" ca="1" si="3"/>
        <v>9.0793481796942004</v>
      </c>
      <c r="H152" s="9">
        <f ca="1">'TikTok Ads Raw Data'!D152</f>
        <v>307</v>
      </c>
      <c r="I152" s="20">
        <f t="shared" ca="1" si="4"/>
        <v>1.2285012285012284E-2</v>
      </c>
      <c r="J152" s="8">
        <f ca="1">'TikTok Ads Raw Data'!E152</f>
        <v>5</v>
      </c>
      <c r="K152" s="9">
        <f t="shared" ca="1" si="5"/>
        <v>180.4</v>
      </c>
      <c r="L152" s="9">
        <f ca="1">'TikTok Ads Raw Data'!F152</f>
        <v>902</v>
      </c>
    </row>
    <row r="153" spans="1:12" ht="13" x14ac:dyDescent="0.15">
      <c r="A153" s="7">
        <f ca="1">'TikTok Ads Raw Data'!A153</f>
        <v>45809</v>
      </c>
      <c r="B153" s="8">
        <f t="shared" ca="1" si="0"/>
        <v>6</v>
      </c>
      <c r="C153" s="24">
        <f ca="1">'TikTok Ads Raw Data'!B153</f>
        <v>66532</v>
      </c>
      <c r="D153" s="20">
        <f t="shared" ca="1" si="1"/>
        <v>2.4243972825106715E-2</v>
      </c>
      <c r="E153" s="8">
        <f ca="1">'TikTok Ads Raw Data'!C153</f>
        <v>1613</v>
      </c>
      <c r="F153" s="9">
        <f t="shared" ca="1" si="2"/>
        <v>0.67885926844389333</v>
      </c>
      <c r="G153" s="9">
        <f t="shared" ca="1" si="3"/>
        <v>16.458245656225575</v>
      </c>
      <c r="H153" s="9">
        <f ca="1">'TikTok Ads Raw Data'!D153</f>
        <v>1095</v>
      </c>
      <c r="I153" s="20">
        <f t="shared" ca="1" si="4"/>
        <v>1.4879107253564786E-2</v>
      </c>
      <c r="J153" s="8">
        <f ca="1">'TikTok Ads Raw Data'!E153</f>
        <v>24</v>
      </c>
      <c r="K153" s="9">
        <f t="shared" ca="1" si="5"/>
        <v>139.04166666666666</v>
      </c>
      <c r="L153" s="9">
        <f ca="1">'TikTok Ads Raw Data'!F153</f>
        <v>3337</v>
      </c>
    </row>
    <row r="154" spans="1:12" ht="13" x14ac:dyDescent="0.15">
      <c r="A154" s="7">
        <f ca="1">'TikTok Ads Raw Data'!A154</f>
        <v>45810</v>
      </c>
      <c r="B154" s="8">
        <f t="shared" ca="1" si="0"/>
        <v>6</v>
      </c>
      <c r="C154" s="24">
        <f ca="1">'TikTok Ads Raw Data'!B154</f>
        <v>103974</v>
      </c>
      <c r="D154" s="20">
        <f t="shared" ca="1" si="1"/>
        <v>1.9889587781560775E-2</v>
      </c>
      <c r="E154" s="8">
        <f ca="1">'TikTok Ads Raw Data'!C154</f>
        <v>2068</v>
      </c>
      <c r="F154" s="9">
        <f t="shared" ca="1" si="2"/>
        <v>1.3641199226305609</v>
      </c>
      <c r="G154" s="9">
        <f t="shared" ca="1" si="3"/>
        <v>27.131782945736433</v>
      </c>
      <c r="H154" s="9">
        <f ca="1">'TikTok Ads Raw Data'!D154</f>
        <v>2821</v>
      </c>
      <c r="I154" s="20">
        <f t="shared" ca="1" si="4"/>
        <v>2.5145067698259187E-2</v>
      </c>
      <c r="J154" s="8">
        <f ca="1">'TikTok Ads Raw Data'!E154</f>
        <v>52</v>
      </c>
      <c r="K154" s="9">
        <f t="shared" ca="1" si="5"/>
        <v>97.865384615384613</v>
      </c>
      <c r="L154" s="9">
        <f ca="1">'TikTok Ads Raw Data'!F154</f>
        <v>5089</v>
      </c>
    </row>
    <row r="155" spans="1:12" ht="13" x14ac:dyDescent="0.15">
      <c r="A155" s="7">
        <f ca="1">'TikTok Ads Raw Data'!A155</f>
        <v>45811</v>
      </c>
      <c r="B155" s="8">
        <f t="shared" ca="1" si="0"/>
        <v>6</v>
      </c>
      <c r="C155" s="24">
        <f ca="1">'TikTok Ads Raw Data'!B155</f>
        <v>35392</v>
      </c>
      <c r="D155" s="20">
        <f t="shared" ca="1" si="1"/>
        <v>1.9100361663652803E-2</v>
      </c>
      <c r="E155" s="8">
        <f ca="1">'TikTok Ads Raw Data'!C155</f>
        <v>676</v>
      </c>
      <c r="F155" s="9">
        <f t="shared" ca="1" si="2"/>
        <v>1.2248520710059172</v>
      </c>
      <c r="G155" s="9">
        <f t="shared" ca="1" si="3"/>
        <v>23.39511754068716</v>
      </c>
      <c r="H155" s="9">
        <f ca="1">'TikTok Ads Raw Data'!D155</f>
        <v>828</v>
      </c>
      <c r="I155" s="20">
        <f t="shared" ca="1" si="4"/>
        <v>2.3668639053254437E-2</v>
      </c>
      <c r="J155" s="8">
        <f ca="1">'TikTok Ads Raw Data'!E155</f>
        <v>16</v>
      </c>
      <c r="K155" s="9">
        <f t="shared" ca="1" si="5"/>
        <v>180.5625</v>
      </c>
      <c r="L155" s="9">
        <f ca="1">'TikTok Ads Raw Data'!F155</f>
        <v>2889</v>
      </c>
    </row>
    <row r="156" spans="1:12" ht="13" x14ac:dyDescent="0.15">
      <c r="A156" s="7">
        <f ca="1">'TikTok Ads Raw Data'!A156</f>
        <v>45812</v>
      </c>
      <c r="B156" s="8">
        <f t="shared" ca="1" si="0"/>
        <v>6</v>
      </c>
      <c r="C156" s="24">
        <f ca="1">'TikTok Ads Raw Data'!B156</f>
        <v>69161</v>
      </c>
      <c r="D156" s="20">
        <f t="shared" ca="1" si="1"/>
        <v>2.290308121629242E-2</v>
      </c>
      <c r="E156" s="8">
        <f ca="1">'TikTok Ads Raw Data'!C156</f>
        <v>1584</v>
      </c>
      <c r="F156" s="9">
        <f t="shared" ca="1" si="2"/>
        <v>0.96654040404040409</v>
      </c>
      <c r="G156" s="9">
        <f t="shared" ca="1" si="3"/>
        <v>22.136753372565462</v>
      </c>
      <c r="H156" s="9">
        <f ca="1">'TikTok Ads Raw Data'!D156</f>
        <v>1531</v>
      </c>
      <c r="I156" s="20">
        <f t="shared" ca="1" si="4"/>
        <v>2.335858585858586E-2</v>
      </c>
      <c r="J156" s="8">
        <f ca="1">'TikTok Ads Raw Data'!E156</f>
        <v>37</v>
      </c>
      <c r="K156" s="9">
        <f t="shared" ca="1" si="5"/>
        <v>112.16216216216216</v>
      </c>
      <c r="L156" s="9">
        <f ca="1">'TikTok Ads Raw Data'!F156</f>
        <v>4150</v>
      </c>
    </row>
    <row r="157" spans="1:12" ht="13" x14ac:dyDescent="0.15">
      <c r="A157" s="7">
        <f ca="1">'TikTok Ads Raw Data'!A157</f>
        <v>45813</v>
      </c>
      <c r="B157" s="8">
        <f t="shared" ca="1" si="0"/>
        <v>6</v>
      </c>
      <c r="C157" s="24">
        <f ca="1">'TikTok Ads Raw Data'!B157</f>
        <v>80677</v>
      </c>
      <c r="D157" s="20">
        <f t="shared" ca="1" si="1"/>
        <v>2.916568538740905E-2</v>
      </c>
      <c r="E157" s="8">
        <f ca="1">'TikTok Ads Raw Data'!C157</f>
        <v>2353</v>
      </c>
      <c r="F157" s="9">
        <f t="shared" ca="1" si="2"/>
        <v>0.68168295792605182</v>
      </c>
      <c r="G157" s="9">
        <f t="shared" ca="1" si="3"/>
        <v>19.881750684829626</v>
      </c>
      <c r="H157" s="9">
        <f ca="1">'TikTok Ads Raw Data'!D157</f>
        <v>1604</v>
      </c>
      <c r="I157" s="20">
        <f t="shared" ca="1" si="4"/>
        <v>2.2099447513812154E-2</v>
      </c>
      <c r="J157" s="8">
        <f ca="1">'TikTok Ads Raw Data'!E157</f>
        <v>52</v>
      </c>
      <c r="K157" s="9">
        <f t="shared" ca="1" si="5"/>
        <v>131.32692307692307</v>
      </c>
      <c r="L157" s="9">
        <f ca="1">'TikTok Ads Raw Data'!F157</f>
        <v>6829</v>
      </c>
    </row>
    <row r="158" spans="1:12" ht="13" x14ac:dyDescent="0.15">
      <c r="A158" s="7">
        <f ca="1">'TikTok Ads Raw Data'!A158</f>
        <v>45814</v>
      </c>
      <c r="B158" s="8">
        <f t="shared" ca="1" si="0"/>
        <v>6</v>
      </c>
      <c r="C158" s="24">
        <f ca="1">'TikTok Ads Raw Data'!B158</f>
        <v>93359</v>
      </c>
      <c r="D158" s="20">
        <f t="shared" ca="1" si="1"/>
        <v>2.0008783298878521E-2</v>
      </c>
      <c r="E158" s="8">
        <f ca="1">'TikTok Ads Raw Data'!C158</f>
        <v>1868</v>
      </c>
      <c r="F158" s="9">
        <f t="shared" ca="1" si="2"/>
        <v>1.0251605995717346</v>
      </c>
      <c r="G158" s="9">
        <f t="shared" ca="1" si="3"/>
        <v>20.512216283379214</v>
      </c>
      <c r="H158" s="9">
        <f ca="1">'TikTok Ads Raw Data'!D158</f>
        <v>1915</v>
      </c>
      <c r="I158" s="20">
        <f t="shared" ca="1" si="4"/>
        <v>1.7130620985010708E-2</v>
      </c>
      <c r="J158" s="8">
        <f ca="1">'TikTok Ads Raw Data'!E158</f>
        <v>32</v>
      </c>
      <c r="K158" s="9">
        <f t="shared" ca="1" si="5"/>
        <v>127.875</v>
      </c>
      <c r="L158" s="9">
        <f ca="1">'TikTok Ads Raw Data'!F158</f>
        <v>4092</v>
      </c>
    </row>
    <row r="159" spans="1:12" ht="13" x14ac:dyDescent="0.15">
      <c r="A159" s="7">
        <f ca="1">'TikTok Ads Raw Data'!A159</f>
        <v>45815</v>
      </c>
      <c r="B159" s="8">
        <f t="shared" ca="1" si="0"/>
        <v>6</v>
      </c>
      <c r="C159" s="24">
        <f ca="1">'TikTok Ads Raw Data'!B159</f>
        <v>78392</v>
      </c>
      <c r="D159" s="20">
        <f t="shared" ca="1" si="1"/>
        <v>2.333146239412185E-2</v>
      </c>
      <c r="E159" s="8">
        <f ca="1">'TikTok Ads Raw Data'!C159</f>
        <v>1829</v>
      </c>
      <c r="F159" s="9">
        <f t="shared" ca="1" si="2"/>
        <v>0.85073810825587748</v>
      </c>
      <c r="G159" s="9">
        <f t="shared" ca="1" si="3"/>
        <v>19.84896418001837</v>
      </c>
      <c r="H159" s="9">
        <f ca="1">'TikTok Ads Raw Data'!D159</f>
        <v>1556</v>
      </c>
      <c r="I159" s="20">
        <f t="shared" ca="1" si="4"/>
        <v>2.4603608529250958E-2</v>
      </c>
      <c r="J159" s="8">
        <f ca="1">'TikTok Ads Raw Data'!E159</f>
        <v>45</v>
      </c>
      <c r="K159" s="9">
        <f t="shared" ca="1" si="5"/>
        <v>187.84444444444443</v>
      </c>
      <c r="L159" s="9">
        <f ca="1">'TikTok Ads Raw Data'!F159</f>
        <v>8453</v>
      </c>
    </row>
    <row r="160" spans="1:12" ht="13" x14ac:dyDescent="0.15">
      <c r="A160" s="7">
        <f ca="1">'TikTok Ads Raw Data'!A160</f>
        <v>45816</v>
      </c>
      <c r="B160" s="8">
        <f t="shared" ca="1" si="0"/>
        <v>6</v>
      </c>
      <c r="C160" s="24">
        <f ca="1">'TikTok Ads Raw Data'!B160</f>
        <v>107060</v>
      </c>
      <c r="D160" s="20">
        <f t="shared" ca="1" si="1"/>
        <v>2.3650289557257613E-2</v>
      </c>
      <c r="E160" s="8">
        <f ca="1">'TikTok Ads Raw Data'!C160</f>
        <v>2532</v>
      </c>
      <c r="F160" s="9">
        <f t="shared" ca="1" si="2"/>
        <v>0.80647709320695105</v>
      </c>
      <c r="G160" s="9">
        <f t="shared" ca="1" si="3"/>
        <v>19.073416775639828</v>
      </c>
      <c r="H160" s="9">
        <f ca="1">'TikTok Ads Raw Data'!D160</f>
        <v>2042</v>
      </c>
      <c r="I160" s="20">
        <f t="shared" ca="1" si="4"/>
        <v>1.6587677725118485E-2</v>
      </c>
      <c r="J160" s="8">
        <f ca="1">'TikTok Ads Raw Data'!E160</f>
        <v>42</v>
      </c>
      <c r="K160" s="9">
        <f t="shared" ca="1" si="5"/>
        <v>183.35714285714286</v>
      </c>
      <c r="L160" s="9">
        <f ca="1">'TikTok Ads Raw Data'!F160</f>
        <v>7701</v>
      </c>
    </row>
    <row r="161" spans="1:12" ht="13" x14ac:dyDescent="0.15">
      <c r="A161" s="7">
        <f ca="1">'TikTok Ads Raw Data'!A161</f>
        <v>45817</v>
      </c>
      <c r="B161" s="8">
        <f t="shared" ca="1" si="0"/>
        <v>6</v>
      </c>
      <c r="C161" s="24">
        <f ca="1">'TikTok Ads Raw Data'!B161</f>
        <v>49858</v>
      </c>
      <c r="D161" s="20">
        <f t="shared" ca="1" si="1"/>
        <v>1.5824942837658951E-2</v>
      </c>
      <c r="E161" s="8">
        <f ca="1">'TikTok Ads Raw Data'!C161</f>
        <v>789</v>
      </c>
      <c r="F161" s="9">
        <f t="shared" ca="1" si="2"/>
        <v>0.97591888466413179</v>
      </c>
      <c r="G161" s="9">
        <f t="shared" ca="1" si="3"/>
        <v>15.443860564001765</v>
      </c>
      <c r="H161" s="9">
        <f ca="1">'TikTok Ads Raw Data'!D161</f>
        <v>770</v>
      </c>
      <c r="I161" s="20">
        <f t="shared" ca="1" si="4"/>
        <v>1.2674271229404309E-2</v>
      </c>
      <c r="J161" s="8">
        <f ca="1">'TikTok Ads Raw Data'!E161</f>
        <v>10</v>
      </c>
      <c r="K161" s="9">
        <f t="shared" ca="1" si="5"/>
        <v>150.9</v>
      </c>
      <c r="L161" s="9">
        <f ca="1">'TikTok Ads Raw Data'!F161</f>
        <v>1509</v>
      </c>
    </row>
    <row r="162" spans="1:12" ht="13" x14ac:dyDescent="0.15">
      <c r="A162" s="7">
        <f ca="1">'TikTok Ads Raw Data'!A162</f>
        <v>45818</v>
      </c>
      <c r="B162" s="8">
        <f t="shared" ca="1" si="0"/>
        <v>6</v>
      </c>
      <c r="C162" s="24">
        <f ca="1">'TikTok Ads Raw Data'!B162</f>
        <v>92974</v>
      </c>
      <c r="D162" s="20">
        <f t="shared" ca="1" si="1"/>
        <v>2.9825542624819842E-2</v>
      </c>
      <c r="E162" s="8">
        <f ca="1">'TikTok Ads Raw Data'!C162</f>
        <v>2773</v>
      </c>
      <c r="F162" s="9">
        <f t="shared" ca="1" si="2"/>
        <v>0.73927154706094478</v>
      </c>
      <c r="G162" s="9">
        <f t="shared" ca="1" si="3"/>
        <v>22.049175038182717</v>
      </c>
      <c r="H162" s="9">
        <f ca="1">'TikTok Ads Raw Data'!D162</f>
        <v>2050</v>
      </c>
      <c r="I162" s="20">
        <f t="shared" ca="1" si="4"/>
        <v>1.2621709340064912E-2</v>
      </c>
      <c r="J162" s="8">
        <f ca="1">'TikTok Ads Raw Data'!E162</f>
        <v>35</v>
      </c>
      <c r="K162" s="9">
        <f t="shared" ca="1" si="5"/>
        <v>154.31428571428572</v>
      </c>
      <c r="L162" s="9">
        <f ca="1">'TikTok Ads Raw Data'!F162</f>
        <v>5401</v>
      </c>
    </row>
    <row r="163" spans="1:12" ht="13" x14ac:dyDescent="0.15">
      <c r="A163" s="7">
        <f ca="1">'TikTok Ads Raw Data'!A163</f>
        <v>45819</v>
      </c>
      <c r="B163" s="8">
        <f t="shared" ca="1" si="0"/>
        <v>6</v>
      </c>
      <c r="C163" s="24">
        <f ca="1">'TikTok Ads Raw Data'!B163</f>
        <v>93927</v>
      </c>
      <c r="D163" s="20">
        <f t="shared" ca="1" si="1"/>
        <v>1.5735624474325808E-2</v>
      </c>
      <c r="E163" s="8">
        <f ca="1">'TikTok Ads Raw Data'!C163</f>
        <v>1478</v>
      </c>
      <c r="F163" s="9">
        <f t="shared" ca="1" si="2"/>
        <v>0.71853856562922869</v>
      </c>
      <c r="G163" s="9">
        <f t="shared" ca="1" si="3"/>
        <v>11.306653039062249</v>
      </c>
      <c r="H163" s="9">
        <f ca="1">'TikTok Ads Raw Data'!D163</f>
        <v>1062</v>
      </c>
      <c r="I163" s="20">
        <f t="shared" ca="1" si="4"/>
        <v>1.1502029769959404E-2</v>
      </c>
      <c r="J163" s="8">
        <f ca="1">'TikTok Ads Raw Data'!E163</f>
        <v>17</v>
      </c>
      <c r="K163" s="9">
        <f t="shared" ca="1" si="5"/>
        <v>189.76470588235293</v>
      </c>
      <c r="L163" s="9">
        <f ca="1">'TikTok Ads Raw Data'!F163</f>
        <v>3226</v>
      </c>
    </row>
    <row r="164" spans="1:12" ht="13" x14ac:dyDescent="0.15">
      <c r="A164" s="7">
        <f ca="1">'TikTok Ads Raw Data'!A164</f>
        <v>45820</v>
      </c>
      <c r="B164" s="8">
        <f t="shared" ca="1" si="0"/>
        <v>6</v>
      </c>
      <c r="C164" s="24">
        <f ca="1">'TikTok Ads Raw Data'!B164</f>
        <v>31823</v>
      </c>
      <c r="D164" s="20">
        <f t="shared" ca="1" si="1"/>
        <v>1.5963296986456335E-2</v>
      </c>
      <c r="E164" s="8">
        <f ca="1">'TikTok Ads Raw Data'!C164</f>
        <v>508</v>
      </c>
      <c r="F164" s="9">
        <f t="shared" ca="1" si="2"/>
        <v>0.69094488188976377</v>
      </c>
      <c r="G164" s="9">
        <f t="shared" ca="1" si="3"/>
        <v>11.029758350878295</v>
      </c>
      <c r="H164" s="9">
        <f ca="1">'TikTok Ads Raw Data'!D164</f>
        <v>351</v>
      </c>
      <c r="I164" s="20">
        <f t="shared" ca="1" si="4"/>
        <v>2.1653543307086614E-2</v>
      </c>
      <c r="J164" s="8">
        <f ca="1">'TikTok Ads Raw Data'!E164</f>
        <v>11</v>
      </c>
      <c r="K164" s="9">
        <f t="shared" ca="1" si="5"/>
        <v>168.90909090909091</v>
      </c>
      <c r="L164" s="9">
        <f ca="1">'TikTok Ads Raw Data'!F164</f>
        <v>1858</v>
      </c>
    </row>
    <row r="165" spans="1:12" ht="13" x14ac:dyDescent="0.15">
      <c r="A165" s="7">
        <f ca="1">'TikTok Ads Raw Data'!A165</f>
        <v>45821</v>
      </c>
      <c r="B165" s="8">
        <f t="shared" ca="1" si="0"/>
        <v>6</v>
      </c>
      <c r="C165" s="24">
        <f ca="1">'TikTok Ads Raw Data'!B165</f>
        <v>59219</v>
      </c>
      <c r="D165" s="20">
        <f t="shared" ca="1" si="1"/>
        <v>2.8622570458805452E-2</v>
      </c>
      <c r="E165" s="8">
        <f ca="1">'TikTok Ads Raw Data'!C165</f>
        <v>1695</v>
      </c>
      <c r="F165" s="9">
        <f t="shared" ca="1" si="2"/>
        <v>1.1870206489675517</v>
      </c>
      <c r="G165" s="9">
        <f t="shared" ca="1" si="3"/>
        <v>33.975582161130717</v>
      </c>
      <c r="H165" s="9">
        <f ca="1">'TikTok Ads Raw Data'!D165</f>
        <v>2012</v>
      </c>
      <c r="I165" s="20">
        <f t="shared" ca="1" si="4"/>
        <v>2.0058997050147492E-2</v>
      </c>
      <c r="J165" s="8">
        <f ca="1">'TikTok Ads Raw Data'!E165</f>
        <v>34</v>
      </c>
      <c r="K165" s="9">
        <f t="shared" ca="1" si="5"/>
        <v>186.79411764705881</v>
      </c>
      <c r="L165" s="9">
        <f ca="1">'TikTok Ads Raw Data'!F165</f>
        <v>6351</v>
      </c>
    </row>
    <row r="166" spans="1:12" ht="13" x14ac:dyDescent="0.15">
      <c r="A166" s="7">
        <f ca="1">'TikTok Ads Raw Data'!A166</f>
        <v>45822</v>
      </c>
      <c r="B166" s="8">
        <f t="shared" ca="1" si="0"/>
        <v>6</v>
      </c>
      <c r="C166" s="24">
        <f ca="1">'TikTok Ads Raw Data'!B166</f>
        <v>73802</v>
      </c>
      <c r="D166" s="20">
        <f t="shared" ca="1" si="1"/>
        <v>2.2465515839679141E-2</v>
      </c>
      <c r="E166" s="8">
        <f ca="1">'TikTok Ads Raw Data'!C166</f>
        <v>1658</v>
      </c>
      <c r="F166" s="9">
        <f t="shared" ca="1" si="2"/>
        <v>0.76537997587454765</v>
      </c>
      <c r="G166" s="9">
        <f t="shared" ca="1" si="3"/>
        <v>17.194655971382886</v>
      </c>
      <c r="H166" s="9">
        <f ca="1">'TikTok Ads Raw Data'!D166</f>
        <v>1269</v>
      </c>
      <c r="I166" s="20">
        <f t="shared" ca="1" si="4"/>
        <v>1.5078407720144753E-2</v>
      </c>
      <c r="J166" s="8">
        <f ca="1">'TikTok Ads Raw Data'!E166</f>
        <v>25</v>
      </c>
      <c r="K166" s="9">
        <f t="shared" ca="1" si="5"/>
        <v>177.16</v>
      </c>
      <c r="L166" s="9">
        <f ca="1">'TikTok Ads Raw Data'!F166</f>
        <v>4429</v>
      </c>
    </row>
    <row r="167" spans="1:12" ht="13" x14ac:dyDescent="0.15">
      <c r="A167" s="7">
        <f ca="1">'TikTok Ads Raw Data'!A167</f>
        <v>45823</v>
      </c>
      <c r="B167" s="8">
        <f t="shared" ca="1" si="0"/>
        <v>6</v>
      </c>
      <c r="C167" s="24">
        <f ca="1">'TikTok Ads Raw Data'!B167</f>
        <v>88524</v>
      </c>
      <c r="D167" s="20">
        <f t="shared" ca="1" si="1"/>
        <v>3.162984049523293E-2</v>
      </c>
      <c r="E167" s="8">
        <f ca="1">'TikTok Ads Raw Data'!C167</f>
        <v>2800</v>
      </c>
      <c r="F167" s="9">
        <f t="shared" ca="1" si="2"/>
        <v>0.7282142857142857</v>
      </c>
      <c r="G167" s="9">
        <f t="shared" ca="1" si="3"/>
        <v>23.033301703492839</v>
      </c>
      <c r="H167" s="9">
        <f ca="1">'TikTok Ads Raw Data'!D167</f>
        <v>2039</v>
      </c>
      <c r="I167" s="20">
        <f t="shared" ca="1" si="4"/>
        <v>2.2499999999999999E-2</v>
      </c>
      <c r="J167" s="8">
        <f ca="1">'TikTok Ads Raw Data'!E167</f>
        <v>63</v>
      </c>
      <c r="K167" s="9">
        <f t="shared" ca="1" si="5"/>
        <v>178.60317460317461</v>
      </c>
      <c r="L167" s="9">
        <f ca="1">'TikTok Ads Raw Data'!F167</f>
        <v>11252</v>
      </c>
    </row>
    <row r="168" spans="1:12" ht="13" x14ac:dyDescent="0.15">
      <c r="A168" s="7">
        <f ca="1">'TikTok Ads Raw Data'!A168</f>
        <v>45824</v>
      </c>
      <c r="B168" s="8">
        <f t="shared" ca="1" si="0"/>
        <v>6</v>
      </c>
      <c r="C168" s="24">
        <f ca="1">'TikTok Ads Raw Data'!B168</f>
        <v>96726</v>
      </c>
      <c r="D168" s="20">
        <f t="shared" ca="1" si="1"/>
        <v>3.5398962016417512E-2</v>
      </c>
      <c r="E168" s="8">
        <f ca="1">'TikTok Ads Raw Data'!C168</f>
        <v>3424</v>
      </c>
      <c r="F168" s="9">
        <f t="shared" ca="1" si="2"/>
        <v>1.1168224299065421</v>
      </c>
      <c r="G168" s="9">
        <f t="shared" ca="1" si="3"/>
        <v>39.534354775344788</v>
      </c>
      <c r="H168" s="9">
        <f ca="1">'TikTok Ads Raw Data'!D168</f>
        <v>3824</v>
      </c>
      <c r="I168" s="20">
        <f t="shared" ca="1" si="4"/>
        <v>1.5186915887850467E-2</v>
      </c>
      <c r="J168" s="8">
        <f ca="1">'TikTok Ads Raw Data'!E168</f>
        <v>52</v>
      </c>
      <c r="K168" s="9">
        <f t="shared" ca="1" si="5"/>
        <v>152.78846153846155</v>
      </c>
      <c r="L168" s="9">
        <f ca="1">'TikTok Ads Raw Data'!F168</f>
        <v>7945</v>
      </c>
    </row>
    <row r="169" spans="1:12" ht="13" x14ac:dyDescent="0.15">
      <c r="A169" s="7">
        <f ca="1">'TikTok Ads Raw Data'!A169</f>
        <v>45825</v>
      </c>
      <c r="B169" s="8">
        <f t="shared" ca="1" si="0"/>
        <v>6</v>
      </c>
      <c r="C169" s="24">
        <f ca="1">'TikTok Ads Raw Data'!B169</f>
        <v>36420</v>
      </c>
      <c r="D169" s="20">
        <f t="shared" ca="1" si="1"/>
        <v>1.8176825919824273E-2</v>
      </c>
      <c r="E169" s="8">
        <f ca="1">'TikTok Ads Raw Data'!C169</f>
        <v>662</v>
      </c>
      <c r="F169" s="9">
        <f t="shared" ca="1" si="2"/>
        <v>0.72356495468277948</v>
      </c>
      <c r="G169" s="9">
        <f t="shared" ca="1" si="3"/>
        <v>13.15211422295442</v>
      </c>
      <c r="H169" s="9">
        <f ca="1">'TikTok Ads Raw Data'!D169</f>
        <v>479</v>
      </c>
      <c r="I169" s="20">
        <f t="shared" ca="1" si="4"/>
        <v>1.0574018126888218E-2</v>
      </c>
      <c r="J169" s="8">
        <f ca="1">'TikTok Ads Raw Data'!E169</f>
        <v>7</v>
      </c>
      <c r="K169" s="9">
        <f t="shared" ca="1" si="5"/>
        <v>219.14285714285714</v>
      </c>
      <c r="L169" s="9">
        <f ca="1">'TikTok Ads Raw Data'!F169</f>
        <v>1534</v>
      </c>
    </row>
    <row r="170" spans="1:12" ht="13" x14ac:dyDescent="0.15">
      <c r="A170" s="7">
        <f ca="1">'TikTok Ads Raw Data'!A170</f>
        <v>45826</v>
      </c>
      <c r="B170" s="8">
        <f t="shared" ca="1" si="0"/>
        <v>6</v>
      </c>
      <c r="C170" s="24">
        <f ca="1">'TikTok Ads Raw Data'!B170</f>
        <v>46221</v>
      </c>
      <c r="D170" s="20">
        <f t="shared" ca="1" si="1"/>
        <v>8.4377231128707729E-3</v>
      </c>
      <c r="E170" s="8">
        <f ca="1">'TikTok Ads Raw Data'!C170</f>
        <v>390</v>
      </c>
      <c r="F170" s="9">
        <f t="shared" ca="1" si="2"/>
        <v>1.4205128205128206</v>
      </c>
      <c r="G170" s="9">
        <f t="shared" ca="1" si="3"/>
        <v>11.985893857770279</v>
      </c>
      <c r="H170" s="9">
        <f ca="1">'TikTok Ads Raw Data'!D170</f>
        <v>554</v>
      </c>
      <c r="I170" s="20">
        <f t="shared" ca="1" si="4"/>
        <v>1.5384615384615385E-2</v>
      </c>
      <c r="J170" s="8">
        <f ca="1">'TikTok Ads Raw Data'!E170</f>
        <v>6</v>
      </c>
      <c r="K170" s="9">
        <f t="shared" ca="1" si="5"/>
        <v>178.66666666666666</v>
      </c>
      <c r="L170" s="9">
        <f ca="1">'TikTok Ads Raw Data'!F170</f>
        <v>1072</v>
      </c>
    </row>
    <row r="171" spans="1:12" ht="13" x14ac:dyDescent="0.15">
      <c r="A171" s="7">
        <f ca="1">'TikTok Ads Raw Data'!A171</f>
        <v>45827</v>
      </c>
      <c r="B171" s="8">
        <f t="shared" ca="1" si="0"/>
        <v>6</v>
      </c>
      <c r="C171" s="24">
        <f ca="1">'TikTok Ads Raw Data'!B171</f>
        <v>54089</v>
      </c>
      <c r="D171" s="20">
        <f t="shared" ca="1" si="1"/>
        <v>2.7750559263436187E-2</v>
      </c>
      <c r="E171" s="8">
        <f ca="1">'TikTok Ads Raw Data'!C171</f>
        <v>1501</v>
      </c>
      <c r="F171" s="9">
        <f t="shared" ca="1" si="2"/>
        <v>0.79280479680213189</v>
      </c>
      <c r="G171" s="9">
        <f t="shared" ca="1" si="3"/>
        <v>22.000776497994046</v>
      </c>
      <c r="H171" s="9">
        <f ca="1">'TikTok Ads Raw Data'!D171</f>
        <v>1190</v>
      </c>
      <c r="I171" s="20">
        <f t="shared" ca="1" si="4"/>
        <v>1.3324450366422385E-2</v>
      </c>
      <c r="J171" s="8">
        <f ca="1">'TikTok Ads Raw Data'!E171</f>
        <v>20</v>
      </c>
      <c r="K171" s="9">
        <f t="shared" ca="1" si="5"/>
        <v>178.6</v>
      </c>
      <c r="L171" s="9">
        <f ca="1">'TikTok Ads Raw Data'!F171</f>
        <v>3572</v>
      </c>
    </row>
    <row r="172" spans="1:12" ht="13" x14ac:dyDescent="0.15">
      <c r="A172" s="7">
        <f ca="1">'TikTok Ads Raw Data'!A172</f>
        <v>45828</v>
      </c>
      <c r="B172" s="8">
        <f t="shared" ca="1" si="0"/>
        <v>6</v>
      </c>
      <c r="C172" s="24">
        <f ca="1">'TikTok Ads Raw Data'!B172</f>
        <v>66874</v>
      </c>
      <c r="D172" s="20">
        <f t="shared" ca="1" si="1"/>
        <v>2.4314382271136765E-2</v>
      </c>
      <c r="E172" s="8">
        <f ca="1">'TikTok Ads Raw Data'!C172</f>
        <v>1626</v>
      </c>
      <c r="F172" s="9">
        <f t="shared" ca="1" si="2"/>
        <v>1.1555965559655597</v>
      </c>
      <c r="G172" s="9">
        <f t="shared" ca="1" si="3"/>
        <v>28.097616412955709</v>
      </c>
      <c r="H172" s="9">
        <f ca="1">'TikTok Ads Raw Data'!D172</f>
        <v>1879</v>
      </c>
      <c r="I172" s="20">
        <f t="shared" ca="1" si="4"/>
        <v>2.3985239852398525E-2</v>
      </c>
      <c r="J172" s="8">
        <f ca="1">'TikTok Ads Raw Data'!E172</f>
        <v>39</v>
      </c>
      <c r="K172" s="9">
        <f t="shared" ca="1" si="5"/>
        <v>175.48717948717947</v>
      </c>
      <c r="L172" s="9">
        <f ca="1">'TikTok Ads Raw Data'!F172</f>
        <v>6844</v>
      </c>
    </row>
    <row r="173" spans="1:12" ht="13" x14ac:dyDescent="0.15">
      <c r="A173" s="7">
        <f ca="1">'TikTok Ads Raw Data'!A173</f>
        <v>45829</v>
      </c>
      <c r="B173" s="8">
        <f t="shared" ca="1" si="0"/>
        <v>6</v>
      </c>
      <c r="C173" s="24">
        <f ca="1">'TikTok Ads Raw Data'!B173</f>
        <v>91720</v>
      </c>
      <c r="D173" s="20">
        <f t="shared" ca="1" si="1"/>
        <v>2.5556040122110772E-2</v>
      </c>
      <c r="E173" s="8">
        <f ca="1">'TikTok Ads Raw Data'!C173</f>
        <v>2344</v>
      </c>
      <c r="F173" s="9">
        <f t="shared" ca="1" si="2"/>
        <v>1.223976109215017</v>
      </c>
      <c r="G173" s="9">
        <f t="shared" ca="1" si="3"/>
        <v>31.279982555604011</v>
      </c>
      <c r="H173" s="9">
        <f ca="1">'TikTok Ads Raw Data'!D173</f>
        <v>2869</v>
      </c>
      <c r="I173" s="20">
        <f t="shared" ca="1" si="4"/>
        <v>2.0477815699658702E-2</v>
      </c>
      <c r="J173" s="8">
        <f ca="1">'TikTok Ads Raw Data'!E173</f>
        <v>48</v>
      </c>
      <c r="K173" s="9">
        <f t="shared" ca="1" si="5"/>
        <v>161.66666666666666</v>
      </c>
      <c r="L173" s="9">
        <f ca="1">'TikTok Ads Raw Data'!F173</f>
        <v>7760</v>
      </c>
    </row>
    <row r="174" spans="1:12" ht="13" x14ac:dyDescent="0.15">
      <c r="A174" s="7">
        <f ca="1">'TikTok Ads Raw Data'!A174</f>
        <v>45830</v>
      </c>
      <c r="B174" s="8">
        <f t="shared" ca="1" si="0"/>
        <v>6</v>
      </c>
      <c r="C174" s="24">
        <f ca="1">'TikTok Ads Raw Data'!B174</f>
        <v>91964</v>
      </c>
      <c r="D174" s="20">
        <f t="shared" ca="1" si="1"/>
        <v>3.0696794397807838E-2</v>
      </c>
      <c r="E174" s="8">
        <f ca="1">'TikTok Ads Raw Data'!C174</f>
        <v>2823</v>
      </c>
      <c r="F174" s="9">
        <f t="shared" ca="1" si="2"/>
        <v>1.1193765497697485</v>
      </c>
      <c r="G174" s="9">
        <f t="shared" ca="1" si="3"/>
        <v>34.361271802009483</v>
      </c>
      <c r="H174" s="9">
        <f ca="1">'TikTok Ads Raw Data'!D174</f>
        <v>3160</v>
      </c>
      <c r="I174" s="20">
        <f t="shared" ca="1" si="4"/>
        <v>1.6648955012398159E-2</v>
      </c>
      <c r="J174" s="8">
        <f ca="1">'TikTok Ads Raw Data'!E174</f>
        <v>47</v>
      </c>
      <c r="K174" s="9">
        <f t="shared" ca="1" si="5"/>
        <v>145.27659574468086</v>
      </c>
      <c r="L174" s="9">
        <f ca="1">'TikTok Ads Raw Data'!F174</f>
        <v>6828</v>
      </c>
    </row>
    <row r="175" spans="1:12" ht="13" x14ac:dyDescent="0.15">
      <c r="A175" s="7">
        <f ca="1">'TikTok Ads Raw Data'!A175</f>
        <v>45831</v>
      </c>
      <c r="B175" s="8">
        <f t="shared" ca="1" si="0"/>
        <v>6</v>
      </c>
      <c r="C175" s="24">
        <f ca="1">'TikTok Ads Raw Data'!B175</f>
        <v>70888</v>
      </c>
      <c r="D175" s="20">
        <f t="shared" ca="1" si="1"/>
        <v>1.6956325471165781E-2</v>
      </c>
      <c r="E175" s="8">
        <f ca="1">'TikTok Ads Raw Data'!C175</f>
        <v>1202</v>
      </c>
      <c r="F175" s="9">
        <f t="shared" ca="1" si="2"/>
        <v>1.2420965058236273</v>
      </c>
      <c r="G175" s="9">
        <f t="shared" ca="1" si="3"/>
        <v>21.061392619343188</v>
      </c>
      <c r="H175" s="9">
        <f ca="1">'TikTok Ads Raw Data'!D175</f>
        <v>1493</v>
      </c>
      <c r="I175" s="20">
        <f t="shared" ca="1" si="4"/>
        <v>2.2462562396006656E-2</v>
      </c>
      <c r="J175" s="8">
        <f ca="1">'TikTok Ads Raw Data'!E175</f>
        <v>27</v>
      </c>
      <c r="K175" s="9">
        <f t="shared" ca="1" si="5"/>
        <v>176.96296296296296</v>
      </c>
      <c r="L175" s="9">
        <f ca="1">'TikTok Ads Raw Data'!F175</f>
        <v>4778</v>
      </c>
    </row>
    <row r="176" spans="1:12" ht="13" x14ac:dyDescent="0.15">
      <c r="A176" s="7">
        <f ca="1">'TikTok Ads Raw Data'!A176</f>
        <v>45832</v>
      </c>
      <c r="B176" s="8">
        <f t="shared" ca="1" si="0"/>
        <v>6</v>
      </c>
      <c r="C176" s="24">
        <f ca="1">'TikTok Ads Raw Data'!B176</f>
        <v>85428</v>
      </c>
      <c r="D176" s="20">
        <f t="shared" ca="1" si="1"/>
        <v>1.0886360443882567E-2</v>
      </c>
      <c r="E176" s="8">
        <f ca="1">'TikTok Ads Raw Data'!C176</f>
        <v>930</v>
      </c>
      <c r="F176" s="9">
        <f t="shared" ca="1" si="2"/>
        <v>1.2365591397849462</v>
      </c>
      <c r="G176" s="9">
        <f t="shared" ca="1" si="3"/>
        <v>13.461628505876295</v>
      </c>
      <c r="H176" s="9">
        <f ca="1">'TikTok Ads Raw Data'!D176</f>
        <v>1150</v>
      </c>
      <c r="I176" s="20">
        <f t="shared" ca="1" si="4"/>
        <v>2.2580645161290321E-2</v>
      </c>
      <c r="J176" s="8">
        <f ca="1">'TikTok Ads Raw Data'!E176</f>
        <v>21</v>
      </c>
      <c r="K176" s="9">
        <f t="shared" ca="1" si="5"/>
        <v>130.28571428571428</v>
      </c>
      <c r="L176" s="9">
        <f ca="1">'TikTok Ads Raw Data'!F176</f>
        <v>2736</v>
      </c>
    </row>
    <row r="177" spans="1:12" ht="13" x14ac:dyDescent="0.15">
      <c r="A177" s="7">
        <f ca="1">'TikTok Ads Raw Data'!A177</f>
        <v>45833</v>
      </c>
      <c r="B177" s="8">
        <f t="shared" ca="1" si="0"/>
        <v>6</v>
      </c>
      <c r="C177" s="24">
        <f ca="1">'TikTok Ads Raw Data'!B177</f>
        <v>36396</v>
      </c>
      <c r="D177" s="20">
        <f t="shared" ca="1" si="1"/>
        <v>1.6787559072425542E-2</v>
      </c>
      <c r="E177" s="8">
        <f ca="1">'TikTok Ads Raw Data'!C177</f>
        <v>611</v>
      </c>
      <c r="F177" s="9">
        <f t="shared" ca="1" si="2"/>
        <v>0.78068739770867435</v>
      </c>
      <c r="G177" s="9">
        <f t="shared" ca="1" si="3"/>
        <v>13.105835806132541</v>
      </c>
      <c r="H177" s="9">
        <f ca="1">'TikTok Ads Raw Data'!D177</f>
        <v>477</v>
      </c>
      <c r="I177" s="20">
        <f t="shared" ca="1" si="4"/>
        <v>1.6366612111292964E-2</v>
      </c>
      <c r="J177" s="8">
        <f ca="1">'TikTok Ads Raw Data'!E177</f>
        <v>10</v>
      </c>
      <c r="K177" s="9">
        <f t="shared" ca="1" si="5"/>
        <v>199.1</v>
      </c>
      <c r="L177" s="9">
        <f ca="1">'TikTok Ads Raw Data'!F177</f>
        <v>1991</v>
      </c>
    </row>
    <row r="178" spans="1:12" ht="13" x14ac:dyDescent="0.15">
      <c r="A178" s="7">
        <f ca="1">'TikTok Ads Raw Data'!A178</f>
        <v>45834</v>
      </c>
      <c r="B178" s="8">
        <f t="shared" ca="1" si="0"/>
        <v>6</v>
      </c>
      <c r="C178" s="24">
        <f ca="1">'TikTok Ads Raw Data'!B178</f>
        <v>78357</v>
      </c>
      <c r="D178" s="20">
        <f t="shared" ca="1" si="1"/>
        <v>1.9653636560868843E-2</v>
      </c>
      <c r="E178" s="8">
        <f ca="1">'TikTok Ads Raw Data'!C178</f>
        <v>1540</v>
      </c>
      <c r="F178" s="9">
        <f t="shared" ca="1" si="2"/>
        <v>1.1805194805194805</v>
      </c>
      <c r="G178" s="9">
        <f t="shared" ca="1" si="3"/>
        <v>23.201500823155559</v>
      </c>
      <c r="H178" s="9">
        <f ca="1">'TikTok Ads Raw Data'!D178</f>
        <v>1818</v>
      </c>
      <c r="I178" s="20">
        <f t="shared" ca="1" si="4"/>
        <v>2.1428571428571429E-2</v>
      </c>
      <c r="J178" s="8">
        <f ca="1">'TikTok Ads Raw Data'!E178</f>
        <v>33</v>
      </c>
      <c r="K178" s="9">
        <f t="shared" ca="1" si="5"/>
        <v>168.66666666666666</v>
      </c>
      <c r="L178" s="9">
        <f ca="1">'TikTok Ads Raw Data'!F178</f>
        <v>5566</v>
      </c>
    </row>
    <row r="179" spans="1:12" ht="13" x14ac:dyDescent="0.15">
      <c r="A179" s="7">
        <f ca="1">'TikTok Ads Raw Data'!A179</f>
        <v>45835</v>
      </c>
      <c r="B179" s="8">
        <f t="shared" ca="1" si="0"/>
        <v>6</v>
      </c>
      <c r="C179" s="24">
        <f ca="1">'TikTok Ads Raw Data'!B179</f>
        <v>39906</v>
      </c>
      <c r="D179" s="20">
        <f t="shared" ca="1" si="1"/>
        <v>2.2177116223124342E-2</v>
      </c>
      <c r="E179" s="8">
        <f ca="1">'TikTok Ads Raw Data'!C179</f>
        <v>885</v>
      </c>
      <c r="F179" s="9">
        <f t="shared" ca="1" si="2"/>
        <v>1.1615819209039548</v>
      </c>
      <c r="G179" s="9">
        <f t="shared" ca="1" si="3"/>
        <v>25.760537262567034</v>
      </c>
      <c r="H179" s="9">
        <f ca="1">'TikTok Ads Raw Data'!D179</f>
        <v>1028</v>
      </c>
      <c r="I179" s="20">
        <f t="shared" ca="1" si="4"/>
        <v>1.92090395480226E-2</v>
      </c>
      <c r="J179" s="8">
        <f ca="1">'TikTok Ads Raw Data'!E179</f>
        <v>17</v>
      </c>
      <c r="K179" s="9">
        <f t="shared" ca="1" si="5"/>
        <v>156.47058823529412</v>
      </c>
      <c r="L179" s="9">
        <f ca="1">'TikTok Ads Raw Data'!F179</f>
        <v>2660</v>
      </c>
    </row>
    <row r="180" spans="1:12" ht="13" x14ac:dyDescent="0.15">
      <c r="A180" s="7">
        <f ca="1">'TikTok Ads Raw Data'!A180</f>
        <v>45836</v>
      </c>
      <c r="B180" s="8">
        <f t="shared" ca="1" si="0"/>
        <v>6</v>
      </c>
      <c r="C180" s="24">
        <f ca="1">'TikTok Ads Raw Data'!B180</f>
        <v>36228</v>
      </c>
      <c r="D180" s="20">
        <f t="shared" ca="1" si="1"/>
        <v>1.8107541128408965E-2</v>
      </c>
      <c r="E180" s="8">
        <f ca="1">'TikTok Ads Raw Data'!C180</f>
        <v>656</v>
      </c>
      <c r="F180" s="9">
        <f t="shared" ca="1" si="2"/>
        <v>1.100609756097561</v>
      </c>
      <c r="G180" s="9">
        <f t="shared" ca="1" si="3"/>
        <v>19.929336424864744</v>
      </c>
      <c r="H180" s="9">
        <f ca="1">'TikTok Ads Raw Data'!D180</f>
        <v>722</v>
      </c>
      <c r="I180" s="20">
        <f t="shared" ca="1" si="4"/>
        <v>1.676829268292683E-2</v>
      </c>
      <c r="J180" s="8">
        <f ca="1">'TikTok Ads Raw Data'!E180</f>
        <v>11</v>
      </c>
      <c r="K180" s="9">
        <f t="shared" ca="1" si="5"/>
        <v>160</v>
      </c>
      <c r="L180" s="9">
        <f ca="1">'TikTok Ads Raw Data'!F180</f>
        <v>1760</v>
      </c>
    </row>
    <row r="181" spans="1:12" ht="13" x14ac:dyDescent="0.15">
      <c r="A181" s="7">
        <f ca="1">'TikTok Ads Raw Data'!A181</f>
        <v>45837</v>
      </c>
      <c r="B181" s="8">
        <f t="shared" ca="1" si="0"/>
        <v>6</v>
      </c>
      <c r="C181" s="24">
        <f ca="1">'TikTok Ads Raw Data'!B181</f>
        <v>39763</v>
      </c>
      <c r="D181" s="20">
        <f t="shared" ca="1" si="1"/>
        <v>1.2348162864974976E-2</v>
      </c>
      <c r="E181" s="8">
        <f ca="1">'TikTok Ads Raw Data'!C181</f>
        <v>491</v>
      </c>
      <c r="F181" s="9">
        <f t="shared" ca="1" si="2"/>
        <v>0.86150712830957232</v>
      </c>
      <c r="G181" s="9">
        <f t="shared" ca="1" si="3"/>
        <v>10.638030329703493</v>
      </c>
      <c r="H181" s="9">
        <f ca="1">'TikTok Ads Raw Data'!D181</f>
        <v>423</v>
      </c>
      <c r="I181" s="20">
        <f t="shared" ca="1" si="4"/>
        <v>2.4439918533604887E-2</v>
      </c>
      <c r="J181" s="8">
        <f ca="1">'TikTok Ads Raw Data'!E181</f>
        <v>12</v>
      </c>
      <c r="K181" s="9">
        <f t="shared" ca="1" si="5"/>
        <v>134.5</v>
      </c>
      <c r="L181" s="9">
        <f ca="1">'TikTok Ads Raw Data'!F181</f>
        <v>1614</v>
      </c>
    </row>
    <row r="182" spans="1:12" ht="13" x14ac:dyDescent="0.15">
      <c r="A182" s="7">
        <f ca="1">'TikTok Ads Raw Data'!A182</f>
        <v>45838</v>
      </c>
      <c r="B182" s="8">
        <f t="shared" ca="1" si="0"/>
        <v>6</v>
      </c>
      <c r="C182" s="24">
        <f ca="1">'TikTok Ads Raw Data'!B182</f>
        <v>56341</v>
      </c>
      <c r="D182" s="20">
        <f t="shared" ca="1" si="1"/>
        <v>2.058891393478994E-2</v>
      </c>
      <c r="E182" s="8">
        <f ca="1">'TikTok Ads Raw Data'!C182</f>
        <v>1160</v>
      </c>
      <c r="F182" s="9">
        <f t="shared" ca="1" si="2"/>
        <v>1.3137931034482759</v>
      </c>
      <c r="G182" s="9">
        <f t="shared" ca="1" si="3"/>
        <v>27.049573135017127</v>
      </c>
      <c r="H182" s="9">
        <f ca="1">'TikTok Ads Raw Data'!D182</f>
        <v>1524</v>
      </c>
      <c r="I182" s="20">
        <f t="shared" ca="1" si="4"/>
        <v>1.896551724137931E-2</v>
      </c>
      <c r="J182" s="8">
        <f ca="1">'TikTok Ads Raw Data'!E182</f>
        <v>22</v>
      </c>
      <c r="K182" s="9">
        <f t="shared" ca="1" si="5"/>
        <v>130.5</v>
      </c>
      <c r="L182" s="9">
        <f ca="1">'TikTok Ads Raw Data'!F182</f>
        <v>2871</v>
      </c>
    </row>
    <row r="183" spans="1:12" ht="13" x14ac:dyDescent="0.15">
      <c r="A183" s="7">
        <f ca="1">'TikTok Ads Raw Data'!A183</f>
        <v>45839</v>
      </c>
      <c r="B183" s="8">
        <f t="shared" ca="1" si="0"/>
        <v>7</v>
      </c>
      <c r="C183" s="24">
        <f ca="1">'TikTok Ads Raw Data'!B183</f>
        <v>102174</v>
      </c>
      <c r="D183" s="20">
        <f t="shared" ca="1" si="1"/>
        <v>2.7365083093546304E-2</v>
      </c>
      <c r="E183" s="8">
        <f ca="1">'TikTok Ads Raw Data'!C183</f>
        <v>2796</v>
      </c>
      <c r="F183" s="9">
        <f t="shared" ca="1" si="2"/>
        <v>0.96387696709585124</v>
      </c>
      <c r="G183" s="9">
        <f t="shared" ca="1" si="3"/>
        <v>26.376573296533362</v>
      </c>
      <c r="H183" s="9">
        <f ca="1">'TikTok Ads Raw Data'!D183</f>
        <v>2695</v>
      </c>
      <c r="I183" s="20">
        <f t="shared" ca="1" si="4"/>
        <v>2.1816881258941344E-2</v>
      </c>
      <c r="J183" s="8">
        <f ca="1">'TikTok Ads Raw Data'!E183</f>
        <v>61</v>
      </c>
      <c r="K183" s="9">
        <f t="shared" ca="1" si="5"/>
        <v>181.52459016393442</v>
      </c>
      <c r="L183" s="9">
        <f ca="1">'TikTok Ads Raw Data'!F183</f>
        <v>11073</v>
      </c>
    </row>
    <row r="184" spans="1:12" ht="13" x14ac:dyDescent="0.15">
      <c r="A184" s="7">
        <f ca="1">'TikTok Ads Raw Data'!A184</f>
        <v>45840</v>
      </c>
      <c r="B184" s="8">
        <f t="shared" ca="1" si="0"/>
        <v>7</v>
      </c>
      <c r="C184" s="24">
        <f ca="1">'TikTok Ads Raw Data'!B184</f>
        <v>37030</v>
      </c>
      <c r="D184" s="20">
        <f t="shared" ca="1" si="1"/>
        <v>2.443964353227113E-2</v>
      </c>
      <c r="E184" s="8">
        <f ca="1">'TikTok Ads Raw Data'!C184</f>
        <v>905</v>
      </c>
      <c r="F184" s="9">
        <f t="shared" ca="1" si="2"/>
        <v>0.59668508287292821</v>
      </c>
      <c r="G184" s="9">
        <f t="shared" ca="1" si="3"/>
        <v>14.582770726438023</v>
      </c>
      <c r="H184" s="9">
        <f ca="1">'TikTok Ads Raw Data'!D184</f>
        <v>540</v>
      </c>
      <c r="I184" s="20">
        <f t="shared" ca="1" si="4"/>
        <v>1.9889502762430938E-2</v>
      </c>
      <c r="J184" s="8">
        <f ca="1">'TikTok Ads Raw Data'!E184</f>
        <v>18</v>
      </c>
      <c r="K184" s="9">
        <f t="shared" ca="1" si="5"/>
        <v>180.05555555555554</v>
      </c>
      <c r="L184" s="9">
        <f ca="1">'TikTok Ads Raw Data'!F184</f>
        <v>3241</v>
      </c>
    </row>
    <row r="185" spans="1:12" ht="13" x14ac:dyDescent="0.15">
      <c r="A185" s="7">
        <f ca="1">'TikTok Ads Raw Data'!A185</f>
        <v>45841</v>
      </c>
      <c r="B185" s="8">
        <f t="shared" ca="1" si="0"/>
        <v>7</v>
      </c>
      <c r="C185" s="24">
        <f ca="1">'TikTok Ads Raw Data'!B185</f>
        <v>73230</v>
      </c>
      <c r="D185" s="20">
        <f t="shared" ca="1" si="1"/>
        <v>2.1685101734261913E-2</v>
      </c>
      <c r="E185" s="8">
        <f ca="1">'TikTok Ads Raw Data'!C185</f>
        <v>1588</v>
      </c>
      <c r="F185" s="9">
        <f t="shared" ca="1" si="2"/>
        <v>1.0881612090680102</v>
      </c>
      <c r="G185" s="9">
        <f t="shared" ca="1" si="3"/>
        <v>23.596886521917245</v>
      </c>
      <c r="H185" s="9">
        <f ca="1">'TikTok Ads Raw Data'!D185</f>
        <v>1728</v>
      </c>
      <c r="I185" s="20">
        <f t="shared" ca="1" si="4"/>
        <v>1.2594458438287154E-2</v>
      </c>
      <c r="J185" s="8">
        <f ca="1">'TikTok Ads Raw Data'!E185</f>
        <v>20</v>
      </c>
      <c r="K185" s="9">
        <f t="shared" ca="1" si="5"/>
        <v>152.9</v>
      </c>
      <c r="L185" s="9">
        <f ca="1">'TikTok Ads Raw Data'!F185</f>
        <v>3058</v>
      </c>
    </row>
    <row r="186" spans="1:12" ht="13" x14ac:dyDescent="0.15">
      <c r="A186" s="7">
        <f ca="1">'TikTok Ads Raw Data'!A186</f>
        <v>45842</v>
      </c>
      <c r="B186" s="8">
        <f t="shared" ca="1" si="0"/>
        <v>7</v>
      </c>
      <c r="C186" s="24">
        <f ca="1">'TikTok Ads Raw Data'!B186</f>
        <v>84455</v>
      </c>
      <c r="D186" s="20">
        <f t="shared" ca="1" si="1"/>
        <v>2.0022497187851519E-2</v>
      </c>
      <c r="E186" s="8">
        <f ca="1">'TikTok Ads Raw Data'!C186</f>
        <v>1691</v>
      </c>
      <c r="F186" s="9">
        <f t="shared" ca="1" si="2"/>
        <v>0.63157894736842102</v>
      </c>
      <c r="G186" s="9">
        <f t="shared" ca="1" si="3"/>
        <v>12.645787697590434</v>
      </c>
      <c r="H186" s="9">
        <f ca="1">'TikTok Ads Raw Data'!D186</f>
        <v>1068</v>
      </c>
      <c r="I186" s="20">
        <f t="shared" ca="1" si="4"/>
        <v>1.2418687167356593E-2</v>
      </c>
      <c r="J186" s="8">
        <f ca="1">'TikTok Ads Raw Data'!E186</f>
        <v>21</v>
      </c>
      <c r="K186" s="9">
        <f t="shared" ca="1" si="5"/>
        <v>206</v>
      </c>
      <c r="L186" s="9">
        <f ca="1">'TikTok Ads Raw Data'!F186</f>
        <v>4326</v>
      </c>
    </row>
    <row r="187" spans="1:12" ht="13" x14ac:dyDescent="0.15">
      <c r="A187" s="7">
        <f ca="1">'TikTok Ads Raw Data'!A187</f>
        <v>45843</v>
      </c>
      <c r="B187" s="8">
        <f t="shared" ca="1" si="0"/>
        <v>7</v>
      </c>
      <c r="C187" s="24">
        <f ca="1">'TikTok Ads Raw Data'!B187</f>
        <v>92695</v>
      </c>
      <c r="D187" s="20">
        <f t="shared" ca="1" si="1"/>
        <v>3.3065429634823888E-2</v>
      </c>
      <c r="E187" s="8">
        <f ca="1">'TikTok Ads Raw Data'!C187</f>
        <v>3065</v>
      </c>
      <c r="F187" s="9">
        <f t="shared" ca="1" si="2"/>
        <v>0.8923327895595432</v>
      </c>
      <c r="G187" s="9">
        <f t="shared" ca="1" si="3"/>
        <v>29.505367064027187</v>
      </c>
      <c r="H187" s="9">
        <f ca="1">'TikTok Ads Raw Data'!D187</f>
        <v>2735</v>
      </c>
      <c r="I187" s="20">
        <f t="shared" ca="1" si="4"/>
        <v>1.3703099510603589E-2</v>
      </c>
      <c r="J187" s="8">
        <f ca="1">'TikTok Ads Raw Data'!E187</f>
        <v>42</v>
      </c>
      <c r="K187" s="9">
        <f t="shared" ca="1" si="5"/>
        <v>118.92857142857143</v>
      </c>
      <c r="L187" s="9">
        <f ca="1">'TikTok Ads Raw Data'!F187</f>
        <v>4995</v>
      </c>
    </row>
    <row r="188" spans="1:12" ht="13" x14ac:dyDescent="0.15">
      <c r="A188" s="7">
        <f ca="1">'TikTok Ads Raw Data'!A188</f>
        <v>45844</v>
      </c>
      <c r="B188" s="8">
        <f t="shared" ca="1" si="0"/>
        <v>7</v>
      </c>
      <c r="C188" s="24">
        <f ca="1">'TikTok Ads Raw Data'!B188</f>
        <v>32267</v>
      </c>
      <c r="D188" s="20">
        <f t="shared" ca="1" si="1"/>
        <v>2.1291102364644994E-2</v>
      </c>
      <c r="E188" s="8">
        <f ca="1">'TikTok Ads Raw Data'!C188</f>
        <v>687</v>
      </c>
      <c r="F188" s="9">
        <f t="shared" ca="1" si="2"/>
        <v>0.83988355167394468</v>
      </c>
      <c r="G188" s="9">
        <f t="shared" ca="1" si="3"/>
        <v>17.882046673071557</v>
      </c>
      <c r="H188" s="9">
        <f ca="1">'TikTok Ads Raw Data'!D188</f>
        <v>577</v>
      </c>
      <c r="I188" s="20">
        <f t="shared" ca="1" si="4"/>
        <v>1.8922852983988356E-2</v>
      </c>
      <c r="J188" s="8">
        <f ca="1">'TikTok Ads Raw Data'!E188</f>
        <v>13</v>
      </c>
      <c r="K188" s="9">
        <f t="shared" ca="1" si="5"/>
        <v>85.92307692307692</v>
      </c>
      <c r="L188" s="9">
        <f ca="1">'TikTok Ads Raw Data'!F188</f>
        <v>1117</v>
      </c>
    </row>
    <row r="189" spans="1:12" ht="13" x14ac:dyDescent="0.15">
      <c r="A189" s="7">
        <f ca="1">'TikTok Ads Raw Data'!A189</f>
        <v>45845</v>
      </c>
      <c r="B189" s="8">
        <f t="shared" ca="1" si="0"/>
        <v>7</v>
      </c>
      <c r="C189" s="24">
        <f ca="1">'TikTok Ads Raw Data'!B189</f>
        <v>49360</v>
      </c>
      <c r="D189" s="20">
        <f t="shared" ca="1" si="1"/>
        <v>2.7937601296596434E-2</v>
      </c>
      <c r="E189" s="8">
        <f ca="1">'TikTok Ads Raw Data'!C189</f>
        <v>1379</v>
      </c>
      <c r="F189" s="9">
        <f t="shared" ca="1" si="2"/>
        <v>0.94706308919506887</v>
      </c>
      <c r="G189" s="9">
        <f t="shared" ca="1" si="3"/>
        <v>26.458670988654781</v>
      </c>
      <c r="H189" s="9">
        <f ca="1">'TikTok Ads Raw Data'!D189</f>
        <v>1306</v>
      </c>
      <c r="I189" s="20">
        <f t="shared" ca="1" si="4"/>
        <v>2.3930384336475707E-2</v>
      </c>
      <c r="J189" s="8">
        <f ca="1">'TikTok Ads Raw Data'!E189</f>
        <v>33</v>
      </c>
      <c r="K189" s="9">
        <f t="shared" ca="1" si="5"/>
        <v>151.69696969696969</v>
      </c>
      <c r="L189" s="9">
        <f ca="1">'TikTok Ads Raw Data'!F189</f>
        <v>5006</v>
      </c>
    </row>
    <row r="190" spans="1:12" ht="13" x14ac:dyDescent="0.15">
      <c r="A190" s="7">
        <f ca="1">'TikTok Ads Raw Data'!A190</f>
        <v>45846</v>
      </c>
      <c r="B190" s="8">
        <f t="shared" ca="1" si="0"/>
        <v>7</v>
      </c>
      <c r="C190" s="24">
        <f ca="1">'TikTok Ads Raw Data'!B190</f>
        <v>89246</v>
      </c>
      <c r="D190" s="20">
        <f t="shared" ca="1" si="1"/>
        <v>1.9821616655088182E-2</v>
      </c>
      <c r="E190" s="8">
        <f ca="1">'TikTok Ads Raw Data'!C190</f>
        <v>1769</v>
      </c>
      <c r="F190" s="9">
        <f t="shared" ca="1" si="2"/>
        <v>1.3007348784624082</v>
      </c>
      <c r="G190" s="9">
        <f t="shared" ca="1" si="3"/>
        <v>25.782668130784575</v>
      </c>
      <c r="H190" s="9">
        <f ca="1">'TikTok Ads Raw Data'!D190</f>
        <v>2301</v>
      </c>
      <c r="I190" s="20">
        <f t="shared" ca="1" si="4"/>
        <v>2.1481062747314868E-2</v>
      </c>
      <c r="J190" s="8">
        <f ca="1">'TikTok Ads Raw Data'!E190</f>
        <v>38</v>
      </c>
      <c r="K190" s="9">
        <f t="shared" ca="1" si="5"/>
        <v>111.28947368421052</v>
      </c>
      <c r="L190" s="9">
        <f ca="1">'TikTok Ads Raw Data'!F190</f>
        <v>4229</v>
      </c>
    </row>
    <row r="191" spans="1:12" ht="13" x14ac:dyDescent="0.15">
      <c r="A191" s="7">
        <f ca="1">'TikTok Ads Raw Data'!A191</f>
        <v>45847</v>
      </c>
      <c r="B191" s="8">
        <f t="shared" ca="1" si="0"/>
        <v>7</v>
      </c>
      <c r="C191" s="24">
        <f ca="1">'TikTok Ads Raw Data'!B191</f>
        <v>65614</v>
      </c>
      <c r="D191" s="20">
        <f t="shared" ca="1" si="1"/>
        <v>1.6673270948273235E-2</v>
      </c>
      <c r="E191" s="8">
        <f ca="1">'TikTok Ads Raw Data'!C191</f>
        <v>1094</v>
      </c>
      <c r="F191" s="9">
        <f t="shared" ca="1" si="2"/>
        <v>1.2056672760511884</v>
      </c>
      <c r="G191" s="9">
        <f t="shared" ca="1" si="3"/>
        <v>20.102417167068001</v>
      </c>
      <c r="H191" s="9">
        <f ca="1">'TikTok Ads Raw Data'!D191</f>
        <v>1319</v>
      </c>
      <c r="I191" s="20">
        <f t="shared" ca="1" si="4"/>
        <v>2.0109689213893969E-2</v>
      </c>
      <c r="J191" s="8">
        <f ca="1">'TikTok Ads Raw Data'!E191</f>
        <v>22</v>
      </c>
      <c r="K191" s="9">
        <f t="shared" ca="1" si="5"/>
        <v>115.31818181818181</v>
      </c>
      <c r="L191" s="9">
        <f ca="1">'TikTok Ads Raw Data'!F191</f>
        <v>2537</v>
      </c>
    </row>
    <row r="192" spans="1:12" ht="13" x14ac:dyDescent="0.15">
      <c r="A192" s="7">
        <f ca="1">'TikTok Ads Raw Data'!A192</f>
        <v>45848</v>
      </c>
      <c r="B192" s="8">
        <f t="shared" ca="1" si="0"/>
        <v>7</v>
      </c>
      <c r="C192" s="24">
        <f ca="1">'TikTok Ads Raw Data'!B192</f>
        <v>66173</v>
      </c>
      <c r="D192" s="20">
        <f t="shared" ca="1" si="1"/>
        <v>3.0420262040409232E-2</v>
      </c>
      <c r="E192" s="8">
        <f ca="1">'TikTok Ads Raw Data'!C192</f>
        <v>2013</v>
      </c>
      <c r="F192" s="9">
        <f t="shared" ca="1" si="2"/>
        <v>0.80228514654744165</v>
      </c>
      <c r="G192" s="9">
        <f t="shared" ca="1" si="3"/>
        <v>24.405724389101294</v>
      </c>
      <c r="H192" s="9">
        <f ca="1">'TikTok Ads Raw Data'!D192</f>
        <v>1615</v>
      </c>
      <c r="I192" s="20">
        <f t="shared" ca="1" si="4"/>
        <v>1.3412816691505217E-2</v>
      </c>
      <c r="J192" s="8">
        <f ca="1">'TikTok Ads Raw Data'!E192</f>
        <v>27</v>
      </c>
      <c r="K192" s="9">
        <f t="shared" ca="1" si="5"/>
        <v>125.96296296296296</v>
      </c>
      <c r="L192" s="9">
        <f ca="1">'TikTok Ads Raw Data'!F192</f>
        <v>3401</v>
      </c>
    </row>
    <row r="193" spans="1:12" ht="13" x14ac:dyDescent="0.15">
      <c r="A193" s="7">
        <f ca="1">'TikTok Ads Raw Data'!A193</f>
        <v>45849</v>
      </c>
      <c r="B193" s="8">
        <f t="shared" ca="1" si="0"/>
        <v>7</v>
      </c>
      <c r="C193" s="24">
        <f ca="1">'TikTok Ads Raw Data'!B193</f>
        <v>118239</v>
      </c>
      <c r="D193" s="20">
        <f t="shared" ca="1" si="1"/>
        <v>1.4792073681272676E-2</v>
      </c>
      <c r="E193" s="8">
        <f ca="1">'TikTok Ads Raw Data'!C193</f>
        <v>1749</v>
      </c>
      <c r="F193" s="9">
        <f t="shared" ca="1" si="2"/>
        <v>0.71926815323041737</v>
      </c>
      <c r="G193" s="9">
        <f t="shared" ca="1" si="3"/>
        <v>10.639467519177259</v>
      </c>
      <c r="H193" s="9">
        <f ca="1">'TikTok Ads Raw Data'!D193</f>
        <v>1258</v>
      </c>
      <c r="I193" s="20">
        <f t="shared" ca="1" si="4"/>
        <v>1.4865637507146942E-2</v>
      </c>
      <c r="J193" s="8">
        <f ca="1">'TikTok Ads Raw Data'!E193</f>
        <v>26</v>
      </c>
      <c r="K193" s="9">
        <f t="shared" ca="1" si="5"/>
        <v>172.76923076923077</v>
      </c>
      <c r="L193" s="9">
        <f ca="1">'TikTok Ads Raw Data'!F193</f>
        <v>4492</v>
      </c>
    </row>
    <row r="194" spans="1:12" ht="13" x14ac:dyDescent="0.15">
      <c r="A194" s="7">
        <f ca="1">'TikTok Ads Raw Data'!A194</f>
        <v>45850</v>
      </c>
      <c r="B194" s="8">
        <f t="shared" ca="1" si="0"/>
        <v>7</v>
      </c>
      <c r="C194" s="24">
        <f ca="1">'TikTok Ads Raw Data'!B194</f>
        <v>139914</v>
      </c>
      <c r="D194" s="20">
        <f t="shared" ca="1" si="1"/>
        <v>3.363494718184027E-2</v>
      </c>
      <c r="E194" s="8">
        <f ca="1">'TikTok Ads Raw Data'!C194</f>
        <v>4706</v>
      </c>
      <c r="F194" s="9">
        <f t="shared" ca="1" si="2"/>
        <v>0.67764555886102851</v>
      </c>
      <c r="G194" s="9">
        <f t="shared" ca="1" si="3"/>
        <v>22.792572580299328</v>
      </c>
      <c r="H194" s="9">
        <f ca="1">'TikTok Ads Raw Data'!D194</f>
        <v>3189</v>
      </c>
      <c r="I194" s="20">
        <f t="shared" ca="1" si="4"/>
        <v>1.9974500637484061E-2</v>
      </c>
      <c r="J194" s="8">
        <f ca="1">'TikTok Ads Raw Data'!E194</f>
        <v>94</v>
      </c>
      <c r="K194" s="9">
        <f t="shared" ca="1" si="5"/>
        <v>165.92553191489361</v>
      </c>
      <c r="L194" s="9">
        <f ca="1">'TikTok Ads Raw Data'!F194</f>
        <v>15597</v>
      </c>
    </row>
    <row r="195" spans="1:12" ht="13" x14ac:dyDescent="0.15">
      <c r="A195" s="7">
        <f ca="1">'TikTok Ads Raw Data'!A195</f>
        <v>45851</v>
      </c>
      <c r="B195" s="8">
        <f t="shared" ca="1" si="0"/>
        <v>7</v>
      </c>
      <c r="C195" s="24">
        <f ca="1">'TikTok Ads Raw Data'!B195</f>
        <v>62911</v>
      </c>
      <c r="D195" s="20">
        <f t="shared" ca="1" si="1"/>
        <v>2.6481855319419496E-2</v>
      </c>
      <c r="E195" s="8">
        <f ca="1">'TikTok Ads Raw Data'!C195</f>
        <v>1666</v>
      </c>
      <c r="F195" s="9">
        <f t="shared" ca="1" si="2"/>
        <v>0.98139255702280914</v>
      </c>
      <c r="G195" s="9">
        <f t="shared" ca="1" si="3"/>
        <v>25.989095706633179</v>
      </c>
      <c r="H195" s="9">
        <f ca="1">'TikTok Ads Raw Data'!D195</f>
        <v>1635</v>
      </c>
      <c r="I195" s="20">
        <f t="shared" ca="1" si="4"/>
        <v>1.8607442977190875E-2</v>
      </c>
      <c r="J195" s="8">
        <f ca="1">'TikTok Ads Raw Data'!E195</f>
        <v>31</v>
      </c>
      <c r="K195" s="9">
        <f t="shared" ca="1" si="5"/>
        <v>231.32258064516128</v>
      </c>
      <c r="L195" s="9">
        <f ca="1">'TikTok Ads Raw Data'!F195</f>
        <v>7171</v>
      </c>
    </row>
    <row r="196" spans="1:12" ht="13" x14ac:dyDescent="0.15">
      <c r="A196" s="7">
        <f ca="1">'TikTok Ads Raw Data'!A196</f>
        <v>45852</v>
      </c>
      <c r="B196" s="8">
        <f t="shared" ca="1" si="0"/>
        <v>7</v>
      </c>
      <c r="C196" s="24">
        <f ca="1">'TikTok Ads Raw Data'!B196</f>
        <v>84932</v>
      </c>
      <c r="D196" s="20">
        <f t="shared" ca="1" si="1"/>
        <v>1.3952338341261245E-2</v>
      </c>
      <c r="E196" s="8">
        <f ca="1">'TikTok Ads Raw Data'!C196</f>
        <v>1185</v>
      </c>
      <c r="F196" s="9">
        <f t="shared" ca="1" si="2"/>
        <v>0.82278481012658233</v>
      </c>
      <c r="G196" s="9">
        <f t="shared" ca="1" si="3"/>
        <v>11.479772052936466</v>
      </c>
      <c r="H196" s="9">
        <f ca="1">'TikTok Ads Raw Data'!D196</f>
        <v>975</v>
      </c>
      <c r="I196" s="20">
        <f t="shared" ca="1" si="4"/>
        <v>1.8565400843881856E-2</v>
      </c>
      <c r="J196" s="8">
        <f ca="1">'TikTok Ads Raw Data'!E196</f>
        <v>22</v>
      </c>
      <c r="K196" s="9">
        <f t="shared" ca="1" si="5"/>
        <v>167.27272727272728</v>
      </c>
      <c r="L196" s="9">
        <f ca="1">'TikTok Ads Raw Data'!F196</f>
        <v>3680</v>
      </c>
    </row>
    <row r="197" spans="1:12" ht="13" x14ac:dyDescent="0.15">
      <c r="A197" s="7">
        <f ca="1">'TikTok Ads Raw Data'!A197</f>
        <v>45853</v>
      </c>
      <c r="B197" s="8">
        <f t="shared" ca="1" si="0"/>
        <v>7</v>
      </c>
      <c r="C197" s="24">
        <f ca="1">'TikTok Ads Raw Data'!B197</f>
        <v>93609</v>
      </c>
      <c r="D197" s="20">
        <f t="shared" ca="1" si="1"/>
        <v>1.711373906355158E-2</v>
      </c>
      <c r="E197" s="8">
        <f ca="1">'TikTok Ads Raw Data'!C197</f>
        <v>1602</v>
      </c>
      <c r="F197" s="9">
        <f t="shared" ca="1" si="2"/>
        <v>1.1685393258426966</v>
      </c>
      <c r="G197" s="9">
        <f t="shared" ca="1" si="3"/>
        <v>19.998077107970389</v>
      </c>
      <c r="H197" s="9">
        <f ca="1">'TikTok Ads Raw Data'!D197</f>
        <v>1872</v>
      </c>
      <c r="I197" s="20">
        <f t="shared" ca="1" si="4"/>
        <v>2.1847690387016231E-2</v>
      </c>
      <c r="J197" s="8">
        <f ca="1">'TikTok Ads Raw Data'!E197</f>
        <v>35</v>
      </c>
      <c r="K197" s="9">
        <f t="shared" ca="1" si="5"/>
        <v>154.97142857142856</v>
      </c>
      <c r="L197" s="9">
        <f ca="1">'TikTok Ads Raw Data'!F197</f>
        <v>5424</v>
      </c>
    </row>
    <row r="198" spans="1:12" ht="13" x14ac:dyDescent="0.15">
      <c r="A198" s="7">
        <f ca="1">'TikTok Ads Raw Data'!A198</f>
        <v>45854</v>
      </c>
      <c r="B198" s="8">
        <f t="shared" ca="1" si="0"/>
        <v>7</v>
      </c>
      <c r="C198" s="24">
        <f ca="1">'TikTok Ads Raw Data'!B198</f>
        <v>124150</v>
      </c>
      <c r="D198" s="20">
        <f t="shared" ca="1" si="1"/>
        <v>2.7539267015706807E-2</v>
      </c>
      <c r="E198" s="8">
        <f ca="1">'TikTok Ads Raw Data'!C198</f>
        <v>3419</v>
      </c>
      <c r="F198" s="9">
        <f t="shared" ca="1" si="2"/>
        <v>0.81983035975431418</v>
      </c>
      <c r="G198" s="9">
        <f t="shared" ca="1" si="3"/>
        <v>22.577527184857026</v>
      </c>
      <c r="H198" s="9">
        <f ca="1">'TikTok Ads Raw Data'!D198</f>
        <v>2803</v>
      </c>
      <c r="I198" s="20">
        <f t="shared" ca="1" si="4"/>
        <v>2.2228721848493713E-2</v>
      </c>
      <c r="J198" s="8">
        <f ca="1">'TikTok Ads Raw Data'!E198</f>
        <v>76</v>
      </c>
      <c r="K198" s="9">
        <f t="shared" ca="1" si="5"/>
        <v>153.13157894736841</v>
      </c>
      <c r="L198" s="9">
        <f ca="1">'TikTok Ads Raw Data'!F198</f>
        <v>11638</v>
      </c>
    </row>
    <row r="199" spans="1:12" ht="13" x14ac:dyDescent="0.15">
      <c r="A199" s="7">
        <f ca="1">'TikTok Ads Raw Data'!A199</f>
        <v>45855</v>
      </c>
      <c r="B199" s="8">
        <f t="shared" ca="1" si="0"/>
        <v>7</v>
      </c>
      <c r="C199" s="24">
        <f ca="1">'TikTok Ads Raw Data'!B199</f>
        <v>74860</v>
      </c>
      <c r="D199" s="20">
        <f t="shared" ca="1" si="1"/>
        <v>2.4044883783061716E-2</v>
      </c>
      <c r="E199" s="8">
        <f ca="1">'TikTok Ads Raw Data'!C199</f>
        <v>1800</v>
      </c>
      <c r="F199" s="9">
        <f t="shared" ca="1" si="2"/>
        <v>0.94833333333333336</v>
      </c>
      <c r="G199" s="9">
        <f t="shared" ca="1" si="3"/>
        <v>22.802564787603526</v>
      </c>
      <c r="H199" s="9">
        <f ca="1">'TikTok Ads Raw Data'!D199</f>
        <v>1707</v>
      </c>
      <c r="I199" s="20">
        <f t="shared" ca="1" si="4"/>
        <v>1.6666666666666666E-2</v>
      </c>
      <c r="J199" s="8">
        <f ca="1">'TikTok Ads Raw Data'!E199</f>
        <v>30</v>
      </c>
      <c r="K199" s="9">
        <f t="shared" ca="1" si="5"/>
        <v>189.26666666666668</v>
      </c>
      <c r="L199" s="9">
        <f ca="1">'TikTok Ads Raw Data'!F199</f>
        <v>5678</v>
      </c>
    </row>
    <row r="200" spans="1:12" ht="13" x14ac:dyDescent="0.15">
      <c r="A200" s="7">
        <f ca="1">'TikTok Ads Raw Data'!A200</f>
        <v>45856</v>
      </c>
      <c r="B200" s="8">
        <f t="shared" ca="1" si="0"/>
        <v>7</v>
      </c>
      <c r="C200" s="24">
        <f ca="1">'TikTok Ads Raw Data'!B200</f>
        <v>96309</v>
      </c>
      <c r="D200" s="20">
        <f t="shared" ca="1" si="1"/>
        <v>2.6113862671193762E-2</v>
      </c>
      <c r="E200" s="8">
        <f ca="1">'TikTok Ads Raw Data'!C200</f>
        <v>2515</v>
      </c>
      <c r="F200" s="9">
        <f t="shared" ca="1" si="2"/>
        <v>1.0361829025844931</v>
      </c>
      <c r="G200" s="9">
        <f t="shared" ca="1" si="3"/>
        <v>27.058738020330395</v>
      </c>
      <c r="H200" s="9">
        <f ca="1">'TikTok Ads Raw Data'!D200</f>
        <v>2606</v>
      </c>
      <c r="I200" s="20">
        <f t="shared" ca="1" si="4"/>
        <v>1.1928429423459244E-2</v>
      </c>
      <c r="J200" s="8">
        <f ca="1">'TikTok Ads Raw Data'!E200</f>
        <v>30</v>
      </c>
      <c r="K200" s="9">
        <f t="shared" ca="1" si="5"/>
        <v>116.16666666666667</v>
      </c>
      <c r="L200" s="9">
        <f ca="1">'TikTok Ads Raw Data'!F200</f>
        <v>3485</v>
      </c>
    </row>
    <row r="201" spans="1:12" ht="13" x14ac:dyDescent="0.15">
      <c r="A201" s="7">
        <f ca="1">'TikTok Ads Raw Data'!A201</f>
        <v>45857</v>
      </c>
      <c r="B201" s="8">
        <f t="shared" ca="1" si="0"/>
        <v>7</v>
      </c>
      <c r="C201" s="24">
        <f ca="1">'TikTok Ads Raw Data'!B201</f>
        <v>48436</v>
      </c>
      <c r="D201" s="20">
        <f t="shared" ca="1" si="1"/>
        <v>1.6103724502436204E-2</v>
      </c>
      <c r="E201" s="8">
        <f ca="1">'TikTok Ads Raw Data'!C201</f>
        <v>780</v>
      </c>
      <c r="F201" s="9">
        <f t="shared" ca="1" si="2"/>
        <v>0.58974358974358976</v>
      </c>
      <c r="G201" s="9">
        <f t="shared" ca="1" si="3"/>
        <v>9.4970682963085302</v>
      </c>
      <c r="H201" s="9">
        <f ca="1">'TikTok Ads Raw Data'!D201</f>
        <v>460</v>
      </c>
      <c r="I201" s="20">
        <f t="shared" ca="1" si="4"/>
        <v>1.9230769230769232E-2</v>
      </c>
      <c r="J201" s="8">
        <f ca="1">'TikTok Ads Raw Data'!E201</f>
        <v>15</v>
      </c>
      <c r="K201" s="9">
        <f t="shared" ca="1" si="5"/>
        <v>140</v>
      </c>
      <c r="L201" s="9">
        <f ca="1">'TikTok Ads Raw Data'!F201</f>
        <v>2100</v>
      </c>
    </row>
    <row r="202" spans="1:12" ht="13" x14ac:dyDescent="0.15">
      <c r="A202" s="7">
        <f ca="1">'TikTok Ads Raw Data'!A202</f>
        <v>45858</v>
      </c>
      <c r="B202" s="8">
        <f t="shared" ca="1" si="0"/>
        <v>7</v>
      </c>
      <c r="C202" s="24">
        <f ca="1">'TikTok Ads Raw Data'!B202</f>
        <v>53788</v>
      </c>
      <c r="D202" s="20">
        <f t="shared" ca="1" si="1"/>
        <v>2.6121067896185023E-2</v>
      </c>
      <c r="E202" s="8">
        <f ca="1">'TikTok Ads Raw Data'!C202</f>
        <v>1405</v>
      </c>
      <c r="F202" s="9">
        <f t="shared" ca="1" si="2"/>
        <v>0.8498220640569395</v>
      </c>
      <c r="G202" s="9">
        <f t="shared" ca="1" si="3"/>
        <v>22.198259834907415</v>
      </c>
      <c r="H202" s="9">
        <f ca="1">'TikTok Ads Raw Data'!D202</f>
        <v>1194</v>
      </c>
      <c r="I202" s="20">
        <f t="shared" ca="1" si="4"/>
        <v>1.494661921708185E-2</v>
      </c>
      <c r="J202" s="8">
        <f ca="1">'TikTok Ads Raw Data'!E202</f>
        <v>21</v>
      </c>
      <c r="K202" s="9">
        <f t="shared" ca="1" si="5"/>
        <v>168.42857142857142</v>
      </c>
      <c r="L202" s="9">
        <f ca="1">'TikTok Ads Raw Data'!F202</f>
        <v>3537</v>
      </c>
    </row>
    <row r="203" spans="1:12" ht="13" x14ac:dyDescent="0.15">
      <c r="A203" s="7">
        <f ca="1">'TikTok Ads Raw Data'!A203</f>
        <v>45859</v>
      </c>
      <c r="B203" s="8">
        <f t="shared" ca="1" si="0"/>
        <v>7</v>
      </c>
      <c r="C203" s="24">
        <f ca="1">'TikTok Ads Raw Data'!B203</f>
        <v>44345</v>
      </c>
      <c r="D203" s="20">
        <f t="shared" ca="1" si="1"/>
        <v>9.8996504679219749E-3</v>
      </c>
      <c r="E203" s="8">
        <f ca="1">'TikTok Ads Raw Data'!C203</f>
        <v>439</v>
      </c>
      <c r="F203" s="9">
        <f t="shared" ca="1" si="2"/>
        <v>0.71526195899772205</v>
      </c>
      <c r="G203" s="9">
        <f t="shared" ca="1" si="3"/>
        <v>7.0808433870785885</v>
      </c>
      <c r="H203" s="9">
        <f ca="1">'TikTok Ads Raw Data'!D203</f>
        <v>314</v>
      </c>
      <c r="I203" s="20">
        <f t="shared" ca="1" si="4"/>
        <v>2.0501138952164009E-2</v>
      </c>
      <c r="J203" s="8">
        <f ca="1">'TikTok Ads Raw Data'!E203</f>
        <v>9</v>
      </c>
      <c r="K203" s="9">
        <f t="shared" ca="1" si="5"/>
        <v>143.77777777777777</v>
      </c>
      <c r="L203" s="9">
        <f ca="1">'TikTok Ads Raw Data'!F203</f>
        <v>1294</v>
      </c>
    </row>
    <row r="204" spans="1:12" ht="13" x14ac:dyDescent="0.15">
      <c r="A204" s="7">
        <f ca="1">'TikTok Ads Raw Data'!A204</f>
        <v>45860</v>
      </c>
      <c r="B204" s="8">
        <f t="shared" ca="1" si="0"/>
        <v>7</v>
      </c>
      <c r="C204" s="24">
        <f ca="1">'TikTok Ads Raw Data'!B204</f>
        <v>42269</v>
      </c>
      <c r="D204" s="20">
        <f t="shared" ca="1" si="1"/>
        <v>1.4005535971988928E-2</v>
      </c>
      <c r="E204" s="8">
        <f ca="1">'TikTok Ads Raw Data'!C204</f>
        <v>592</v>
      </c>
      <c r="F204" s="9">
        <f t="shared" ca="1" si="2"/>
        <v>1.0608108108108107</v>
      </c>
      <c r="G204" s="9">
        <f t="shared" ca="1" si="3"/>
        <v>14.857223970285553</v>
      </c>
      <c r="H204" s="9">
        <f ca="1">'TikTok Ads Raw Data'!D204</f>
        <v>628</v>
      </c>
      <c r="I204" s="20">
        <f t="shared" ca="1" si="4"/>
        <v>1.1824324324324325E-2</v>
      </c>
      <c r="J204" s="8">
        <f ca="1">'TikTok Ads Raw Data'!E204</f>
        <v>7</v>
      </c>
      <c r="K204" s="9">
        <f t="shared" ca="1" si="5"/>
        <v>129.71428571428572</v>
      </c>
      <c r="L204" s="9">
        <f ca="1">'TikTok Ads Raw Data'!F204</f>
        <v>908</v>
      </c>
    </row>
    <row r="205" spans="1:12" ht="13" x14ac:dyDescent="0.15">
      <c r="A205" s="7">
        <f ca="1">'TikTok Ads Raw Data'!A205</f>
        <v>45861</v>
      </c>
      <c r="B205" s="8">
        <f t="shared" ca="1" si="0"/>
        <v>7</v>
      </c>
      <c r="C205" s="24">
        <f ca="1">'TikTok Ads Raw Data'!B205</f>
        <v>36574</v>
      </c>
      <c r="D205" s="20">
        <f t="shared" ca="1" si="1"/>
        <v>1.6733198446984197E-2</v>
      </c>
      <c r="E205" s="8">
        <f ca="1">'TikTok Ads Raw Data'!C205</f>
        <v>612</v>
      </c>
      <c r="F205" s="9">
        <f t="shared" ca="1" si="2"/>
        <v>0.99183006535947715</v>
      </c>
      <c r="G205" s="9">
        <f t="shared" ca="1" si="3"/>
        <v>16.596489309345436</v>
      </c>
      <c r="H205" s="9">
        <f ca="1">'TikTok Ads Raw Data'!D205</f>
        <v>607</v>
      </c>
      <c r="I205" s="20">
        <f t="shared" ca="1" si="4"/>
        <v>1.6339869281045753E-2</v>
      </c>
      <c r="J205" s="8">
        <f ca="1">'TikTok Ads Raw Data'!E205</f>
        <v>10</v>
      </c>
      <c r="K205" s="9">
        <f t="shared" ca="1" si="5"/>
        <v>256.89999999999998</v>
      </c>
      <c r="L205" s="9">
        <f ca="1">'TikTok Ads Raw Data'!F205</f>
        <v>2569</v>
      </c>
    </row>
    <row r="206" spans="1:12" ht="13" x14ac:dyDescent="0.15">
      <c r="A206" s="7">
        <f ca="1">'TikTok Ads Raw Data'!A206</f>
        <v>45862</v>
      </c>
      <c r="B206" s="8">
        <f t="shared" ca="1" si="0"/>
        <v>7</v>
      </c>
      <c r="C206" s="24">
        <f ca="1">'TikTok Ads Raw Data'!B206</f>
        <v>126874</v>
      </c>
      <c r="D206" s="20">
        <f t="shared" ca="1" si="1"/>
        <v>2.2542049592509102E-2</v>
      </c>
      <c r="E206" s="8">
        <f ca="1">'TikTok Ads Raw Data'!C206</f>
        <v>2860</v>
      </c>
      <c r="F206" s="9">
        <f t="shared" ca="1" si="2"/>
        <v>0.66258741258741261</v>
      </c>
      <c r="G206" s="9">
        <f t="shared" ca="1" si="3"/>
        <v>14.936078313917745</v>
      </c>
      <c r="H206" s="9">
        <f ca="1">'TikTok Ads Raw Data'!D206</f>
        <v>1895</v>
      </c>
      <c r="I206" s="20">
        <f t="shared" ca="1" si="4"/>
        <v>1.7132867132867134E-2</v>
      </c>
      <c r="J206" s="8">
        <f ca="1">'TikTok Ads Raw Data'!E206</f>
        <v>49</v>
      </c>
      <c r="K206" s="9">
        <f t="shared" ca="1" si="5"/>
        <v>124.77551020408163</v>
      </c>
      <c r="L206" s="9">
        <f ca="1">'TikTok Ads Raw Data'!F206</f>
        <v>6114</v>
      </c>
    </row>
    <row r="207" spans="1:12" ht="13" x14ac:dyDescent="0.15">
      <c r="A207" s="7">
        <f ca="1">'TikTok Ads Raw Data'!A207</f>
        <v>45863</v>
      </c>
      <c r="B207" s="8">
        <f t="shared" ca="1" si="0"/>
        <v>7</v>
      </c>
      <c r="C207" s="24">
        <f ca="1">'TikTok Ads Raw Data'!B207</f>
        <v>56370</v>
      </c>
      <c r="D207" s="20">
        <f t="shared" ca="1" si="1"/>
        <v>1.1087457867660104E-2</v>
      </c>
      <c r="E207" s="8">
        <f ca="1">'TikTok Ads Raw Data'!C207</f>
        <v>625</v>
      </c>
      <c r="F207" s="9">
        <f t="shared" ca="1" si="2"/>
        <v>0.6976</v>
      </c>
      <c r="G207" s="9">
        <f t="shared" ca="1" si="3"/>
        <v>7.734610608479688</v>
      </c>
      <c r="H207" s="9">
        <f ca="1">'TikTok Ads Raw Data'!D207</f>
        <v>436</v>
      </c>
      <c r="I207" s="20">
        <f t="shared" ca="1" si="4"/>
        <v>1.7600000000000001E-2</v>
      </c>
      <c r="J207" s="8">
        <f ca="1">'TikTok Ads Raw Data'!E207</f>
        <v>11</v>
      </c>
      <c r="K207" s="9">
        <f t="shared" ca="1" si="5"/>
        <v>235.90909090909091</v>
      </c>
      <c r="L207" s="9">
        <f ca="1">'TikTok Ads Raw Data'!F207</f>
        <v>2595</v>
      </c>
    </row>
    <row r="208" spans="1:12" ht="13" x14ac:dyDescent="0.15">
      <c r="A208" s="7">
        <f ca="1">'TikTok Ads Raw Data'!A208</f>
        <v>45864</v>
      </c>
      <c r="B208" s="8">
        <f t="shared" ca="1" si="0"/>
        <v>7</v>
      </c>
      <c r="C208" s="24">
        <f ca="1">'TikTok Ads Raw Data'!B208</f>
        <v>35524</v>
      </c>
      <c r="D208" s="20">
        <f t="shared" ca="1" si="1"/>
        <v>1.5285440828735503E-2</v>
      </c>
      <c r="E208" s="8">
        <f ca="1">'TikTok Ads Raw Data'!C208</f>
        <v>543</v>
      </c>
      <c r="F208" s="9">
        <f t="shared" ca="1" si="2"/>
        <v>0.85819521178637204</v>
      </c>
      <c r="G208" s="9">
        <f t="shared" ca="1" si="3"/>
        <v>13.117892129264723</v>
      </c>
      <c r="H208" s="9">
        <f ca="1">'TikTok Ads Raw Data'!D208</f>
        <v>466</v>
      </c>
      <c r="I208" s="20">
        <f t="shared" ca="1" si="4"/>
        <v>2.3941068139963169E-2</v>
      </c>
      <c r="J208" s="8">
        <f ca="1">'TikTok Ads Raw Data'!E208</f>
        <v>13</v>
      </c>
      <c r="K208" s="9">
        <f t="shared" ca="1" si="5"/>
        <v>134.30769230769232</v>
      </c>
      <c r="L208" s="9">
        <f ca="1">'TikTok Ads Raw Data'!F208</f>
        <v>1746</v>
      </c>
    </row>
    <row r="209" spans="1:12" ht="13" x14ac:dyDescent="0.15">
      <c r="A209" s="7">
        <f ca="1">'TikTok Ads Raw Data'!A209</f>
        <v>45865</v>
      </c>
      <c r="B209" s="8">
        <f t="shared" ca="1" si="0"/>
        <v>7</v>
      </c>
      <c r="C209" s="24">
        <f ca="1">'TikTok Ads Raw Data'!B209</f>
        <v>85624</v>
      </c>
      <c r="D209" s="20">
        <f t="shared" ca="1" si="1"/>
        <v>3.0540502662804822E-2</v>
      </c>
      <c r="E209" s="8">
        <f ca="1">'TikTok Ads Raw Data'!C209</f>
        <v>2615</v>
      </c>
      <c r="F209" s="9">
        <f t="shared" ca="1" si="2"/>
        <v>0.95717017208413002</v>
      </c>
      <c r="G209" s="9">
        <f t="shared" ca="1" si="3"/>
        <v>29.232458189292725</v>
      </c>
      <c r="H209" s="9">
        <f ca="1">'TikTok Ads Raw Data'!D209</f>
        <v>2503</v>
      </c>
      <c r="I209" s="20">
        <f t="shared" ca="1" si="4"/>
        <v>1.0707456978967494E-2</v>
      </c>
      <c r="J209" s="8">
        <f ca="1">'TikTok Ads Raw Data'!E209</f>
        <v>28</v>
      </c>
      <c r="K209" s="9">
        <f t="shared" ca="1" si="5"/>
        <v>165.28571428571428</v>
      </c>
      <c r="L209" s="9">
        <f ca="1">'TikTok Ads Raw Data'!F209</f>
        <v>4628</v>
      </c>
    </row>
    <row r="210" spans="1:12" ht="13" x14ac:dyDescent="0.15">
      <c r="A210" s="7">
        <f ca="1">'TikTok Ads Raw Data'!A210</f>
        <v>45866</v>
      </c>
      <c r="B210" s="8">
        <f t="shared" ca="1" si="0"/>
        <v>7</v>
      </c>
      <c r="C210" s="24">
        <f ca="1">'TikTok Ads Raw Data'!B210</f>
        <v>114146</v>
      </c>
      <c r="D210" s="20">
        <f t="shared" ca="1" si="1"/>
        <v>1.7109666567378619E-2</v>
      </c>
      <c r="E210" s="8">
        <f ca="1">'TikTok Ads Raw Data'!C210</f>
        <v>1953</v>
      </c>
      <c r="F210" s="9">
        <f t="shared" ca="1" si="2"/>
        <v>0.89349718381976451</v>
      </c>
      <c r="G210" s="9">
        <f t="shared" ca="1" si="3"/>
        <v>15.287438894047973</v>
      </c>
      <c r="H210" s="9">
        <f ca="1">'TikTok Ads Raw Data'!D210</f>
        <v>1745</v>
      </c>
      <c r="I210" s="20">
        <f t="shared" ca="1" si="4"/>
        <v>1.7921146953405017E-2</v>
      </c>
      <c r="J210" s="8">
        <f ca="1">'TikTok Ads Raw Data'!E210</f>
        <v>35</v>
      </c>
      <c r="K210" s="9">
        <f t="shared" ca="1" si="5"/>
        <v>103.11428571428571</v>
      </c>
      <c r="L210" s="9">
        <f ca="1">'TikTok Ads Raw Data'!F210</f>
        <v>3609</v>
      </c>
    </row>
    <row r="211" spans="1:12" ht="13" x14ac:dyDescent="0.15">
      <c r="A211" s="7">
        <f ca="1">'TikTok Ads Raw Data'!A211</f>
        <v>45867</v>
      </c>
      <c r="B211" s="8">
        <f t="shared" ca="1" si="0"/>
        <v>7</v>
      </c>
      <c r="C211" s="24">
        <f ca="1">'TikTok Ads Raw Data'!B211</f>
        <v>60645</v>
      </c>
      <c r="D211" s="20">
        <f t="shared" ca="1" si="1"/>
        <v>2.7092093330035451E-2</v>
      </c>
      <c r="E211" s="8">
        <f ca="1">'TikTok Ads Raw Data'!C211</f>
        <v>1643</v>
      </c>
      <c r="F211" s="9">
        <f t="shared" ca="1" si="2"/>
        <v>0.628119293974437</v>
      </c>
      <c r="G211" s="9">
        <f t="shared" ca="1" si="3"/>
        <v>17.017066534751422</v>
      </c>
      <c r="H211" s="9">
        <f ca="1">'TikTok Ads Raw Data'!D211</f>
        <v>1032</v>
      </c>
      <c r="I211" s="20">
        <f t="shared" ca="1" si="4"/>
        <v>1.5216068167985392E-2</v>
      </c>
      <c r="J211" s="8">
        <f ca="1">'TikTok Ads Raw Data'!E211</f>
        <v>25</v>
      </c>
      <c r="K211" s="9">
        <f t="shared" ca="1" si="5"/>
        <v>176.56</v>
      </c>
      <c r="L211" s="9">
        <f ca="1">'TikTok Ads Raw Data'!F211</f>
        <v>4414</v>
      </c>
    </row>
    <row r="212" spans="1:12" ht="13" x14ac:dyDescent="0.15">
      <c r="A212" s="7">
        <f ca="1">'TikTok Ads Raw Data'!A212</f>
        <v>45868</v>
      </c>
      <c r="B212" s="8">
        <f t="shared" ca="1" si="0"/>
        <v>7</v>
      </c>
      <c r="C212" s="24">
        <f ca="1">'TikTok Ads Raw Data'!B212</f>
        <v>72672</v>
      </c>
      <c r="D212" s="20">
        <f t="shared" ca="1" si="1"/>
        <v>1.7393218846323204E-2</v>
      </c>
      <c r="E212" s="8">
        <f ca="1">'TikTok Ads Raw Data'!C212</f>
        <v>1264</v>
      </c>
      <c r="F212" s="9">
        <f t="shared" ca="1" si="2"/>
        <v>0.66693037974683544</v>
      </c>
      <c r="G212" s="9">
        <f t="shared" ca="1" si="3"/>
        <v>11.600066050198151</v>
      </c>
      <c r="H212" s="9">
        <f ca="1">'TikTok Ads Raw Data'!D212</f>
        <v>843</v>
      </c>
      <c r="I212" s="20">
        <f t="shared" ca="1" si="4"/>
        <v>1.5822784810126583E-2</v>
      </c>
      <c r="J212" s="8">
        <f ca="1">'TikTok Ads Raw Data'!E212</f>
        <v>20</v>
      </c>
      <c r="K212" s="9">
        <f t="shared" ca="1" si="5"/>
        <v>192.35</v>
      </c>
      <c r="L212" s="9">
        <f ca="1">'TikTok Ads Raw Data'!F212</f>
        <v>3847</v>
      </c>
    </row>
    <row r="213" spans="1:12" ht="13" x14ac:dyDescent="0.15">
      <c r="A213" s="7">
        <f ca="1">'TikTok Ads Raw Data'!A213</f>
        <v>45869</v>
      </c>
      <c r="B213" s="8">
        <f t="shared" ca="1" si="0"/>
        <v>7</v>
      </c>
      <c r="C213" s="24">
        <f ca="1">'TikTok Ads Raw Data'!B213</f>
        <v>56801</v>
      </c>
      <c r="D213" s="20">
        <f t="shared" ca="1" si="1"/>
        <v>2.3661555254308905E-2</v>
      </c>
      <c r="E213" s="8">
        <f ca="1">'TikTok Ads Raw Data'!C213</f>
        <v>1344</v>
      </c>
      <c r="F213" s="9">
        <f t="shared" ca="1" si="2"/>
        <v>1.1071428571428572</v>
      </c>
      <c r="G213" s="9">
        <f t="shared" ca="1" si="3"/>
        <v>26.196721888699141</v>
      </c>
      <c r="H213" s="9">
        <f ca="1">'TikTok Ads Raw Data'!D213</f>
        <v>1488</v>
      </c>
      <c r="I213" s="20">
        <f t="shared" ca="1" si="4"/>
        <v>2.0089285714285716E-2</v>
      </c>
      <c r="J213" s="8">
        <f ca="1">'TikTok Ads Raw Data'!E213</f>
        <v>27</v>
      </c>
      <c r="K213" s="9">
        <f t="shared" ca="1" si="5"/>
        <v>174.07407407407408</v>
      </c>
      <c r="L213" s="9">
        <f ca="1">'TikTok Ads Raw Data'!F213</f>
        <v>4700</v>
      </c>
    </row>
    <row r="214" spans="1:12" ht="13" x14ac:dyDescent="0.15">
      <c r="A214" s="7">
        <f ca="1">'TikTok Ads Raw Data'!A214</f>
        <v>45870</v>
      </c>
      <c r="B214" s="8">
        <f t="shared" ca="1" si="0"/>
        <v>8</v>
      </c>
      <c r="C214" s="24">
        <f ca="1">'TikTok Ads Raw Data'!B214</f>
        <v>72010</v>
      </c>
      <c r="D214" s="20">
        <f t="shared" ca="1" si="1"/>
        <v>1.8705735314539649E-2</v>
      </c>
      <c r="E214" s="8">
        <f ca="1">'TikTok Ads Raw Data'!C214</f>
        <v>1347</v>
      </c>
      <c r="F214" s="9">
        <f t="shared" ca="1" si="2"/>
        <v>0.73496659242761697</v>
      </c>
      <c r="G214" s="9">
        <f t="shared" ca="1" si="3"/>
        <v>13.74809054298014</v>
      </c>
      <c r="H214" s="9">
        <f ca="1">'TikTok Ads Raw Data'!D214</f>
        <v>990</v>
      </c>
      <c r="I214" s="20">
        <f t="shared" ca="1" si="4"/>
        <v>1.4105419450631032E-2</v>
      </c>
      <c r="J214" s="8">
        <f ca="1">'TikTok Ads Raw Data'!E214</f>
        <v>19</v>
      </c>
      <c r="K214" s="9">
        <f t="shared" ca="1" si="5"/>
        <v>189.47368421052633</v>
      </c>
      <c r="L214" s="9">
        <f ca="1">'TikTok Ads Raw Data'!F214</f>
        <v>3600</v>
      </c>
    </row>
    <row r="215" spans="1:12" ht="13" x14ac:dyDescent="0.15">
      <c r="A215" s="7">
        <f ca="1">'TikTok Ads Raw Data'!A215</f>
        <v>45871</v>
      </c>
      <c r="B215" s="8">
        <f t="shared" ca="1" si="0"/>
        <v>8</v>
      </c>
      <c r="C215" s="24">
        <f ca="1">'TikTok Ads Raw Data'!B215</f>
        <v>86525</v>
      </c>
      <c r="D215" s="20">
        <f t="shared" ca="1" si="1"/>
        <v>1.624963883270731E-2</v>
      </c>
      <c r="E215" s="8">
        <f ca="1">'TikTok Ads Raw Data'!C215</f>
        <v>1406</v>
      </c>
      <c r="F215" s="9">
        <f t="shared" ca="1" si="2"/>
        <v>0.59957325746799428</v>
      </c>
      <c r="G215" s="9">
        <f t="shared" ca="1" si="3"/>
        <v>9.7428488876047386</v>
      </c>
      <c r="H215" s="9">
        <f ca="1">'TikTok Ads Raw Data'!D215</f>
        <v>843</v>
      </c>
      <c r="I215" s="20">
        <f t="shared" ca="1" si="4"/>
        <v>2.0625889046941678E-2</v>
      </c>
      <c r="J215" s="8">
        <f ca="1">'TikTok Ads Raw Data'!E215</f>
        <v>29</v>
      </c>
      <c r="K215" s="9">
        <f t="shared" ca="1" si="5"/>
        <v>124.86206896551724</v>
      </c>
      <c r="L215" s="9">
        <f ca="1">'TikTok Ads Raw Data'!F215</f>
        <v>3621</v>
      </c>
    </row>
    <row r="216" spans="1:12" ht="13" x14ac:dyDescent="0.15">
      <c r="A216" s="7">
        <f ca="1">'TikTok Ads Raw Data'!A216</f>
        <v>45872</v>
      </c>
      <c r="B216" s="8">
        <f t="shared" ca="1" si="0"/>
        <v>8</v>
      </c>
      <c r="C216" s="24">
        <f ca="1">'TikTok Ads Raw Data'!B216</f>
        <v>107947</v>
      </c>
      <c r="D216" s="20">
        <f t="shared" ca="1" si="1"/>
        <v>2.9894299980546008E-2</v>
      </c>
      <c r="E216" s="8">
        <f ca="1">'TikTok Ads Raw Data'!C216</f>
        <v>3227</v>
      </c>
      <c r="F216" s="9">
        <f t="shared" ca="1" si="2"/>
        <v>0.821196157421754</v>
      </c>
      <c r="G216" s="9">
        <f t="shared" ca="1" si="3"/>
        <v>24.549084272837597</v>
      </c>
      <c r="H216" s="9">
        <f ca="1">'TikTok Ads Raw Data'!D216</f>
        <v>2650</v>
      </c>
      <c r="I216" s="20">
        <f t="shared" ca="1" si="4"/>
        <v>2.2001859312054541E-2</v>
      </c>
      <c r="J216" s="8">
        <f ca="1">'TikTok Ads Raw Data'!E216</f>
        <v>71</v>
      </c>
      <c r="K216" s="9">
        <f t="shared" ca="1" si="5"/>
        <v>140.05633802816902</v>
      </c>
      <c r="L216" s="9">
        <f ca="1">'TikTok Ads Raw Data'!F216</f>
        <v>9944</v>
      </c>
    </row>
    <row r="217" spans="1:12" ht="13" x14ac:dyDescent="0.15">
      <c r="A217" s="7">
        <f ca="1">'TikTok Ads Raw Data'!A217</f>
        <v>45873</v>
      </c>
      <c r="B217" s="8">
        <f t="shared" ca="1" si="0"/>
        <v>8</v>
      </c>
      <c r="C217" s="24">
        <f ca="1">'TikTok Ads Raw Data'!B217</f>
        <v>59452</v>
      </c>
      <c r="D217" s="20">
        <f t="shared" ca="1" si="1"/>
        <v>2.2135504272354167E-2</v>
      </c>
      <c r="E217" s="8">
        <f ca="1">'TikTok Ads Raw Data'!C217</f>
        <v>1316</v>
      </c>
      <c r="F217" s="9">
        <f t="shared" ca="1" si="2"/>
        <v>0.90501519756838911</v>
      </c>
      <c r="G217" s="9">
        <f t="shared" ca="1" si="3"/>
        <v>20.032967772320529</v>
      </c>
      <c r="H217" s="9">
        <f ca="1">'TikTok Ads Raw Data'!D217</f>
        <v>1191</v>
      </c>
      <c r="I217" s="20">
        <f t="shared" ca="1" si="4"/>
        <v>1.5197568389057751E-2</v>
      </c>
      <c r="J217" s="8">
        <f ca="1">'TikTok Ads Raw Data'!E217</f>
        <v>20</v>
      </c>
      <c r="K217" s="9">
        <f t="shared" ca="1" si="5"/>
        <v>161.5</v>
      </c>
      <c r="L217" s="9">
        <f ca="1">'TikTok Ads Raw Data'!F217</f>
        <v>3230</v>
      </c>
    </row>
    <row r="218" spans="1:12" ht="13" x14ac:dyDescent="0.15">
      <c r="A218" s="7">
        <f ca="1">'TikTok Ads Raw Data'!A218</f>
        <v>45874</v>
      </c>
      <c r="B218" s="8">
        <f t="shared" ca="1" si="0"/>
        <v>8</v>
      </c>
      <c r="C218" s="24">
        <f ca="1">'TikTok Ads Raw Data'!B218</f>
        <v>68815</v>
      </c>
      <c r="D218" s="20">
        <f t="shared" ca="1" si="1"/>
        <v>1.9167332703625663E-2</v>
      </c>
      <c r="E218" s="8">
        <f ca="1">'TikTok Ads Raw Data'!C218</f>
        <v>1319</v>
      </c>
      <c r="F218" s="9">
        <f t="shared" ca="1" si="2"/>
        <v>0.91357088703563305</v>
      </c>
      <c r="G218" s="9">
        <f t="shared" ca="1" si="3"/>
        <v>17.510717140158395</v>
      </c>
      <c r="H218" s="9">
        <f ca="1">'TikTok Ads Raw Data'!D218</f>
        <v>1205</v>
      </c>
      <c r="I218" s="20">
        <f t="shared" ca="1" si="4"/>
        <v>1.8195602729340409E-2</v>
      </c>
      <c r="J218" s="8">
        <f ca="1">'TikTok Ads Raw Data'!E218</f>
        <v>24</v>
      </c>
      <c r="K218" s="9">
        <f t="shared" ca="1" si="5"/>
        <v>128.66666666666666</v>
      </c>
      <c r="L218" s="9">
        <f ca="1">'TikTok Ads Raw Data'!F218</f>
        <v>3088</v>
      </c>
    </row>
    <row r="219" spans="1:12" ht="13" x14ac:dyDescent="0.15">
      <c r="A219" s="7">
        <f ca="1">'TikTok Ads Raw Data'!A219</f>
        <v>45875</v>
      </c>
      <c r="B219" s="8">
        <f t="shared" ca="1" si="0"/>
        <v>8</v>
      </c>
      <c r="C219" s="24">
        <f ca="1">'TikTok Ads Raw Data'!B219</f>
        <v>68158</v>
      </c>
      <c r="D219" s="20">
        <f t="shared" ca="1" si="1"/>
        <v>1.3644766571789079E-2</v>
      </c>
      <c r="E219" s="8">
        <f ca="1">'TikTok Ads Raw Data'!C219</f>
        <v>930</v>
      </c>
      <c r="F219" s="9">
        <f t="shared" ca="1" si="2"/>
        <v>0.61935483870967745</v>
      </c>
      <c r="G219" s="9">
        <f t="shared" ca="1" si="3"/>
        <v>8.4509521993016232</v>
      </c>
      <c r="H219" s="9">
        <f ca="1">'TikTok Ads Raw Data'!D219</f>
        <v>576</v>
      </c>
      <c r="I219" s="20">
        <f t="shared" ca="1" si="4"/>
        <v>2.3655913978494623E-2</v>
      </c>
      <c r="J219" s="8">
        <f ca="1">'TikTok Ads Raw Data'!E219</f>
        <v>22</v>
      </c>
      <c r="K219" s="9">
        <f t="shared" ca="1" si="5"/>
        <v>126.09090909090909</v>
      </c>
      <c r="L219" s="9">
        <f ca="1">'TikTok Ads Raw Data'!F219</f>
        <v>2774</v>
      </c>
    </row>
    <row r="220" spans="1:12" ht="13" x14ac:dyDescent="0.15">
      <c r="A220" s="7">
        <f ca="1">'TikTok Ads Raw Data'!A220</f>
        <v>45876</v>
      </c>
      <c r="B220" s="8">
        <f t="shared" ca="1" si="0"/>
        <v>8</v>
      </c>
      <c r="C220" s="24">
        <f ca="1">'TikTok Ads Raw Data'!B220</f>
        <v>91525</v>
      </c>
      <c r="D220" s="20">
        <f t="shared" ca="1" si="1"/>
        <v>3.009013930620049E-2</v>
      </c>
      <c r="E220" s="8">
        <f ca="1">'TikTok Ads Raw Data'!C220</f>
        <v>2754</v>
      </c>
      <c r="F220" s="9">
        <f t="shared" ca="1" si="2"/>
        <v>1.1928104575163399</v>
      </c>
      <c r="G220" s="9">
        <f t="shared" ca="1" si="3"/>
        <v>35.891832832559409</v>
      </c>
      <c r="H220" s="9">
        <f ca="1">'TikTok Ads Raw Data'!D220</f>
        <v>3285</v>
      </c>
      <c r="I220" s="20">
        <f t="shared" ca="1" si="4"/>
        <v>2.6506899055918662E-2</v>
      </c>
      <c r="J220" s="8">
        <f ca="1">'TikTok Ads Raw Data'!E220</f>
        <v>73</v>
      </c>
      <c r="K220" s="9">
        <f t="shared" ca="1" si="5"/>
        <v>160.64383561643837</v>
      </c>
      <c r="L220" s="9">
        <f ca="1">'TikTok Ads Raw Data'!F220</f>
        <v>11727</v>
      </c>
    </row>
    <row r="221" spans="1:12" ht="13" x14ac:dyDescent="0.15">
      <c r="A221" s="7">
        <f ca="1">'TikTok Ads Raw Data'!A221</f>
        <v>45877</v>
      </c>
      <c r="B221" s="8">
        <f t="shared" ca="1" si="0"/>
        <v>8</v>
      </c>
      <c r="C221" s="24">
        <f ca="1">'TikTok Ads Raw Data'!B221</f>
        <v>146038</v>
      </c>
      <c r="D221" s="20">
        <f t="shared" ca="1" si="1"/>
        <v>1.906353140963311E-2</v>
      </c>
      <c r="E221" s="8">
        <f ca="1">'TikTok Ads Raw Data'!C221</f>
        <v>2784</v>
      </c>
      <c r="F221" s="9">
        <f t="shared" ca="1" si="2"/>
        <v>0.63074712643678166</v>
      </c>
      <c r="G221" s="9">
        <f t="shared" ca="1" si="3"/>
        <v>12.024267656363412</v>
      </c>
      <c r="H221" s="9">
        <f ca="1">'TikTok Ads Raw Data'!D221</f>
        <v>1756</v>
      </c>
      <c r="I221" s="20">
        <f t="shared" ca="1" si="4"/>
        <v>1.9396551724137932E-2</v>
      </c>
      <c r="J221" s="8">
        <f ca="1">'TikTok Ads Raw Data'!E221</f>
        <v>54</v>
      </c>
      <c r="K221" s="9">
        <f t="shared" ca="1" si="5"/>
        <v>122.4074074074074</v>
      </c>
      <c r="L221" s="9">
        <f ca="1">'TikTok Ads Raw Data'!F221</f>
        <v>6610</v>
      </c>
    </row>
    <row r="222" spans="1:12" ht="13" x14ac:dyDescent="0.15">
      <c r="A222" s="7">
        <f ca="1">'TikTok Ads Raw Data'!A222</f>
        <v>45878</v>
      </c>
      <c r="B222" s="8">
        <f t="shared" ca="1" si="0"/>
        <v>8</v>
      </c>
      <c r="C222" s="24">
        <f ca="1">'TikTok Ads Raw Data'!B222</f>
        <v>55344</v>
      </c>
      <c r="D222" s="20">
        <f t="shared" ca="1" si="1"/>
        <v>9.9197745013009549E-3</v>
      </c>
      <c r="E222" s="8">
        <f ca="1">'TikTok Ads Raw Data'!C222</f>
        <v>549</v>
      </c>
      <c r="F222" s="9">
        <f t="shared" ca="1" si="2"/>
        <v>0.68852459016393441</v>
      </c>
      <c r="G222" s="9">
        <f t="shared" ca="1" si="3"/>
        <v>6.8300086730268861</v>
      </c>
      <c r="H222" s="9">
        <f ca="1">'TikTok Ads Raw Data'!D222</f>
        <v>378</v>
      </c>
      <c r="I222" s="20">
        <f t="shared" ca="1" si="4"/>
        <v>2.3679417122040074E-2</v>
      </c>
      <c r="J222" s="8">
        <f ca="1">'TikTok Ads Raw Data'!E222</f>
        <v>13</v>
      </c>
      <c r="K222" s="9">
        <f t="shared" ca="1" si="5"/>
        <v>125.15384615384616</v>
      </c>
      <c r="L222" s="9">
        <f ca="1">'TikTok Ads Raw Data'!F222</f>
        <v>1627</v>
      </c>
    </row>
    <row r="223" spans="1:12" ht="13" x14ac:dyDescent="0.15">
      <c r="A223" s="7">
        <f ca="1">'TikTok Ads Raw Data'!A223</f>
        <v>45879</v>
      </c>
      <c r="B223" s="8">
        <f t="shared" ca="1" si="0"/>
        <v>8</v>
      </c>
      <c r="C223" s="24">
        <f ca="1">'TikTok Ads Raw Data'!B223</f>
        <v>81320</v>
      </c>
      <c r="D223" s="20">
        <f t="shared" ca="1" si="1"/>
        <v>2.0486965076242009E-2</v>
      </c>
      <c r="E223" s="8">
        <f ca="1">'TikTok Ads Raw Data'!C223</f>
        <v>1666</v>
      </c>
      <c r="F223" s="9">
        <f t="shared" ca="1" si="2"/>
        <v>1.2400960384153661</v>
      </c>
      <c r="G223" s="9">
        <f t="shared" ca="1" si="3"/>
        <v>25.405804230201674</v>
      </c>
      <c r="H223" s="9">
        <f ca="1">'TikTok Ads Raw Data'!D223</f>
        <v>2066</v>
      </c>
      <c r="I223" s="20">
        <f t="shared" ca="1" si="4"/>
        <v>1.3205282112845138E-2</v>
      </c>
      <c r="J223" s="8">
        <f ca="1">'TikTok Ads Raw Data'!E223</f>
        <v>22</v>
      </c>
      <c r="K223" s="9">
        <f t="shared" ca="1" si="5"/>
        <v>153.95454545454547</v>
      </c>
      <c r="L223" s="9">
        <f ca="1">'TikTok Ads Raw Data'!F223</f>
        <v>3387</v>
      </c>
    </row>
    <row r="224" spans="1:12" ht="13" x14ac:dyDescent="0.15">
      <c r="A224" s="7">
        <f ca="1">'TikTok Ads Raw Data'!A224</f>
        <v>45880</v>
      </c>
      <c r="B224" s="8">
        <f t="shared" ca="1" si="0"/>
        <v>8</v>
      </c>
      <c r="C224" s="24">
        <f ca="1">'TikTok Ads Raw Data'!B224</f>
        <v>111175</v>
      </c>
      <c r="D224" s="20">
        <f t="shared" ca="1" si="1"/>
        <v>1.6838317967168878E-2</v>
      </c>
      <c r="E224" s="8">
        <f ca="1">'TikTok Ads Raw Data'!C224</f>
        <v>1872</v>
      </c>
      <c r="F224" s="9">
        <f t="shared" ca="1" si="2"/>
        <v>0.8536324786324786</v>
      </c>
      <c r="G224" s="9">
        <f t="shared" ca="1" si="3"/>
        <v>14.373735102316168</v>
      </c>
      <c r="H224" s="9">
        <f ca="1">'TikTok Ads Raw Data'!D224</f>
        <v>1598</v>
      </c>
      <c r="I224" s="20">
        <f t="shared" ca="1" si="4"/>
        <v>2.1367521367521368E-2</v>
      </c>
      <c r="J224" s="8">
        <f ca="1">'TikTok Ads Raw Data'!E224</f>
        <v>40</v>
      </c>
      <c r="K224" s="9">
        <f t="shared" ca="1" si="5"/>
        <v>111.6</v>
      </c>
      <c r="L224" s="9">
        <f ca="1">'TikTok Ads Raw Data'!F224</f>
        <v>4464</v>
      </c>
    </row>
    <row r="225" spans="1:12" ht="13" x14ac:dyDescent="0.15">
      <c r="A225" s="7">
        <f ca="1">'TikTok Ads Raw Data'!A225</f>
        <v>45881</v>
      </c>
      <c r="B225" s="8">
        <f t="shared" ca="1" si="0"/>
        <v>8</v>
      </c>
      <c r="C225" s="24">
        <f ca="1">'TikTok Ads Raw Data'!B225</f>
        <v>35994</v>
      </c>
      <c r="D225" s="20">
        <f t="shared" ca="1" si="1"/>
        <v>1.2140912374284604E-2</v>
      </c>
      <c r="E225" s="8">
        <f ca="1">'TikTok Ads Raw Data'!C225</f>
        <v>437</v>
      </c>
      <c r="F225" s="9">
        <f t="shared" ca="1" si="2"/>
        <v>1.1853546910755148</v>
      </c>
      <c r="G225" s="9">
        <f t="shared" ca="1" si="3"/>
        <v>14.391287436795022</v>
      </c>
      <c r="H225" s="9">
        <f ca="1">'TikTok Ads Raw Data'!D225</f>
        <v>518</v>
      </c>
      <c r="I225" s="20">
        <f t="shared" ca="1" si="4"/>
        <v>1.8306636155606407E-2</v>
      </c>
      <c r="J225" s="8">
        <f ca="1">'TikTok Ads Raw Data'!E225</f>
        <v>8</v>
      </c>
      <c r="K225" s="9">
        <f t="shared" ca="1" si="5"/>
        <v>212.625</v>
      </c>
      <c r="L225" s="9">
        <f ca="1">'TikTok Ads Raw Data'!F225</f>
        <v>1701</v>
      </c>
    </row>
    <row r="226" spans="1:12" ht="13" x14ac:dyDescent="0.15">
      <c r="A226" s="7">
        <f ca="1">'TikTok Ads Raw Data'!A226</f>
        <v>45882</v>
      </c>
      <c r="B226" s="8">
        <f t="shared" ca="1" si="0"/>
        <v>8</v>
      </c>
      <c r="C226" s="24">
        <f ca="1">'TikTok Ads Raw Data'!B226</f>
        <v>79584</v>
      </c>
      <c r="D226" s="20">
        <f t="shared" ca="1" si="1"/>
        <v>1.4651186168073985E-2</v>
      </c>
      <c r="E226" s="8">
        <f ca="1">'TikTok Ads Raw Data'!C226</f>
        <v>1166</v>
      </c>
      <c r="F226" s="9">
        <f t="shared" ca="1" si="2"/>
        <v>0.80531732418524871</v>
      </c>
      <c r="G226" s="9">
        <f t="shared" ca="1" si="3"/>
        <v>11.798854041013268</v>
      </c>
      <c r="H226" s="9">
        <f ca="1">'TikTok Ads Raw Data'!D226</f>
        <v>939</v>
      </c>
      <c r="I226" s="20">
        <f t="shared" ca="1" si="4"/>
        <v>1.1149228130360206E-2</v>
      </c>
      <c r="J226" s="8">
        <f ca="1">'TikTok Ads Raw Data'!E226</f>
        <v>13</v>
      </c>
      <c r="K226" s="9">
        <f t="shared" ca="1" si="5"/>
        <v>120.92307692307692</v>
      </c>
      <c r="L226" s="9">
        <f ca="1">'TikTok Ads Raw Data'!F226</f>
        <v>1572</v>
      </c>
    </row>
    <row r="227" spans="1:12" ht="13" x14ac:dyDescent="0.15">
      <c r="A227" s="7">
        <f ca="1">'TikTok Ads Raw Data'!A227</f>
        <v>45883</v>
      </c>
      <c r="B227" s="8">
        <f t="shared" ca="1" si="0"/>
        <v>8</v>
      </c>
      <c r="C227" s="24">
        <f ca="1">'TikTok Ads Raw Data'!B227</f>
        <v>134124</v>
      </c>
      <c r="D227" s="20">
        <f t="shared" ca="1" si="1"/>
        <v>2.6579881303868062E-2</v>
      </c>
      <c r="E227" s="8">
        <f ca="1">'TikTok Ads Raw Data'!C227</f>
        <v>3565</v>
      </c>
      <c r="F227" s="9">
        <f t="shared" ca="1" si="2"/>
        <v>0.67573632538569428</v>
      </c>
      <c r="G227" s="9">
        <f t="shared" ca="1" si="3"/>
        <v>17.96099132146372</v>
      </c>
      <c r="H227" s="9">
        <f ca="1">'TikTok Ads Raw Data'!D227</f>
        <v>2409</v>
      </c>
      <c r="I227" s="20">
        <f t="shared" ca="1" si="4"/>
        <v>1.7391304347826087E-2</v>
      </c>
      <c r="J227" s="8">
        <f ca="1">'TikTok Ads Raw Data'!E227</f>
        <v>62</v>
      </c>
      <c r="K227" s="9">
        <f t="shared" ca="1" si="5"/>
        <v>193.32258064516128</v>
      </c>
      <c r="L227" s="9">
        <f ca="1">'TikTok Ads Raw Data'!F227</f>
        <v>11986</v>
      </c>
    </row>
    <row r="228" spans="1:12" ht="13" x14ac:dyDescent="0.15">
      <c r="A228" s="7">
        <f ca="1">'TikTok Ads Raw Data'!A228</f>
        <v>45884</v>
      </c>
      <c r="B228" s="8">
        <f t="shared" ca="1" si="0"/>
        <v>8</v>
      </c>
      <c r="C228" s="24">
        <f ca="1">'TikTok Ads Raw Data'!B228</f>
        <v>106541</v>
      </c>
      <c r="D228" s="20">
        <f t="shared" ca="1" si="1"/>
        <v>3.2541462910992011E-2</v>
      </c>
      <c r="E228" s="8">
        <f ca="1">'TikTok Ads Raw Data'!C228</f>
        <v>3467</v>
      </c>
      <c r="F228" s="9">
        <f t="shared" ca="1" si="2"/>
        <v>0.97029131814248626</v>
      </c>
      <c r="G228" s="9">
        <f t="shared" ca="1" si="3"/>
        <v>31.574698942191269</v>
      </c>
      <c r="H228" s="9">
        <f ca="1">'TikTok Ads Raw Data'!D228</f>
        <v>3364</v>
      </c>
      <c r="I228" s="20">
        <f t="shared" ca="1" si="4"/>
        <v>1.2402653591000866E-2</v>
      </c>
      <c r="J228" s="8">
        <f ca="1">'TikTok Ads Raw Data'!E228</f>
        <v>43</v>
      </c>
      <c r="K228" s="9">
        <f t="shared" ca="1" si="5"/>
        <v>139.6046511627907</v>
      </c>
      <c r="L228" s="9">
        <f ca="1">'TikTok Ads Raw Data'!F228</f>
        <v>6003</v>
      </c>
    </row>
    <row r="229" spans="1:12" ht="13" x14ac:dyDescent="0.15">
      <c r="A229" s="7">
        <f ca="1">'TikTok Ads Raw Data'!A229</f>
        <v>45885</v>
      </c>
      <c r="B229" s="8">
        <f t="shared" ca="1" si="0"/>
        <v>8</v>
      </c>
      <c r="C229" s="24">
        <f ca="1">'TikTok Ads Raw Data'!B229</f>
        <v>55197</v>
      </c>
      <c r="D229" s="20">
        <f t="shared" ca="1" si="1"/>
        <v>2.3606355417866914E-2</v>
      </c>
      <c r="E229" s="8">
        <f ca="1">'TikTok Ads Raw Data'!C229</f>
        <v>1303</v>
      </c>
      <c r="F229" s="9">
        <f t="shared" ca="1" si="2"/>
        <v>0.55257099002302379</v>
      </c>
      <c r="G229" s="9">
        <f t="shared" ca="1" si="3"/>
        <v>13.044187184086091</v>
      </c>
      <c r="H229" s="9">
        <f ca="1">'TikTok Ads Raw Data'!D229</f>
        <v>720</v>
      </c>
      <c r="I229" s="20">
        <f t="shared" ca="1" si="4"/>
        <v>9.2095165003837302E-3</v>
      </c>
      <c r="J229" s="8">
        <f ca="1">'TikTok Ads Raw Data'!E229</f>
        <v>12</v>
      </c>
      <c r="K229" s="9">
        <f t="shared" ca="1" si="5"/>
        <v>205.91666666666666</v>
      </c>
      <c r="L229" s="9">
        <f ca="1">'TikTok Ads Raw Data'!F229</f>
        <v>2471</v>
      </c>
    </row>
    <row r="230" spans="1:12" ht="13" x14ac:dyDescent="0.15">
      <c r="A230" s="7">
        <f ca="1">'TikTok Ads Raw Data'!A230</f>
        <v>45886</v>
      </c>
      <c r="B230" s="8">
        <f t="shared" ca="1" si="0"/>
        <v>8</v>
      </c>
      <c r="C230" s="24">
        <f ca="1">'TikTok Ads Raw Data'!B230</f>
        <v>127402</v>
      </c>
      <c r="D230" s="20">
        <f t="shared" ca="1" si="1"/>
        <v>1.4575909326384201E-2</v>
      </c>
      <c r="E230" s="8">
        <f ca="1">'TikTok Ads Raw Data'!C230</f>
        <v>1857</v>
      </c>
      <c r="F230" s="9">
        <f t="shared" ca="1" si="2"/>
        <v>1.0086160473882606</v>
      </c>
      <c r="G230" s="9">
        <f t="shared" ca="1" si="3"/>
        <v>14.701496051867318</v>
      </c>
      <c r="H230" s="9">
        <f ca="1">'TikTok Ads Raw Data'!D230</f>
        <v>1873</v>
      </c>
      <c r="I230" s="20">
        <f t="shared" ca="1" si="4"/>
        <v>1.9924609585352721E-2</v>
      </c>
      <c r="J230" s="8">
        <f ca="1">'TikTok Ads Raw Data'!E230</f>
        <v>37</v>
      </c>
      <c r="K230" s="9">
        <f t="shared" ca="1" si="5"/>
        <v>152.1081081081081</v>
      </c>
      <c r="L230" s="9">
        <f ca="1">'TikTok Ads Raw Data'!F230</f>
        <v>5628</v>
      </c>
    </row>
    <row r="231" spans="1:12" ht="13" x14ac:dyDescent="0.15">
      <c r="A231" s="7">
        <f ca="1">'TikTok Ads Raw Data'!A231</f>
        <v>45887</v>
      </c>
      <c r="B231" s="8">
        <f t="shared" ca="1" si="0"/>
        <v>8</v>
      </c>
      <c r="C231" s="24">
        <f ca="1">'TikTok Ads Raw Data'!B231</f>
        <v>97472</v>
      </c>
      <c r="D231" s="20">
        <f t="shared" ca="1" si="1"/>
        <v>2.2139691398555483E-2</v>
      </c>
      <c r="E231" s="8">
        <f ca="1">'TikTok Ads Raw Data'!C231</f>
        <v>2158</v>
      </c>
      <c r="F231" s="9">
        <f t="shared" ca="1" si="2"/>
        <v>0.93512511584800739</v>
      </c>
      <c r="G231" s="9">
        <f t="shared" ca="1" si="3"/>
        <v>20.703381483913329</v>
      </c>
      <c r="H231" s="9">
        <f ca="1">'TikTok Ads Raw Data'!D231</f>
        <v>2018</v>
      </c>
      <c r="I231" s="20">
        <f t="shared" ca="1" si="4"/>
        <v>2.5023169601482854E-2</v>
      </c>
      <c r="J231" s="8">
        <f ca="1">'TikTok Ads Raw Data'!E231</f>
        <v>54</v>
      </c>
      <c r="K231" s="9">
        <f t="shared" ca="1" si="5"/>
        <v>152.96296296296296</v>
      </c>
      <c r="L231" s="9">
        <f ca="1">'TikTok Ads Raw Data'!F231</f>
        <v>8260</v>
      </c>
    </row>
    <row r="232" spans="1:12" ht="13" x14ac:dyDescent="0.15">
      <c r="A232" s="7">
        <f ca="1">'TikTok Ads Raw Data'!A232</f>
        <v>45888</v>
      </c>
      <c r="B232" s="8">
        <f t="shared" ca="1" si="0"/>
        <v>8</v>
      </c>
      <c r="C232" s="24">
        <f ca="1">'TikTok Ads Raw Data'!B232</f>
        <v>32607</v>
      </c>
      <c r="D232" s="20">
        <f t="shared" ca="1" si="1"/>
        <v>1.3248688931824454E-2</v>
      </c>
      <c r="E232" s="8">
        <f ca="1">'TikTok Ads Raw Data'!C232</f>
        <v>432</v>
      </c>
      <c r="F232" s="9">
        <f t="shared" ca="1" si="2"/>
        <v>0.83101851851851849</v>
      </c>
      <c r="G232" s="9">
        <f t="shared" ca="1" si="3"/>
        <v>11.009905848437452</v>
      </c>
      <c r="H232" s="9">
        <f ca="1">'TikTok Ads Raw Data'!D232</f>
        <v>359</v>
      </c>
      <c r="I232" s="20">
        <f t="shared" ca="1" si="4"/>
        <v>1.8518518518518517E-2</v>
      </c>
      <c r="J232" s="8">
        <f ca="1">'TikTok Ads Raw Data'!E232</f>
        <v>8</v>
      </c>
      <c r="K232" s="9">
        <f t="shared" ca="1" si="5"/>
        <v>133.375</v>
      </c>
      <c r="L232" s="9">
        <f ca="1">'TikTok Ads Raw Data'!F232</f>
        <v>1067</v>
      </c>
    </row>
    <row r="233" spans="1:12" ht="13" x14ac:dyDescent="0.15">
      <c r="A233" s="7">
        <f ca="1">'TikTok Ads Raw Data'!A233</f>
        <v>45889</v>
      </c>
      <c r="B233" s="8">
        <f t="shared" ca="1" si="0"/>
        <v>8</v>
      </c>
      <c r="C233" s="24">
        <f ca="1">'TikTok Ads Raw Data'!B233</f>
        <v>29963</v>
      </c>
      <c r="D233" s="20">
        <f t="shared" ca="1" si="1"/>
        <v>1.5118646330474252E-2</v>
      </c>
      <c r="E233" s="8">
        <f ca="1">'TikTok Ads Raw Data'!C233</f>
        <v>453</v>
      </c>
      <c r="F233" s="9">
        <f t="shared" ca="1" si="2"/>
        <v>0.97350993377483441</v>
      </c>
      <c r="G233" s="9">
        <f t="shared" ca="1" si="3"/>
        <v>14.718152387945132</v>
      </c>
      <c r="H233" s="9">
        <f ca="1">'TikTok Ads Raw Data'!D233</f>
        <v>441</v>
      </c>
      <c r="I233" s="20">
        <f t="shared" ca="1" si="4"/>
        <v>1.3245033112582781E-2</v>
      </c>
      <c r="J233" s="8">
        <f ca="1">'TikTok Ads Raw Data'!E233</f>
        <v>6</v>
      </c>
      <c r="K233" s="9">
        <f t="shared" ca="1" si="5"/>
        <v>151.83333333333334</v>
      </c>
      <c r="L233" s="9">
        <f ca="1">'TikTok Ads Raw Data'!F233</f>
        <v>911</v>
      </c>
    </row>
    <row r="234" spans="1:12" ht="13" x14ac:dyDescent="0.15">
      <c r="A234" s="7">
        <f ca="1">'TikTok Ads Raw Data'!A234</f>
        <v>45890</v>
      </c>
      <c r="B234" s="8">
        <f t="shared" ca="1" si="0"/>
        <v>8</v>
      </c>
      <c r="C234" s="24">
        <f ca="1">'TikTok Ads Raw Data'!B234</f>
        <v>27710</v>
      </c>
      <c r="D234" s="20">
        <f t="shared" ca="1" si="1"/>
        <v>1.024900757849152E-2</v>
      </c>
      <c r="E234" s="8">
        <f ca="1">'TikTok Ads Raw Data'!C234</f>
        <v>284</v>
      </c>
      <c r="F234" s="9">
        <f t="shared" ca="1" si="2"/>
        <v>0.68661971830985913</v>
      </c>
      <c r="G234" s="9">
        <f t="shared" ca="1" si="3"/>
        <v>7.0371706964994587</v>
      </c>
      <c r="H234" s="9">
        <f ca="1">'TikTok Ads Raw Data'!D234</f>
        <v>195</v>
      </c>
      <c r="I234" s="20">
        <f t="shared" ca="1" si="4"/>
        <v>1.0563380281690141E-2</v>
      </c>
      <c r="J234" s="8">
        <f ca="1">'TikTok Ads Raw Data'!E234</f>
        <v>3</v>
      </c>
      <c r="K234" s="9">
        <f t="shared" ca="1" si="5"/>
        <v>381</v>
      </c>
      <c r="L234" s="9">
        <f ca="1">'TikTok Ads Raw Data'!F234</f>
        <v>1143</v>
      </c>
    </row>
    <row r="235" spans="1:12" ht="13" x14ac:dyDescent="0.15">
      <c r="A235" s="7">
        <f ca="1">'TikTok Ads Raw Data'!A235</f>
        <v>45891</v>
      </c>
      <c r="B235" s="8">
        <f t="shared" ca="1" si="0"/>
        <v>8</v>
      </c>
      <c r="C235" s="24">
        <f ca="1">'TikTok Ads Raw Data'!B235</f>
        <v>76252</v>
      </c>
      <c r="D235" s="20">
        <f t="shared" ca="1" si="1"/>
        <v>2.8274668205424121E-2</v>
      </c>
      <c r="E235" s="8">
        <f ca="1">'TikTok Ads Raw Data'!C235</f>
        <v>2156</v>
      </c>
      <c r="F235" s="9">
        <f t="shared" ca="1" si="2"/>
        <v>0.98376623376623373</v>
      </c>
      <c r="G235" s="9">
        <f t="shared" ca="1" si="3"/>
        <v>27.815663851439965</v>
      </c>
      <c r="H235" s="9">
        <f ca="1">'TikTok Ads Raw Data'!D235</f>
        <v>2121</v>
      </c>
      <c r="I235" s="20">
        <f t="shared" ca="1" si="4"/>
        <v>1.1595547309833023E-2</v>
      </c>
      <c r="J235" s="8">
        <f ca="1">'TikTok Ads Raw Data'!E235</f>
        <v>25</v>
      </c>
      <c r="K235" s="9">
        <f t="shared" ca="1" si="5"/>
        <v>212.16</v>
      </c>
      <c r="L235" s="9">
        <f ca="1">'TikTok Ads Raw Data'!F235</f>
        <v>5304</v>
      </c>
    </row>
    <row r="236" spans="1:12" ht="13" x14ac:dyDescent="0.15">
      <c r="A236" s="7">
        <f ca="1">'TikTok Ads Raw Data'!A236</f>
        <v>45892</v>
      </c>
      <c r="B236" s="8">
        <f t="shared" ca="1" si="0"/>
        <v>8</v>
      </c>
      <c r="C236" s="24">
        <f ca="1">'TikTok Ads Raw Data'!B236</f>
        <v>125503</v>
      </c>
      <c r="D236" s="20">
        <f t="shared" ca="1" si="1"/>
        <v>3.1194473438881938E-2</v>
      </c>
      <c r="E236" s="8">
        <f ca="1">'TikTok Ads Raw Data'!C236</f>
        <v>3915</v>
      </c>
      <c r="F236" s="9">
        <f t="shared" ca="1" si="2"/>
        <v>0.57394636015325673</v>
      </c>
      <c r="G236" s="9">
        <f t="shared" ca="1" si="3"/>
        <v>17.903954487143732</v>
      </c>
      <c r="H236" s="9">
        <f ca="1">'TikTok Ads Raw Data'!D236</f>
        <v>2247</v>
      </c>
      <c r="I236" s="20">
        <f t="shared" ca="1" si="4"/>
        <v>1.3537675606641124E-2</v>
      </c>
      <c r="J236" s="8">
        <f ca="1">'TikTok Ads Raw Data'!E236</f>
        <v>53</v>
      </c>
      <c r="K236" s="9">
        <f t="shared" ca="1" si="5"/>
        <v>166.77358490566039</v>
      </c>
      <c r="L236" s="9">
        <f ca="1">'TikTok Ads Raw Data'!F236</f>
        <v>8839</v>
      </c>
    </row>
    <row r="237" spans="1:12" ht="13" x14ac:dyDescent="0.15">
      <c r="A237" s="7">
        <f ca="1">'TikTok Ads Raw Data'!A237</f>
        <v>45893</v>
      </c>
      <c r="B237" s="8">
        <f t="shared" ca="1" si="0"/>
        <v>8</v>
      </c>
      <c r="C237" s="24">
        <f ca="1">'TikTok Ads Raw Data'!B237</f>
        <v>47190</v>
      </c>
      <c r="D237" s="20">
        <f t="shared" ca="1" si="1"/>
        <v>2.1720703538885357E-2</v>
      </c>
      <c r="E237" s="8">
        <f ca="1">'TikTok Ads Raw Data'!C237</f>
        <v>1025</v>
      </c>
      <c r="F237" s="9">
        <f t="shared" ca="1" si="2"/>
        <v>0.73268292682926828</v>
      </c>
      <c r="G237" s="9">
        <f t="shared" ca="1" si="3"/>
        <v>15.91438864166137</v>
      </c>
      <c r="H237" s="9">
        <f ca="1">'TikTok Ads Raw Data'!D237</f>
        <v>751</v>
      </c>
      <c r="I237" s="20">
        <f t="shared" ca="1" si="4"/>
        <v>2.3414634146341463E-2</v>
      </c>
      <c r="J237" s="8">
        <f ca="1">'TikTok Ads Raw Data'!E237</f>
        <v>24</v>
      </c>
      <c r="K237" s="9">
        <f t="shared" ca="1" si="5"/>
        <v>142.29166666666666</v>
      </c>
      <c r="L237" s="9">
        <f ca="1">'TikTok Ads Raw Data'!F237</f>
        <v>3415</v>
      </c>
    </row>
    <row r="238" spans="1:12" ht="13" x14ac:dyDescent="0.15">
      <c r="A238" s="7">
        <f ca="1">'TikTok Ads Raw Data'!A238</f>
        <v>45894</v>
      </c>
      <c r="B238" s="8">
        <f t="shared" ca="1" si="0"/>
        <v>8</v>
      </c>
      <c r="C238" s="24">
        <f ca="1">'TikTok Ads Raw Data'!B238</f>
        <v>125100</v>
      </c>
      <c r="D238" s="20">
        <f t="shared" ca="1" si="1"/>
        <v>1.5899280575539569E-2</v>
      </c>
      <c r="E238" s="8">
        <f ca="1">'TikTok Ads Raw Data'!C238</f>
        <v>1989</v>
      </c>
      <c r="F238" s="9">
        <f t="shared" ca="1" si="2"/>
        <v>1.2071392659627953</v>
      </c>
      <c r="G238" s="9">
        <f t="shared" ca="1" si="3"/>
        <v>19.192645883293366</v>
      </c>
      <c r="H238" s="9">
        <f ca="1">'TikTok Ads Raw Data'!D238</f>
        <v>2401</v>
      </c>
      <c r="I238" s="20">
        <f t="shared" ca="1" si="4"/>
        <v>1.9607843137254902E-2</v>
      </c>
      <c r="J238" s="8">
        <f ca="1">'TikTok Ads Raw Data'!E238</f>
        <v>39</v>
      </c>
      <c r="K238" s="9">
        <f t="shared" ca="1" si="5"/>
        <v>184.25641025641025</v>
      </c>
      <c r="L238" s="9">
        <f ca="1">'TikTok Ads Raw Data'!F238</f>
        <v>7186</v>
      </c>
    </row>
    <row r="239" spans="1:12" ht="13" x14ac:dyDescent="0.15">
      <c r="A239" s="7">
        <f ca="1">'TikTok Ads Raw Data'!A239</f>
        <v>45895</v>
      </c>
      <c r="B239" s="8">
        <f t="shared" ca="1" si="0"/>
        <v>8</v>
      </c>
      <c r="C239" s="24">
        <f ca="1">'TikTok Ads Raw Data'!B239</f>
        <v>119812</v>
      </c>
      <c r="D239" s="20">
        <f t="shared" ca="1" si="1"/>
        <v>1.5340700430674724E-2</v>
      </c>
      <c r="E239" s="8">
        <f ca="1">'TikTok Ads Raw Data'!C239</f>
        <v>1838</v>
      </c>
      <c r="F239" s="9">
        <f t="shared" ca="1" si="2"/>
        <v>1.0870511425462459</v>
      </c>
      <c r="G239" s="9">
        <f t="shared" ca="1" si="3"/>
        <v>16.676125930624647</v>
      </c>
      <c r="H239" s="9">
        <f ca="1">'TikTok Ads Raw Data'!D239</f>
        <v>1998</v>
      </c>
      <c r="I239" s="20">
        <f t="shared" ca="1" si="4"/>
        <v>2.0674646354733407E-2</v>
      </c>
      <c r="J239" s="8">
        <f ca="1">'TikTok Ads Raw Data'!E239</f>
        <v>38</v>
      </c>
      <c r="K239" s="9">
        <f t="shared" ca="1" si="5"/>
        <v>164.39473684210526</v>
      </c>
      <c r="L239" s="9">
        <f ca="1">'TikTok Ads Raw Data'!F239</f>
        <v>6247</v>
      </c>
    </row>
    <row r="240" spans="1:12" ht="13" x14ac:dyDescent="0.15">
      <c r="A240" s="7">
        <f ca="1">'TikTok Ads Raw Data'!A240</f>
        <v>45896</v>
      </c>
      <c r="B240" s="8">
        <f t="shared" ca="1" si="0"/>
        <v>8</v>
      </c>
      <c r="C240" s="24">
        <f ca="1">'TikTok Ads Raw Data'!B240</f>
        <v>88306</v>
      </c>
      <c r="D240" s="20">
        <f t="shared" ca="1" si="1"/>
        <v>2.7008357303014516E-2</v>
      </c>
      <c r="E240" s="8">
        <f ca="1">'TikTok Ads Raw Data'!C240</f>
        <v>2385</v>
      </c>
      <c r="F240" s="9">
        <f t="shared" ca="1" si="2"/>
        <v>0.88008385744234796</v>
      </c>
      <c r="G240" s="9">
        <f t="shared" ca="1" si="3"/>
        <v>23.769619278418229</v>
      </c>
      <c r="H240" s="9">
        <f ca="1">'TikTok Ads Raw Data'!D240</f>
        <v>2099</v>
      </c>
      <c r="I240" s="20">
        <f t="shared" ca="1" si="4"/>
        <v>1.6771488469601678E-2</v>
      </c>
      <c r="J240" s="8">
        <f ca="1">'TikTok Ads Raw Data'!E240</f>
        <v>40</v>
      </c>
      <c r="K240" s="9">
        <f t="shared" ca="1" si="5"/>
        <v>118.72499999999999</v>
      </c>
      <c r="L240" s="9">
        <f ca="1">'TikTok Ads Raw Data'!F240</f>
        <v>4749</v>
      </c>
    </row>
    <row r="241" spans="1:12" ht="13" x14ac:dyDescent="0.15">
      <c r="A241" s="7">
        <f ca="1">'TikTok Ads Raw Data'!A241</f>
        <v>45897</v>
      </c>
      <c r="B241" s="8">
        <f t="shared" ca="1" si="0"/>
        <v>8</v>
      </c>
      <c r="C241" s="24">
        <f ca="1">'TikTok Ads Raw Data'!B241</f>
        <v>44544</v>
      </c>
      <c r="D241" s="20">
        <f t="shared" ca="1" si="1"/>
        <v>1.3851472701149425E-2</v>
      </c>
      <c r="E241" s="8">
        <f ca="1">'TikTok Ads Raw Data'!C241</f>
        <v>617</v>
      </c>
      <c r="F241" s="9">
        <f t="shared" ca="1" si="2"/>
        <v>0.98865478119935168</v>
      </c>
      <c r="G241" s="9">
        <f t="shared" ca="1" si="3"/>
        <v>13.694324712643679</v>
      </c>
      <c r="H241" s="9">
        <f ca="1">'TikTok Ads Raw Data'!D241</f>
        <v>610</v>
      </c>
      <c r="I241" s="20">
        <f t="shared" ca="1" si="4"/>
        <v>9.7244732576985422E-3</v>
      </c>
      <c r="J241" s="8">
        <f ca="1">'TikTok Ads Raw Data'!E241</f>
        <v>6</v>
      </c>
      <c r="K241" s="9">
        <f t="shared" ca="1" si="5"/>
        <v>166.66666666666666</v>
      </c>
      <c r="L241" s="9">
        <f ca="1">'TikTok Ads Raw Data'!F241</f>
        <v>1000</v>
      </c>
    </row>
    <row r="242" spans="1:12" ht="13" x14ac:dyDescent="0.15">
      <c r="A242" s="7">
        <f ca="1">'TikTok Ads Raw Data'!A242</f>
        <v>45898</v>
      </c>
      <c r="B242" s="8">
        <f t="shared" ca="1" si="0"/>
        <v>8</v>
      </c>
      <c r="C242" s="24">
        <f ca="1">'TikTok Ads Raw Data'!B242</f>
        <v>74391</v>
      </c>
      <c r="D242" s="20">
        <f t="shared" ca="1" si="1"/>
        <v>1.3966743288838703E-2</v>
      </c>
      <c r="E242" s="8">
        <f ca="1">'TikTok Ads Raw Data'!C242</f>
        <v>1039</v>
      </c>
      <c r="F242" s="9">
        <f t="shared" ca="1" si="2"/>
        <v>0.7285851780558229</v>
      </c>
      <c r="G242" s="9">
        <f t="shared" ca="1" si="3"/>
        <v>10.175962145958517</v>
      </c>
      <c r="H242" s="9">
        <f ca="1">'TikTok Ads Raw Data'!D242</f>
        <v>757</v>
      </c>
      <c r="I242" s="20">
        <f t="shared" ca="1" si="4"/>
        <v>2.0211742059672761E-2</v>
      </c>
      <c r="J242" s="8">
        <f ca="1">'TikTok Ads Raw Data'!E242</f>
        <v>21</v>
      </c>
      <c r="K242" s="9">
        <f t="shared" ca="1" si="5"/>
        <v>174</v>
      </c>
      <c r="L242" s="9">
        <f ca="1">'TikTok Ads Raw Data'!F242</f>
        <v>3654</v>
      </c>
    </row>
    <row r="243" spans="1:12" ht="13" x14ac:dyDescent="0.15">
      <c r="A243" s="7">
        <f ca="1">'TikTok Ads Raw Data'!A243</f>
        <v>45899</v>
      </c>
      <c r="B243" s="8">
        <f t="shared" ca="1" si="0"/>
        <v>8</v>
      </c>
      <c r="C243" s="24">
        <f ca="1">'TikTok Ads Raw Data'!B243</f>
        <v>32545</v>
      </c>
      <c r="D243" s="20">
        <f t="shared" ca="1" si="1"/>
        <v>1.4502995851897373E-2</v>
      </c>
      <c r="E243" s="8">
        <f ca="1">'TikTok Ads Raw Data'!C243</f>
        <v>472</v>
      </c>
      <c r="F243" s="9">
        <f t="shared" ca="1" si="2"/>
        <v>1.097457627118644</v>
      </c>
      <c r="G243" s="9">
        <f t="shared" ca="1" si="3"/>
        <v>15.916423413734828</v>
      </c>
      <c r="H243" s="9">
        <f ca="1">'TikTok Ads Raw Data'!D243</f>
        <v>518</v>
      </c>
      <c r="I243" s="20">
        <f t="shared" ca="1" si="4"/>
        <v>1.4830508474576272E-2</v>
      </c>
      <c r="J243" s="8">
        <f ca="1">'TikTok Ads Raw Data'!E243</f>
        <v>7</v>
      </c>
      <c r="K243" s="9">
        <f t="shared" ca="1" si="5"/>
        <v>140.57142857142858</v>
      </c>
      <c r="L243" s="9">
        <f ca="1">'TikTok Ads Raw Data'!F243</f>
        <v>984</v>
      </c>
    </row>
    <row r="244" spans="1:12" ht="13" x14ac:dyDescent="0.15">
      <c r="A244" s="7">
        <f ca="1">'TikTok Ads Raw Data'!A244</f>
        <v>45900</v>
      </c>
      <c r="B244" s="8">
        <f t="shared" ca="1" si="0"/>
        <v>8</v>
      </c>
      <c r="C244" s="24">
        <f ca="1">'TikTok Ads Raw Data'!B244</f>
        <v>106510</v>
      </c>
      <c r="D244" s="20">
        <f t="shared" ca="1" si="1"/>
        <v>2.0467561731292837E-2</v>
      </c>
      <c r="E244" s="8">
        <f ca="1">'TikTok Ads Raw Data'!C244</f>
        <v>2180</v>
      </c>
      <c r="F244" s="9">
        <f t="shared" ca="1" si="2"/>
        <v>0.56422018348623848</v>
      </c>
      <c r="G244" s="9">
        <f t="shared" ca="1" si="3"/>
        <v>11.548211435545957</v>
      </c>
      <c r="H244" s="9">
        <f ca="1">'TikTok Ads Raw Data'!D244</f>
        <v>1230</v>
      </c>
      <c r="I244" s="20">
        <f t="shared" ca="1" si="4"/>
        <v>1.3761467889908258E-2</v>
      </c>
      <c r="J244" s="8">
        <f ca="1">'TikTok Ads Raw Data'!E244</f>
        <v>30</v>
      </c>
      <c r="K244" s="9">
        <f t="shared" ca="1" si="5"/>
        <v>155.06666666666666</v>
      </c>
      <c r="L244" s="9">
        <f ca="1">'TikTok Ads Raw Data'!F244</f>
        <v>4652</v>
      </c>
    </row>
    <row r="245" spans="1:12" ht="13" x14ac:dyDescent="0.15">
      <c r="A245" s="7">
        <f ca="1">'TikTok Ads Raw Data'!A245</f>
        <v>45901</v>
      </c>
      <c r="B245" s="8">
        <f t="shared" ca="1" si="0"/>
        <v>9</v>
      </c>
      <c r="C245" s="24">
        <f ca="1">'TikTok Ads Raw Data'!B245</f>
        <v>94494</v>
      </c>
      <c r="D245" s="20">
        <f t="shared" ca="1" si="1"/>
        <v>1.6106842762503439E-2</v>
      </c>
      <c r="E245" s="8">
        <f ca="1">'TikTok Ads Raw Data'!C245</f>
        <v>1522</v>
      </c>
      <c r="F245" s="9">
        <f t="shared" ca="1" si="2"/>
        <v>1.390275952693824</v>
      </c>
      <c r="G245" s="9">
        <f t="shared" ca="1" si="3"/>
        <v>22.392956166529093</v>
      </c>
      <c r="H245" s="9">
        <f ca="1">'TikTok Ads Raw Data'!D245</f>
        <v>2116</v>
      </c>
      <c r="I245" s="20">
        <f t="shared" ca="1" si="4"/>
        <v>2.2996057818659658E-2</v>
      </c>
      <c r="J245" s="8">
        <f ca="1">'TikTok Ads Raw Data'!E245</f>
        <v>35</v>
      </c>
      <c r="K245" s="9">
        <f t="shared" ca="1" si="5"/>
        <v>107.25714285714285</v>
      </c>
      <c r="L245" s="9">
        <f ca="1">'TikTok Ads Raw Data'!F245</f>
        <v>3754</v>
      </c>
    </row>
    <row r="246" spans="1:12" ht="13" x14ac:dyDescent="0.15">
      <c r="A246" s="7">
        <f ca="1">'TikTok Ads Raw Data'!A246</f>
        <v>45902</v>
      </c>
      <c r="B246" s="8">
        <f t="shared" ca="1" si="0"/>
        <v>9</v>
      </c>
      <c r="C246" s="24">
        <f ca="1">'TikTok Ads Raw Data'!B246</f>
        <v>70589</v>
      </c>
      <c r="D246" s="20">
        <f t="shared" ca="1" si="1"/>
        <v>2.2822252758928446E-2</v>
      </c>
      <c r="E246" s="8">
        <f ca="1">'TikTok Ads Raw Data'!C246</f>
        <v>1611</v>
      </c>
      <c r="F246" s="9">
        <f t="shared" ca="1" si="2"/>
        <v>0.70515207945375546</v>
      </c>
      <c r="G246" s="9">
        <f t="shared" ca="1" si="3"/>
        <v>16.093158990777599</v>
      </c>
      <c r="H246" s="9">
        <f ca="1">'TikTok Ads Raw Data'!D246</f>
        <v>1136</v>
      </c>
      <c r="I246" s="20">
        <f t="shared" ca="1" si="4"/>
        <v>2.0484171322160148E-2</v>
      </c>
      <c r="J246" s="8">
        <f ca="1">'TikTok Ads Raw Data'!E246</f>
        <v>33</v>
      </c>
      <c r="K246" s="9">
        <f t="shared" ca="1" si="5"/>
        <v>94.787878787878782</v>
      </c>
      <c r="L246" s="9">
        <f ca="1">'TikTok Ads Raw Data'!F246</f>
        <v>3128</v>
      </c>
    </row>
    <row r="247" spans="1:12" ht="13" x14ac:dyDescent="0.15">
      <c r="A247" s="7">
        <f ca="1">'TikTok Ads Raw Data'!A247</f>
        <v>45903</v>
      </c>
      <c r="B247" s="8">
        <f t="shared" ca="1" si="0"/>
        <v>9</v>
      </c>
      <c r="C247" s="24">
        <f ca="1">'TikTok Ads Raw Data'!B247</f>
        <v>29665</v>
      </c>
      <c r="D247" s="20">
        <f t="shared" ca="1" si="1"/>
        <v>2.3596831282656328E-2</v>
      </c>
      <c r="E247" s="8">
        <f ca="1">'TikTok Ads Raw Data'!C247</f>
        <v>700</v>
      </c>
      <c r="F247" s="9">
        <f t="shared" ca="1" si="2"/>
        <v>0.86285714285714288</v>
      </c>
      <c r="G247" s="9">
        <f t="shared" ca="1" si="3"/>
        <v>20.360694421034889</v>
      </c>
      <c r="H247" s="9">
        <f ca="1">'TikTok Ads Raw Data'!D247</f>
        <v>604</v>
      </c>
      <c r="I247" s="20">
        <f t="shared" ca="1" si="4"/>
        <v>1.1428571428571429E-2</v>
      </c>
      <c r="J247" s="8">
        <f ca="1">'TikTok Ads Raw Data'!E247</f>
        <v>8</v>
      </c>
      <c r="K247" s="9">
        <f t="shared" ca="1" si="5"/>
        <v>193.875</v>
      </c>
      <c r="L247" s="9">
        <f ca="1">'TikTok Ads Raw Data'!F247</f>
        <v>1551</v>
      </c>
    </row>
    <row r="248" spans="1:12" ht="13" x14ac:dyDescent="0.15">
      <c r="A248" s="7">
        <f ca="1">'TikTok Ads Raw Data'!A248</f>
        <v>45904</v>
      </c>
      <c r="B248" s="8">
        <f t="shared" ca="1" si="0"/>
        <v>9</v>
      </c>
      <c r="C248" s="24">
        <f ca="1">'TikTok Ads Raw Data'!B248</f>
        <v>99274</v>
      </c>
      <c r="D248" s="20">
        <f t="shared" ca="1" si="1"/>
        <v>3.4611277877389851E-2</v>
      </c>
      <c r="E248" s="8">
        <f ca="1">'TikTok Ads Raw Data'!C248</f>
        <v>3436</v>
      </c>
      <c r="F248" s="9">
        <f t="shared" ca="1" si="2"/>
        <v>0.71187427240977885</v>
      </c>
      <c r="G248" s="9">
        <f t="shared" ca="1" si="3"/>
        <v>24.638878256139574</v>
      </c>
      <c r="H248" s="9">
        <f ca="1">'TikTok Ads Raw Data'!D248</f>
        <v>2446</v>
      </c>
      <c r="I248" s="20">
        <f t="shared" ca="1" si="4"/>
        <v>1.7462165308498253E-2</v>
      </c>
      <c r="J248" s="8">
        <f ca="1">'TikTok Ads Raw Data'!E248</f>
        <v>60</v>
      </c>
      <c r="K248" s="9">
        <f t="shared" ca="1" si="5"/>
        <v>168.46666666666667</v>
      </c>
      <c r="L248" s="9">
        <f ca="1">'TikTok Ads Raw Data'!F248</f>
        <v>10108</v>
      </c>
    </row>
    <row r="249" spans="1:12" ht="13" x14ac:dyDescent="0.15">
      <c r="A249" s="7">
        <f ca="1">'TikTok Ads Raw Data'!A249</f>
        <v>45905</v>
      </c>
      <c r="B249" s="8">
        <f t="shared" ca="1" si="0"/>
        <v>9</v>
      </c>
      <c r="C249" s="24">
        <f ca="1">'TikTok Ads Raw Data'!B249</f>
        <v>101197</v>
      </c>
      <c r="D249" s="20">
        <f t="shared" ca="1" si="1"/>
        <v>2.3854462088797098E-2</v>
      </c>
      <c r="E249" s="8">
        <f ca="1">'TikTok Ads Raw Data'!C249</f>
        <v>2414</v>
      </c>
      <c r="F249" s="9">
        <f t="shared" ca="1" si="2"/>
        <v>1.1089478044739023</v>
      </c>
      <c r="G249" s="9">
        <f t="shared" ca="1" si="3"/>
        <v>26.453353360277479</v>
      </c>
      <c r="H249" s="9">
        <f ca="1">'TikTok Ads Raw Data'!D249</f>
        <v>2677</v>
      </c>
      <c r="I249" s="20">
        <f t="shared" ca="1" si="4"/>
        <v>1.6984258492129246E-2</v>
      </c>
      <c r="J249" s="8">
        <f ca="1">'TikTok Ads Raw Data'!E249</f>
        <v>41</v>
      </c>
      <c r="K249" s="9">
        <f t="shared" ca="1" si="5"/>
        <v>201</v>
      </c>
      <c r="L249" s="9">
        <f ca="1">'TikTok Ads Raw Data'!F249</f>
        <v>8241</v>
      </c>
    </row>
    <row r="250" spans="1:12" ht="13" x14ac:dyDescent="0.15">
      <c r="A250" s="7">
        <f ca="1">'TikTok Ads Raw Data'!A250</f>
        <v>45906</v>
      </c>
      <c r="B250" s="8">
        <f t="shared" ca="1" si="0"/>
        <v>9</v>
      </c>
      <c r="C250" s="24">
        <f ca="1">'TikTok Ads Raw Data'!B250</f>
        <v>47386</v>
      </c>
      <c r="D250" s="20">
        <f t="shared" ca="1" si="1"/>
        <v>2.3677879542480903E-2</v>
      </c>
      <c r="E250" s="8">
        <f ca="1">'TikTok Ads Raw Data'!C250</f>
        <v>1122</v>
      </c>
      <c r="F250" s="9">
        <f t="shared" ca="1" si="2"/>
        <v>1.1461675579322639</v>
      </c>
      <c r="G250" s="9">
        <f t="shared" ca="1" si="3"/>
        <v>27.138817372219641</v>
      </c>
      <c r="H250" s="9">
        <f ca="1">'TikTok Ads Raw Data'!D250</f>
        <v>1286</v>
      </c>
      <c r="I250" s="20">
        <f t="shared" ca="1" si="4"/>
        <v>1.1586452762923352E-2</v>
      </c>
      <c r="J250" s="8">
        <f ca="1">'TikTok Ads Raw Data'!E250</f>
        <v>13</v>
      </c>
      <c r="K250" s="9">
        <f t="shared" ca="1" si="5"/>
        <v>214.61538461538461</v>
      </c>
      <c r="L250" s="9">
        <f ca="1">'TikTok Ads Raw Data'!F250</f>
        <v>2790</v>
      </c>
    </row>
    <row r="251" spans="1:12" ht="13" x14ac:dyDescent="0.15">
      <c r="A251" s="7">
        <f ca="1">'TikTok Ads Raw Data'!A251</f>
        <v>45907</v>
      </c>
      <c r="B251" s="8">
        <f t="shared" ca="1" si="0"/>
        <v>9</v>
      </c>
      <c r="C251" s="24">
        <f ca="1">'TikTok Ads Raw Data'!B251</f>
        <v>28728</v>
      </c>
      <c r="D251" s="20">
        <f t="shared" ca="1" si="1"/>
        <v>8.9459760512392086E-3</v>
      </c>
      <c r="E251" s="8">
        <f ca="1">'TikTok Ads Raw Data'!C251</f>
        <v>257</v>
      </c>
      <c r="F251" s="9">
        <f t="shared" ca="1" si="2"/>
        <v>1.1789883268482491</v>
      </c>
      <c r="G251" s="9">
        <f t="shared" ca="1" si="3"/>
        <v>10.54720133667502</v>
      </c>
      <c r="H251" s="9">
        <f ca="1">'TikTok Ads Raw Data'!D251</f>
        <v>303</v>
      </c>
      <c r="I251" s="20">
        <f t="shared" ca="1" si="4"/>
        <v>7.7821011673151752E-3</v>
      </c>
      <c r="J251" s="8">
        <f ca="1">'TikTok Ads Raw Data'!E251</f>
        <v>2</v>
      </c>
      <c r="K251" s="9">
        <f t="shared" ca="1" si="5"/>
        <v>227.5</v>
      </c>
      <c r="L251" s="9">
        <f ca="1">'TikTok Ads Raw Data'!F251</f>
        <v>455</v>
      </c>
    </row>
    <row r="252" spans="1:12" ht="13" x14ac:dyDescent="0.15">
      <c r="A252" s="7">
        <f ca="1">'TikTok Ads Raw Data'!A252</f>
        <v>45908</v>
      </c>
      <c r="B252" s="8">
        <f t="shared" ca="1" si="0"/>
        <v>9</v>
      </c>
      <c r="C252" s="24">
        <f ca="1">'TikTok Ads Raw Data'!B252</f>
        <v>54726</v>
      </c>
      <c r="D252" s="20">
        <f t="shared" ca="1" si="1"/>
        <v>1.4198004604758251E-2</v>
      </c>
      <c r="E252" s="8">
        <f ca="1">'TikTok Ads Raw Data'!C252</f>
        <v>777</v>
      </c>
      <c r="F252" s="9">
        <f t="shared" ca="1" si="2"/>
        <v>1.0553410553410554</v>
      </c>
      <c r="G252" s="9">
        <f t="shared" ca="1" si="3"/>
        <v>14.983737163322735</v>
      </c>
      <c r="H252" s="9">
        <f ca="1">'TikTok Ads Raw Data'!D252</f>
        <v>820</v>
      </c>
      <c r="I252" s="20">
        <f t="shared" ca="1" si="4"/>
        <v>2.5740025740025738E-2</v>
      </c>
      <c r="J252" s="8">
        <f ca="1">'TikTok Ads Raw Data'!E252</f>
        <v>20</v>
      </c>
      <c r="K252" s="9">
        <f t="shared" ca="1" si="5"/>
        <v>155.65</v>
      </c>
      <c r="L252" s="9">
        <f ca="1">'TikTok Ads Raw Data'!F252</f>
        <v>3113</v>
      </c>
    </row>
    <row r="253" spans="1:12" ht="13" x14ac:dyDescent="0.15">
      <c r="A253" s="7">
        <f ca="1">'TikTok Ads Raw Data'!A253</f>
        <v>45909</v>
      </c>
      <c r="B253" s="8">
        <f t="shared" ca="1" si="0"/>
        <v>9</v>
      </c>
      <c r="C253" s="24">
        <f ca="1">'TikTok Ads Raw Data'!B253</f>
        <v>25895</v>
      </c>
      <c r="D253" s="20">
        <f t="shared" ca="1" si="1"/>
        <v>1.9965244255647809E-2</v>
      </c>
      <c r="E253" s="8">
        <f ca="1">'TikTok Ads Raw Data'!C253</f>
        <v>517</v>
      </c>
      <c r="F253" s="9">
        <f t="shared" ca="1" si="2"/>
        <v>0.68278529980657643</v>
      </c>
      <c r="G253" s="9">
        <f t="shared" ca="1" si="3"/>
        <v>13.631975284804016</v>
      </c>
      <c r="H253" s="9">
        <f ca="1">'TikTok Ads Raw Data'!D253</f>
        <v>353</v>
      </c>
      <c r="I253" s="20">
        <f t="shared" ca="1" si="4"/>
        <v>1.160541586073501E-2</v>
      </c>
      <c r="J253" s="8">
        <f ca="1">'TikTok Ads Raw Data'!E253</f>
        <v>6</v>
      </c>
      <c r="K253" s="9">
        <f t="shared" ca="1" si="5"/>
        <v>177.83333333333334</v>
      </c>
      <c r="L253" s="9">
        <f ca="1">'TikTok Ads Raw Data'!F253</f>
        <v>1067</v>
      </c>
    </row>
    <row r="254" spans="1:12" ht="13" x14ac:dyDescent="0.15">
      <c r="A254" s="7">
        <f ca="1">'TikTok Ads Raw Data'!A254</f>
        <v>45910</v>
      </c>
      <c r="B254" s="8">
        <f t="shared" ca="1" si="0"/>
        <v>9</v>
      </c>
      <c r="C254" s="24">
        <f ca="1">'TikTok Ads Raw Data'!B254</f>
        <v>75927</v>
      </c>
      <c r="D254" s="20">
        <f t="shared" ca="1" si="1"/>
        <v>1.9294848999697078E-2</v>
      </c>
      <c r="E254" s="8">
        <f ca="1">'TikTok Ads Raw Data'!C254</f>
        <v>1465</v>
      </c>
      <c r="F254" s="9">
        <f t="shared" ca="1" si="2"/>
        <v>1.2853242320819112</v>
      </c>
      <c r="G254" s="9">
        <f t="shared" ca="1" si="3"/>
        <v>24.800136973672078</v>
      </c>
      <c r="H254" s="9">
        <f ca="1">'TikTok Ads Raw Data'!D254</f>
        <v>1883</v>
      </c>
      <c r="I254" s="20">
        <f t="shared" ca="1" si="4"/>
        <v>1.7064846416382253E-2</v>
      </c>
      <c r="J254" s="8">
        <f ca="1">'TikTok Ads Raw Data'!E254</f>
        <v>25</v>
      </c>
      <c r="K254" s="9">
        <f t="shared" ca="1" si="5"/>
        <v>139</v>
      </c>
      <c r="L254" s="9">
        <f ca="1">'TikTok Ads Raw Data'!F254</f>
        <v>3475</v>
      </c>
    </row>
    <row r="255" spans="1:12" ht="13" x14ac:dyDescent="0.15">
      <c r="A255" s="7">
        <f ca="1">'TikTok Ads Raw Data'!A255</f>
        <v>45911</v>
      </c>
      <c r="B255" s="8">
        <f t="shared" ca="1" si="0"/>
        <v>9</v>
      </c>
      <c r="C255" s="24">
        <f ca="1">'TikTok Ads Raw Data'!B255</f>
        <v>78245</v>
      </c>
      <c r="D255" s="20">
        <f t="shared" ca="1" si="1"/>
        <v>9.7642021854431587E-3</v>
      </c>
      <c r="E255" s="8">
        <f ca="1">'TikTok Ads Raw Data'!C255</f>
        <v>764</v>
      </c>
      <c r="F255" s="9">
        <f t="shared" ca="1" si="2"/>
        <v>1.0471204188481675</v>
      </c>
      <c r="G255" s="9">
        <f t="shared" ca="1" si="3"/>
        <v>10.224295482139434</v>
      </c>
      <c r="H255" s="9">
        <f ca="1">'TikTok Ads Raw Data'!D255</f>
        <v>800</v>
      </c>
      <c r="I255" s="20">
        <f t="shared" ca="1" si="4"/>
        <v>2.4869109947643978E-2</v>
      </c>
      <c r="J255" s="8">
        <f ca="1">'TikTok Ads Raw Data'!E255</f>
        <v>19</v>
      </c>
      <c r="K255" s="9">
        <f t="shared" ca="1" si="5"/>
        <v>181.73684210526315</v>
      </c>
      <c r="L255" s="9">
        <f ca="1">'TikTok Ads Raw Data'!F255</f>
        <v>3453</v>
      </c>
    </row>
    <row r="256" spans="1:12" ht="13" x14ac:dyDescent="0.15">
      <c r="A256" s="7">
        <f ca="1">'TikTok Ads Raw Data'!A256</f>
        <v>45912</v>
      </c>
      <c r="B256" s="8">
        <f t="shared" ca="1" si="0"/>
        <v>9</v>
      </c>
      <c r="C256" s="24">
        <f ca="1">'TikTok Ads Raw Data'!B256</f>
        <v>59778</v>
      </c>
      <c r="D256" s="20">
        <f t="shared" ca="1" si="1"/>
        <v>1.5440463046605775E-2</v>
      </c>
      <c r="E256" s="8">
        <f ca="1">'TikTok Ads Raw Data'!C256</f>
        <v>923</v>
      </c>
      <c r="F256" s="9">
        <f t="shared" ca="1" si="2"/>
        <v>0.90249187432286027</v>
      </c>
      <c r="G256" s="9">
        <f t="shared" ca="1" si="3"/>
        <v>13.934892435344107</v>
      </c>
      <c r="H256" s="9">
        <f ca="1">'TikTok Ads Raw Data'!D256</f>
        <v>833</v>
      </c>
      <c r="I256" s="20">
        <f t="shared" ca="1" si="4"/>
        <v>1.7334777898158179E-2</v>
      </c>
      <c r="J256" s="8">
        <f ca="1">'TikTok Ads Raw Data'!E256</f>
        <v>16</v>
      </c>
      <c r="K256" s="9">
        <f t="shared" ca="1" si="5"/>
        <v>178</v>
      </c>
      <c r="L256" s="9">
        <f ca="1">'TikTok Ads Raw Data'!F256</f>
        <v>2848</v>
      </c>
    </row>
    <row r="257" spans="1:12" ht="13" x14ac:dyDescent="0.15">
      <c r="A257" s="7">
        <f ca="1">'TikTok Ads Raw Data'!A257</f>
        <v>45913</v>
      </c>
      <c r="B257" s="8">
        <f t="shared" ref="B257:B366" ca="1" si="6">MONTH(A:A)</f>
        <v>9</v>
      </c>
      <c r="C257" s="24">
        <f ca="1">'TikTok Ads Raw Data'!B257</f>
        <v>105615</v>
      </c>
      <c r="D257" s="20">
        <f t="shared" ref="D257:D366" ca="1" si="7">E257/C257</f>
        <v>1.6711641338824978E-2</v>
      </c>
      <c r="E257" s="8">
        <f ca="1">'TikTok Ads Raw Data'!C257</f>
        <v>1765</v>
      </c>
      <c r="F257" s="9">
        <f t="shared" ref="F257:F366" ca="1" si="8">H257/E257</f>
        <v>0.7722379603399433</v>
      </c>
      <c r="G257" s="9">
        <f t="shared" ref="G257:G366" ca="1" si="9">H257/(C257/1000)</f>
        <v>12.905363821426882</v>
      </c>
      <c r="H257" s="9">
        <f ca="1">'TikTok Ads Raw Data'!D257</f>
        <v>1363</v>
      </c>
      <c r="I257" s="20">
        <f t="shared" ref="I257:I366" ca="1" si="10">J257/E257</f>
        <v>2.6628895184135977E-2</v>
      </c>
      <c r="J257" s="8">
        <f ca="1">'TikTok Ads Raw Data'!E257</f>
        <v>47</v>
      </c>
      <c r="K257" s="9">
        <f t="shared" ref="K257:K366" ca="1" si="11">L257/J257</f>
        <v>143.46808510638297</v>
      </c>
      <c r="L257" s="9">
        <f ca="1">'TikTok Ads Raw Data'!F257</f>
        <v>6743</v>
      </c>
    </row>
    <row r="258" spans="1:12" ht="13" x14ac:dyDescent="0.15">
      <c r="A258" s="7">
        <f ca="1">'TikTok Ads Raw Data'!A258</f>
        <v>45914</v>
      </c>
      <c r="B258" s="8">
        <f t="shared" ca="1" si="6"/>
        <v>9</v>
      </c>
      <c r="C258" s="24">
        <f ca="1">'TikTok Ads Raw Data'!B258</f>
        <v>98643</v>
      </c>
      <c r="D258" s="20">
        <f t="shared" ca="1" si="7"/>
        <v>2.2961588759465953E-2</v>
      </c>
      <c r="E258" s="8">
        <f ca="1">'TikTok Ads Raw Data'!C258</f>
        <v>2265</v>
      </c>
      <c r="F258" s="9">
        <f t="shared" ca="1" si="8"/>
        <v>0.74128035320088304</v>
      </c>
      <c r="G258" s="9">
        <f t="shared" ca="1" si="9"/>
        <v>17.020974625670348</v>
      </c>
      <c r="H258" s="9">
        <f ca="1">'TikTok Ads Raw Data'!D258</f>
        <v>1679</v>
      </c>
      <c r="I258" s="20">
        <f t="shared" ca="1" si="10"/>
        <v>2.2075055187637971E-2</v>
      </c>
      <c r="J258" s="8">
        <f ca="1">'TikTok Ads Raw Data'!E258</f>
        <v>50</v>
      </c>
      <c r="K258" s="9">
        <f t="shared" ca="1" si="11"/>
        <v>170.78</v>
      </c>
      <c r="L258" s="9">
        <f ca="1">'TikTok Ads Raw Data'!F258</f>
        <v>8539</v>
      </c>
    </row>
    <row r="259" spans="1:12" ht="13" x14ac:dyDescent="0.15">
      <c r="A259" s="7">
        <f ca="1">'TikTok Ads Raw Data'!A259</f>
        <v>45915</v>
      </c>
      <c r="B259" s="8">
        <f t="shared" ca="1" si="6"/>
        <v>9</v>
      </c>
      <c r="C259" s="24">
        <f ca="1">'TikTok Ads Raw Data'!B259</f>
        <v>63590</v>
      </c>
      <c r="D259" s="20">
        <f t="shared" ca="1" si="7"/>
        <v>1.1511243906274572E-2</v>
      </c>
      <c r="E259" s="8">
        <f ca="1">'TikTok Ads Raw Data'!C259</f>
        <v>732</v>
      </c>
      <c r="F259" s="9">
        <f t="shared" ca="1" si="8"/>
        <v>0.99726775956284153</v>
      </c>
      <c r="G259" s="9">
        <f t="shared" ca="1" si="9"/>
        <v>11.479792420191853</v>
      </c>
      <c r="H259" s="9">
        <f ca="1">'TikTok Ads Raw Data'!D259</f>
        <v>730</v>
      </c>
      <c r="I259" s="20">
        <f t="shared" ca="1" si="10"/>
        <v>1.2295081967213115E-2</v>
      </c>
      <c r="J259" s="8">
        <f ca="1">'TikTok Ads Raw Data'!E259</f>
        <v>9</v>
      </c>
      <c r="K259" s="9">
        <f t="shared" ca="1" si="11"/>
        <v>148.22222222222223</v>
      </c>
      <c r="L259" s="9">
        <f ca="1">'TikTok Ads Raw Data'!F259</f>
        <v>1334</v>
      </c>
    </row>
    <row r="260" spans="1:12" ht="13" x14ac:dyDescent="0.15">
      <c r="A260" s="7">
        <f ca="1">'TikTok Ads Raw Data'!A260</f>
        <v>45916</v>
      </c>
      <c r="B260" s="8">
        <f t="shared" ca="1" si="6"/>
        <v>9</v>
      </c>
      <c r="C260" s="24">
        <f ca="1">'TikTok Ads Raw Data'!B260</f>
        <v>68572</v>
      </c>
      <c r="D260" s="20">
        <f t="shared" ca="1" si="7"/>
        <v>2.4353963716969025E-2</v>
      </c>
      <c r="E260" s="8">
        <f ca="1">'TikTok Ads Raw Data'!C260</f>
        <v>1670</v>
      </c>
      <c r="F260" s="9">
        <f t="shared" ca="1" si="8"/>
        <v>1.1353293413173653</v>
      </c>
      <c r="G260" s="9">
        <f t="shared" ca="1" si="9"/>
        <v>27.649769585253456</v>
      </c>
      <c r="H260" s="9">
        <f ca="1">'TikTok Ads Raw Data'!D260</f>
        <v>1896</v>
      </c>
      <c r="I260" s="20">
        <f t="shared" ca="1" si="10"/>
        <v>1.3772455089820359E-2</v>
      </c>
      <c r="J260" s="8">
        <f ca="1">'TikTok Ads Raw Data'!E260</f>
        <v>23</v>
      </c>
      <c r="K260" s="9">
        <f t="shared" ca="1" si="11"/>
        <v>179.30434782608697</v>
      </c>
      <c r="L260" s="9">
        <f ca="1">'TikTok Ads Raw Data'!F260</f>
        <v>4124</v>
      </c>
    </row>
    <row r="261" spans="1:12" ht="13" x14ac:dyDescent="0.15">
      <c r="A261" s="7">
        <f ca="1">'TikTok Ads Raw Data'!A261</f>
        <v>45917</v>
      </c>
      <c r="B261" s="8">
        <f t="shared" ca="1" si="6"/>
        <v>9</v>
      </c>
      <c r="C261" s="24">
        <f ca="1">'TikTok Ads Raw Data'!B261</f>
        <v>46975</v>
      </c>
      <c r="D261" s="20">
        <f t="shared" ca="1" si="7"/>
        <v>1.5135710484300159E-2</v>
      </c>
      <c r="E261" s="8">
        <f ca="1">'TikTok Ads Raw Data'!C261</f>
        <v>711</v>
      </c>
      <c r="F261" s="9">
        <f t="shared" ca="1" si="8"/>
        <v>1.0464135021097047</v>
      </c>
      <c r="G261" s="9">
        <f t="shared" ca="1" si="9"/>
        <v>15.838211814795104</v>
      </c>
      <c r="H261" s="9">
        <f ca="1">'TikTok Ads Raw Data'!D261</f>
        <v>744</v>
      </c>
      <c r="I261" s="20">
        <f t="shared" ca="1" si="10"/>
        <v>1.8284106891701828E-2</v>
      </c>
      <c r="J261" s="8">
        <f ca="1">'TikTok Ads Raw Data'!E261</f>
        <v>13</v>
      </c>
      <c r="K261" s="9">
        <f t="shared" ca="1" si="11"/>
        <v>131.53846153846155</v>
      </c>
      <c r="L261" s="9">
        <f ca="1">'TikTok Ads Raw Data'!F261</f>
        <v>1710</v>
      </c>
    </row>
    <row r="262" spans="1:12" ht="13" x14ac:dyDescent="0.15">
      <c r="A262" s="7">
        <f ca="1">'TikTok Ads Raw Data'!A262</f>
        <v>45918</v>
      </c>
      <c r="B262" s="8">
        <f t="shared" ca="1" si="6"/>
        <v>9</v>
      </c>
      <c r="C262" s="24">
        <f ca="1">'TikTok Ads Raw Data'!B262</f>
        <v>23787</v>
      </c>
      <c r="D262" s="20">
        <f t="shared" ca="1" si="7"/>
        <v>9.4589481649640563E-3</v>
      </c>
      <c r="E262" s="8">
        <f ca="1">'TikTok Ads Raw Data'!C262</f>
        <v>225</v>
      </c>
      <c r="F262" s="9">
        <f t="shared" ca="1" si="8"/>
        <v>1.1599999999999999</v>
      </c>
      <c r="G262" s="9">
        <f t="shared" ca="1" si="9"/>
        <v>10.972379871358305</v>
      </c>
      <c r="H262" s="9">
        <f ca="1">'TikTok Ads Raw Data'!D262</f>
        <v>261</v>
      </c>
      <c r="I262" s="20">
        <f t="shared" ca="1" si="10"/>
        <v>1.3333333333333334E-2</v>
      </c>
      <c r="J262" s="8">
        <f ca="1">'TikTok Ads Raw Data'!E262</f>
        <v>3</v>
      </c>
      <c r="K262" s="9">
        <f t="shared" ca="1" si="11"/>
        <v>221.66666666666666</v>
      </c>
      <c r="L262" s="9">
        <f ca="1">'TikTok Ads Raw Data'!F262</f>
        <v>665</v>
      </c>
    </row>
    <row r="263" spans="1:12" ht="13" x14ac:dyDescent="0.15">
      <c r="A263" s="7">
        <f ca="1">'TikTok Ads Raw Data'!A263</f>
        <v>45919</v>
      </c>
      <c r="B263" s="8">
        <f t="shared" ca="1" si="6"/>
        <v>9</v>
      </c>
      <c r="C263" s="24">
        <f ca="1">'TikTok Ads Raw Data'!B263</f>
        <v>24284</v>
      </c>
      <c r="D263" s="20">
        <f t="shared" ca="1" si="7"/>
        <v>6.9181353977927854E-3</v>
      </c>
      <c r="E263" s="8">
        <f ca="1">'TikTok Ads Raw Data'!C263</f>
        <v>168</v>
      </c>
      <c r="F263" s="9">
        <f t="shared" ca="1" si="8"/>
        <v>1.3214285714285714</v>
      </c>
      <c r="G263" s="9">
        <f t="shared" ca="1" si="9"/>
        <v>9.1418217756547531</v>
      </c>
      <c r="H263" s="9">
        <f ca="1">'TikTok Ads Raw Data'!D263</f>
        <v>222</v>
      </c>
      <c r="I263" s="20">
        <f t="shared" ca="1" si="10"/>
        <v>1.1904761904761904E-2</v>
      </c>
      <c r="J263" s="8">
        <f ca="1">'TikTok Ads Raw Data'!E263</f>
        <v>2</v>
      </c>
      <c r="K263" s="9">
        <f t="shared" ca="1" si="11"/>
        <v>166.5</v>
      </c>
      <c r="L263" s="9">
        <f ca="1">'TikTok Ads Raw Data'!F263</f>
        <v>333</v>
      </c>
    </row>
    <row r="264" spans="1:12" ht="13" x14ac:dyDescent="0.15">
      <c r="A264" s="7">
        <f ca="1">'TikTok Ads Raw Data'!A264</f>
        <v>45920</v>
      </c>
      <c r="B264" s="8">
        <f t="shared" ca="1" si="6"/>
        <v>9</v>
      </c>
      <c r="C264" s="24">
        <f ca="1">'TikTok Ads Raw Data'!B264</f>
        <v>20373</v>
      </c>
      <c r="D264" s="20">
        <f t="shared" ca="1" si="7"/>
        <v>8.393461934913856E-3</v>
      </c>
      <c r="E264" s="8">
        <f ca="1">'TikTok Ads Raw Data'!C264</f>
        <v>171</v>
      </c>
      <c r="F264" s="9">
        <f t="shared" ca="1" si="8"/>
        <v>1.2514619883040936</v>
      </c>
      <c r="G264" s="9">
        <f t="shared" ca="1" si="9"/>
        <v>10.504098561822019</v>
      </c>
      <c r="H264" s="9">
        <f ca="1">'TikTok Ads Raw Data'!D264</f>
        <v>214</v>
      </c>
      <c r="I264" s="20">
        <f t="shared" ca="1" si="10"/>
        <v>1.7543859649122806E-2</v>
      </c>
      <c r="J264" s="8">
        <f ca="1">'TikTok Ads Raw Data'!E264</f>
        <v>3</v>
      </c>
      <c r="K264" s="9">
        <f t="shared" ca="1" si="11"/>
        <v>183.33333333333334</v>
      </c>
      <c r="L264" s="9">
        <f ca="1">'TikTok Ads Raw Data'!F264</f>
        <v>550</v>
      </c>
    </row>
    <row r="265" spans="1:12" ht="13" x14ac:dyDescent="0.15">
      <c r="A265" s="7">
        <f ca="1">'TikTok Ads Raw Data'!A265</f>
        <v>45921</v>
      </c>
      <c r="B265" s="8">
        <f t="shared" ca="1" si="6"/>
        <v>9</v>
      </c>
      <c r="C265" s="24">
        <f ca="1">'TikTok Ads Raw Data'!B265</f>
        <v>107000</v>
      </c>
      <c r="D265" s="20">
        <f t="shared" ca="1" si="7"/>
        <v>1.5906542056074766E-2</v>
      </c>
      <c r="E265" s="8">
        <f ca="1">'TikTok Ads Raw Data'!C265</f>
        <v>1702</v>
      </c>
      <c r="F265" s="9">
        <f t="shared" ca="1" si="8"/>
        <v>0.9383078730904818</v>
      </c>
      <c r="G265" s="9">
        <f t="shared" ca="1" si="9"/>
        <v>14.925233644859814</v>
      </c>
      <c r="H265" s="9">
        <f ca="1">'TikTok Ads Raw Data'!D265</f>
        <v>1597</v>
      </c>
      <c r="I265" s="20">
        <f t="shared" ca="1" si="10"/>
        <v>1.7626321974148061E-2</v>
      </c>
      <c r="J265" s="8">
        <f ca="1">'TikTok Ads Raw Data'!E265</f>
        <v>30</v>
      </c>
      <c r="K265" s="9">
        <f t="shared" ca="1" si="11"/>
        <v>165.4</v>
      </c>
      <c r="L265" s="9">
        <f ca="1">'TikTok Ads Raw Data'!F265</f>
        <v>4962</v>
      </c>
    </row>
    <row r="266" spans="1:12" ht="13" x14ac:dyDescent="0.15">
      <c r="A266" s="7">
        <f ca="1">'TikTok Ads Raw Data'!A266</f>
        <v>45922</v>
      </c>
      <c r="B266" s="8">
        <f t="shared" ca="1" si="6"/>
        <v>9</v>
      </c>
      <c r="C266" s="24">
        <f ca="1">'TikTok Ads Raw Data'!B266</f>
        <v>83233</v>
      </c>
      <c r="D266" s="20">
        <f t="shared" ca="1" si="7"/>
        <v>2.2839498756502829E-2</v>
      </c>
      <c r="E266" s="8">
        <f ca="1">'TikTok Ads Raw Data'!C266</f>
        <v>1901</v>
      </c>
      <c r="F266" s="9">
        <f t="shared" ca="1" si="8"/>
        <v>1.3808521830615466</v>
      </c>
      <c r="G266" s="9">
        <f t="shared" ca="1" si="9"/>
        <v>31.537971717948409</v>
      </c>
      <c r="H266" s="9">
        <f ca="1">'TikTok Ads Raw Data'!D266</f>
        <v>2625</v>
      </c>
      <c r="I266" s="20">
        <f t="shared" ca="1" si="10"/>
        <v>2.1041557075223566E-2</v>
      </c>
      <c r="J266" s="8">
        <f ca="1">'TikTok Ads Raw Data'!E266</f>
        <v>40</v>
      </c>
      <c r="K266" s="9">
        <f t="shared" ca="1" si="11"/>
        <v>200.875</v>
      </c>
      <c r="L266" s="9">
        <f ca="1">'TikTok Ads Raw Data'!F266</f>
        <v>8035</v>
      </c>
    </row>
    <row r="267" spans="1:12" ht="13" x14ac:dyDescent="0.15">
      <c r="A267" s="7">
        <f ca="1">'TikTok Ads Raw Data'!A267</f>
        <v>45923</v>
      </c>
      <c r="B267" s="8">
        <f t="shared" ca="1" si="6"/>
        <v>9</v>
      </c>
      <c r="C267" s="24">
        <f ca="1">'TikTok Ads Raw Data'!B267</f>
        <v>31103</v>
      </c>
      <c r="D267" s="20">
        <f t="shared" ca="1" si="7"/>
        <v>2.9321930360415395E-2</v>
      </c>
      <c r="E267" s="8">
        <f ca="1">'TikTok Ads Raw Data'!C267</f>
        <v>912</v>
      </c>
      <c r="F267" s="9">
        <f t="shared" ca="1" si="8"/>
        <v>0.86951754385964908</v>
      </c>
      <c r="G267" s="9">
        <f t="shared" ca="1" si="9"/>
        <v>25.495932868212069</v>
      </c>
      <c r="H267" s="9">
        <f ca="1">'TikTok Ads Raw Data'!D267</f>
        <v>793</v>
      </c>
      <c r="I267" s="20">
        <f t="shared" ca="1" si="10"/>
        <v>1.3157894736842105E-2</v>
      </c>
      <c r="J267" s="8">
        <f ca="1">'TikTok Ads Raw Data'!E267</f>
        <v>12</v>
      </c>
      <c r="K267" s="9">
        <f t="shared" ca="1" si="11"/>
        <v>193.91666666666666</v>
      </c>
      <c r="L267" s="9">
        <f ca="1">'TikTok Ads Raw Data'!F267</f>
        <v>2327</v>
      </c>
    </row>
    <row r="268" spans="1:12" ht="13" x14ac:dyDescent="0.15">
      <c r="A268" s="7">
        <f ca="1">'TikTok Ads Raw Data'!A268</f>
        <v>45924</v>
      </c>
      <c r="B268" s="8">
        <f t="shared" ca="1" si="6"/>
        <v>9</v>
      </c>
      <c r="C268" s="24">
        <f ca="1">'TikTok Ads Raw Data'!B268</f>
        <v>70541</v>
      </c>
      <c r="D268" s="20">
        <f t="shared" ca="1" si="7"/>
        <v>2.9089465700798116E-2</v>
      </c>
      <c r="E268" s="8">
        <f ca="1">'TikTok Ads Raw Data'!C268</f>
        <v>2052</v>
      </c>
      <c r="F268" s="9">
        <f t="shared" ca="1" si="8"/>
        <v>0.82602339181286555</v>
      </c>
      <c r="G268" s="9">
        <f t="shared" ca="1" si="9"/>
        <v>24.028579124197275</v>
      </c>
      <c r="H268" s="9">
        <f ca="1">'TikTok Ads Raw Data'!D268</f>
        <v>1695</v>
      </c>
      <c r="I268" s="20">
        <f t="shared" ca="1" si="10"/>
        <v>2.2417153996101363E-2</v>
      </c>
      <c r="J268" s="8">
        <f ca="1">'TikTok Ads Raw Data'!E268</f>
        <v>46</v>
      </c>
      <c r="K268" s="9">
        <f t="shared" ca="1" si="11"/>
        <v>114.23913043478261</v>
      </c>
      <c r="L268" s="9">
        <f ca="1">'TikTok Ads Raw Data'!F268</f>
        <v>5255</v>
      </c>
    </row>
    <row r="269" spans="1:12" ht="13" x14ac:dyDescent="0.15">
      <c r="A269" s="7">
        <f ca="1">'TikTok Ads Raw Data'!A269</f>
        <v>45925</v>
      </c>
      <c r="B269" s="8">
        <f t="shared" ca="1" si="6"/>
        <v>9</v>
      </c>
      <c r="C269" s="24">
        <f ca="1">'TikTok Ads Raw Data'!B269</f>
        <v>80992</v>
      </c>
      <c r="D269" s="20">
        <f t="shared" ca="1" si="7"/>
        <v>1.4433524298696168E-2</v>
      </c>
      <c r="E269" s="8">
        <f ca="1">'TikTok Ads Raw Data'!C269</f>
        <v>1169</v>
      </c>
      <c r="F269" s="9">
        <f t="shared" ca="1" si="8"/>
        <v>1.2070145423438836</v>
      </c>
      <c r="G269" s="9">
        <f t="shared" ca="1" si="9"/>
        <v>17.421473725800077</v>
      </c>
      <c r="H269" s="9">
        <f ca="1">'TikTok Ads Raw Data'!D269</f>
        <v>1411</v>
      </c>
      <c r="I269" s="20">
        <f t="shared" ca="1" si="10"/>
        <v>1.3686911890504704E-2</v>
      </c>
      <c r="J269" s="8">
        <f ca="1">'TikTok Ads Raw Data'!E269</f>
        <v>16</v>
      </c>
      <c r="K269" s="9">
        <f t="shared" ca="1" si="11"/>
        <v>108.6875</v>
      </c>
      <c r="L269" s="9">
        <f ca="1">'TikTok Ads Raw Data'!F269</f>
        <v>1739</v>
      </c>
    </row>
    <row r="270" spans="1:12" ht="13" x14ac:dyDescent="0.15">
      <c r="A270" s="7">
        <f ca="1">'TikTok Ads Raw Data'!A270</f>
        <v>45926</v>
      </c>
      <c r="B270" s="8">
        <f t="shared" ca="1" si="6"/>
        <v>9</v>
      </c>
      <c r="C270" s="24">
        <f ca="1">'TikTok Ads Raw Data'!B270</f>
        <v>89844</v>
      </c>
      <c r="D270" s="20">
        <f t="shared" ca="1" si="7"/>
        <v>2.2383242064022084E-2</v>
      </c>
      <c r="E270" s="8">
        <f ca="1">'TikTok Ads Raw Data'!C270</f>
        <v>2011</v>
      </c>
      <c r="F270" s="9">
        <f t="shared" ca="1" si="8"/>
        <v>1.0422675285927399</v>
      </c>
      <c r="G270" s="9">
        <f t="shared" ca="1" si="9"/>
        <v>23.329326387961355</v>
      </c>
      <c r="H270" s="9">
        <f ca="1">'TikTok Ads Raw Data'!D270</f>
        <v>2096</v>
      </c>
      <c r="I270" s="20">
        <f t="shared" ca="1" si="10"/>
        <v>2.5360517155643959E-2</v>
      </c>
      <c r="J270" s="8">
        <f ca="1">'TikTok Ads Raw Data'!E270</f>
        <v>51</v>
      </c>
      <c r="K270" s="9">
        <f t="shared" ca="1" si="11"/>
        <v>180.8235294117647</v>
      </c>
      <c r="L270" s="9">
        <f ca="1">'TikTok Ads Raw Data'!F270</f>
        <v>9222</v>
      </c>
    </row>
    <row r="271" spans="1:12" ht="13" x14ac:dyDescent="0.15">
      <c r="A271" s="7">
        <f ca="1">'TikTok Ads Raw Data'!A271</f>
        <v>45927</v>
      </c>
      <c r="B271" s="8">
        <f t="shared" ca="1" si="6"/>
        <v>9</v>
      </c>
      <c r="C271" s="24">
        <f ca="1">'TikTok Ads Raw Data'!B271</f>
        <v>53168</v>
      </c>
      <c r="D271" s="20">
        <f t="shared" ca="1" si="7"/>
        <v>1.662654228107132E-2</v>
      </c>
      <c r="E271" s="8">
        <f ca="1">'TikTok Ads Raw Data'!C271</f>
        <v>884</v>
      </c>
      <c r="F271" s="9">
        <f t="shared" ca="1" si="8"/>
        <v>0.81674208144796379</v>
      </c>
      <c r="G271" s="9">
        <f t="shared" ca="1" si="9"/>
        <v>13.579596749924766</v>
      </c>
      <c r="H271" s="9">
        <f ca="1">'TikTok Ads Raw Data'!D271</f>
        <v>722</v>
      </c>
      <c r="I271" s="20">
        <f t="shared" ca="1" si="10"/>
        <v>2.0361990950226245E-2</v>
      </c>
      <c r="J271" s="8">
        <f ca="1">'TikTok Ads Raw Data'!E271</f>
        <v>18</v>
      </c>
      <c r="K271" s="9">
        <f t="shared" ca="1" si="11"/>
        <v>176.72222222222223</v>
      </c>
      <c r="L271" s="9">
        <f ca="1">'TikTok Ads Raw Data'!F271</f>
        <v>3181</v>
      </c>
    </row>
    <row r="272" spans="1:12" ht="13" x14ac:dyDescent="0.15">
      <c r="A272" s="7">
        <f ca="1">'TikTok Ads Raw Data'!A272</f>
        <v>45928</v>
      </c>
      <c r="B272" s="8">
        <f t="shared" ca="1" si="6"/>
        <v>9</v>
      </c>
      <c r="C272" s="24">
        <f ca="1">'TikTok Ads Raw Data'!B272</f>
        <v>25790</v>
      </c>
      <c r="D272" s="20">
        <f t="shared" ca="1" si="7"/>
        <v>1.1244668476153548E-2</v>
      </c>
      <c r="E272" s="8">
        <f ca="1">'TikTok Ads Raw Data'!C272</f>
        <v>290</v>
      </c>
      <c r="F272" s="9">
        <f t="shared" ca="1" si="8"/>
        <v>0.78965517241379313</v>
      </c>
      <c r="G272" s="9">
        <f t="shared" ca="1" si="9"/>
        <v>8.8794106242729747</v>
      </c>
      <c r="H272" s="9">
        <f ca="1">'TikTok Ads Raw Data'!D272</f>
        <v>229</v>
      </c>
      <c r="I272" s="20">
        <f t="shared" ca="1" si="10"/>
        <v>1.7241379310344827E-2</v>
      </c>
      <c r="J272" s="8">
        <f ca="1">'TikTok Ads Raw Data'!E272</f>
        <v>5</v>
      </c>
      <c r="K272" s="9">
        <f t="shared" ca="1" si="11"/>
        <v>159.19999999999999</v>
      </c>
      <c r="L272" s="9">
        <f ca="1">'TikTok Ads Raw Data'!F272</f>
        <v>796</v>
      </c>
    </row>
    <row r="273" spans="1:12" ht="13" x14ac:dyDescent="0.15">
      <c r="A273" s="7">
        <f ca="1">'TikTok Ads Raw Data'!A273</f>
        <v>45929</v>
      </c>
      <c r="B273" s="8">
        <f t="shared" ca="1" si="6"/>
        <v>9</v>
      </c>
      <c r="C273" s="24">
        <f ca="1">'TikTok Ads Raw Data'!B273</f>
        <v>36441</v>
      </c>
      <c r="D273" s="20">
        <f t="shared" ca="1" si="7"/>
        <v>2.6892785598638894E-2</v>
      </c>
      <c r="E273" s="8">
        <f ca="1">'TikTok Ads Raw Data'!C273</f>
        <v>980</v>
      </c>
      <c r="F273" s="9">
        <f t="shared" ca="1" si="8"/>
        <v>0.82857142857142863</v>
      </c>
      <c r="G273" s="9">
        <f t="shared" ca="1" si="9"/>
        <v>22.282593781729368</v>
      </c>
      <c r="H273" s="9">
        <f ca="1">'TikTok Ads Raw Data'!D273</f>
        <v>812</v>
      </c>
      <c r="I273" s="20">
        <f t="shared" ca="1" si="10"/>
        <v>1.3265306122448979E-2</v>
      </c>
      <c r="J273" s="8">
        <f ca="1">'TikTok Ads Raw Data'!E273</f>
        <v>13</v>
      </c>
      <c r="K273" s="9">
        <f t="shared" ca="1" si="11"/>
        <v>120</v>
      </c>
      <c r="L273" s="9">
        <f ca="1">'TikTok Ads Raw Data'!F273</f>
        <v>1560</v>
      </c>
    </row>
    <row r="274" spans="1:12" ht="13" x14ac:dyDescent="0.15">
      <c r="A274" s="7">
        <f ca="1">'TikTok Ads Raw Data'!A274</f>
        <v>45930</v>
      </c>
      <c r="B274" s="8">
        <f t="shared" ca="1" si="6"/>
        <v>9</v>
      </c>
      <c r="C274" s="24">
        <f ca="1">'TikTok Ads Raw Data'!B274</f>
        <v>50459</v>
      </c>
      <c r="D274" s="20">
        <f t="shared" ca="1" si="7"/>
        <v>2.782457044333023E-2</v>
      </c>
      <c r="E274" s="8">
        <f ca="1">'TikTok Ads Raw Data'!C274</f>
        <v>1404</v>
      </c>
      <c r="F274" s="9">
        <f t="shared" ca="1" si="8"/>
        <v>1.0071225071225072</v>
      </c>
      <c r="G274" s="9">
        <f t="shared" ca="1" si="9"/>
        <v>28.022751144493547</v>
      </c>
      <c r="H274" s="9">
        <f ca="1">'TikTok Ads Raw Data'!D274</f>
        <v>1414</v>
      </c>
      <c r="I274" s="20">
        <f t="shared" ca="1" si="10"/>
        <v>1.6381766381766381E-2</v>
      </c>
      <c r="J274" s="8">
        <f ca="1">'TikTok Ads Raw Data'!E274</f>
        <v>23</v>
      </c>
      <c r="K274" s="9">
        <f t="shared" ca="1" si="11"/>
        <v>110.08695652173913</v>
      </c>
      <c r="L274" s="9">
        <f ca="1">'TikTok Ads Raw Data'!F274</f>
        <v>2532</v>
      </c>
    </row>
    <row r="275" spans="1:12" ht="13" x14ac:dyDescent="0.15">
      <c r="A275" s="7">
        <f ca="1">'TikTok Ads Raw Data'!A275</f>
        <v>45931</v>
      </c>
      <c r="B275" s="8">
        <f t="shared" ca="1" si="6"/>
        <v>10</v>
      </c>
      <c r="C275" s="24">
        <f ca="1">'TikTok Ads Raw Data'!B275</f>
        <v>67085</v>
      </c>
      <c r="D275" s="20">
        <f t="shared" ca="1" si="7"/>
        <v>2.8501155250801224E-2</v>
      </c>
      <c r="E275" s="8">
        <f ca="1">'TikTok Ads Raw Data'!C275</f>
        <v>1912</v>
      </c>
      <c r="F275" s="9">
        <f t="shared" ca="1" si="8"/>
        <v>1.139121338912134</v>
      </c>
      <c r="G275" s="9">
        <f t="shared" ca="1" si="9"/>
        <v>32.466274129835284</v>
      </c>
      <c r="H275" s="9">
        <f ca="1">'TikTok Ads Raw Data'!D275</f>
        <v>2178</v>
      </c>
      <c r="I275" s="20">
        <f t="shared" ca="1" si="10"/>
        <v>1.9874476987447699E-2</v>
      </c>
      <c r="J275" s="8">
        <f ca="1">'TikTok Ads Raw Data'!E275</f>
        <v>38</v>
      </c>
      <c r="K275" s="9">
        <f t="shared" ca="1" si="11"/>
        <v>175.81578947368422</v>
      </c>
      <c r="L275" s="9">
        <f ca="1">'TikTok Ads Raw Data'!F275</f>
        <v>6681</v>
      </c>
    </row>
    <row r="276" spans="1:12" ht="13" x14ac:dyDescent="0.15">
      <c r="A276" s="7">
        <f ca="1">'TikTok Ads Raw Data'!A276</f>
        <v>45932</v>
      </c>
      <c r="B276" s="8">
        <f t="shared" ca="1" si="6"/>
        <v>10</v>
      </c>
      <c r="C276" s="24">
        <f ca="1">'TikTok Ads Raw Data'!B276</f>
        <v>84767</v>
      </c>
      <c r="D276" s="20">
        <f t="shared" ca="1" si="7"/>
        <v>3.0684110561893189E-2</v>
      </c>
      <c r="E276" s="8">
        <f ca="1">'TikTok Ads Raw Data'!C276</f>
        <v>2601</v>
      </c>
      <c r="F276" s="9">
        <f t="shared" ca="1" si="8"/>
        <v>0.9888504421376394</v>
      </c>
      <c r="G276" s="9">
        <f t="shared" ca="1" si="9"/>
        <v>30.341996295728293</v>
      </c>
      <c r="H276" s="9">
        <f ca="1">'TikTok Ads Raw Data'!D276</f>
        <v>2572</v>
      </c>
      <c r="I276" s="20">
        <f t="shared" ca="1" si="10"/>
        <v>2.306805074971165E-2</v>
      </c>
      <c r="J276" s="8">
        <f ca="1">'TikTok Ads Raw Data'!E276</f>
        <v>60</v>
      </c>
      <c r="K276" s="9">
        <f t="shared" ca="1" si="11"/>
        <v>103.03333333333333</v>
      </c>
      <c r="L276" s="9">
        <f ca="1">'TikTok Ads Raw Data'!F276</f>
        <v>6182</v>
      </c>
    </row>
    <row r="277" spans="1:12" ht="13" x14ac:dyDescent="0.15">
      <c r="A277" s="7">
        <f ca="1">'TikTok Ads Raw Data'!A277</f>
        <v>45933</v>
      </c>
      <c r="B277" s="8">
        <f t="shared" ca="1" si="6"/>
        <v>10</v>
      </c>
      <c r="C277" s="24">
        <f ca="1">'TikTok Ads Raw Data'!B277</f>
        <v>92837</v>
      </c>
      <c r="D277" s="20">
        <f t="shared" ca="1" si="7"/>
        <v>2.4537630470609778E-2</v>
      </c>
      <c r="E277" s="8">
        <f ca="1">'TikTok Ads Raw Data'!C277</f>
        <v>2278</v>
      </c>
      <c r="F277" s="9">
        <f t="shared" ca="1" si="8"/>
        <v>0.61457418788410889</v>
      </c>
      <c r="G277" s="9">
        <f t="shared" ca="1" si="9"/>
        <v>15.080194319075368</v>
      </c>
      <c r="H277" s="9">
        <f ca="1">'TikTok Ads Raw Data'!D277</f>
        <v>1400</v>
      </c>
      <c r="I277" s="20">
        <f t="shared" ca="1" si="10"/>
        <v>1.9315188762071993E-2</v>
      </c>
      <c r="J277" s="8">
        <f ca="1">'TikTok Ads Raw Data'!E277</f>
        <v>44</v>
      </c>
      <c r="K277" s="9">
        <f t="shared" ca="1" si="11"/>
        <v>176.40909090909091</v>
      </c>
      <c r="L277" s="9">
        <f ca="1">'TikTok Ads Raw Data'!F277</f>
        <v>7762</v>
      </c>
    </row>
    <row r="278" spans="1:12" ht="13" x14ac:dyDescent="0.15">
      <c r="A278" s="7">
        <f ca="1">'TikTok Ads Raw Data'!A278</f>
        <v>45934</v>
      </c>
      <c r="B278" s="8">
        <f t="shared" ca="1" si="6"/>
        <v>10</v>
      </c>
      <c r="C278" s="24">
        <f ca="1">'TikTok Ads Raw Data'!B278</f>
        <v>91518</v>
      </c>
      <c r="D278" s="20">
        <f t="shared" ca="1" si="7"/>
        <v>2.2837037522673135E-2</v>
      </c>
      <c r="E278" s="8">
        <f ca="1">'TikTok Ads Raw Data'!C278</f>
        <v>2090</v>
      </c>
      <c r="F278" s="9">
        <f t="shared" ca="1" si="8"/>
        <v>0.92440191387559811</v>
      </c>
      <c r="G278" s="9">
        <f t="shared" ca="1" si="9"/>
        <v>21.110601193207895</v>
      </c>
      <c r="H278" s="9">
        <f ca="1">'TikTok Ads Raw Data'!D278</f>
        <v>1932</v>
      </c>
      <c r="I278" s="20">
        <f t="shared" ca="1" si="10"/>
        <v>2.1052631578947368E-2</v>
      </c>
      <c r="J278" s="8">
        <f ca="1">'TikTok Ads Raw Data'!E278</f>
        <v>44</v>
      </c>
      <c r="K278" s="9">
        <f t="shared" ca="1" si="11"/>
        <v>202.95454545454547</v>
      </c>
      <c r="L278" s="9">
        <f ca="1">'TikTok Ads Raw Data'!F278</f>
        <v>8930</v>
      </c>
    </row>
    <row r="279" spans="1:12" ht="13" x14ac:dyDescent="0.15">
      <c r="A279" s="7">
        <f ca="1">'TikTok Ads Raw Data'!A279</f>
        <v>45935</v>
      </c>
      <c r="B279" s="8">
        <f t="shared" ca="1" si="6"/>
        <v>10</v>
      </c>
      <c r="C279" s="24">
        <f ca="1">'TikTok Ads Raw Data'!B279</f>
        <v>60713</v>
      </c>
      <c r="D279" s="20">
        <f t="shared" ca="1" si="7"/>
        <v>1.653682077973416E-2</v>
      </c>
      <c r="E279" s="8">
        <f ca="1">'TikTok Ads Raw Data'!C279</f>
        <v>1004</v>
      </c>
      <c r="F279" s="9">
        <f t="shared" ca="1" si="8"/>
        <v>0.94422310756972117</v>
      </c>
      <c r="G279" s="9">
        <f t="shared" ca="1" si="9"/>
        <v>15.614448305964126</v>
      </c>
      <c r="H279" s="9">
        <f ca="1">'TikTok Ads Raw Data'!D279</f>
        <v>948</v>
      </c>
      <c r="I279" s="20">
        <f t="shared" ca="1" si="10"/>
        <v>1.7928286852589643E-2</v>
      </c>
      <c r="J279" s="8">
        <f ca="1">'TikTok Ads Raw Data'!E279</f>
        <v>18</v>
      </c>
      <c r="K279" s="9">
        <f t="shared" ca="1" si="11"/>
        <v>142.61111111111111</v>
      </c>
      <c r="L279" s="9">
        <f ca="1">'TikTok Ads Raw Data'!F279</f>
        <v>2567</v>
      </c>
    </row>
    <row r="280" spans="1:12" ht="13" x14ac:dyDescent="0.15">
      <c r="A280" s="7">
        <f ca="1">'TikTok Ads Raw Data'!A280</f>
        <v>45936</v>
      </c>
      <c r="B280" s="8">
        <f t="shared" ca="1" si="6"/>
        <v>10</v>
      </c>
      <c r="C280" s="24">
        <f ca="1">'TikTok Ads Raw Data'!B280</f>
        <v>64768</v>
      </c>
      <c r="D280" s="20">
        <f t="shared" ca="1" si="7"/>
        <v>2.621665019762846E-2</v>
      </c>
      <c r="E280" s="8">
        <f ca="1">'TikTok Ads Raw Data'!C280</f>
        <v>1698</v>
      </c>
      <c r="F280" s="9">
        <f t="shared" ca="1" si="8"/>
        <v>1.1560659599528857</v>
      </c>
      <c r="G280" s="9">
        <f t="shared" ca="1" si="9"/>
        <v>30.308176877470355</v>
      </c>
      <c r="H280" s="9">
        <f ca="1">'TikTok Ads Raw Data'!D280</f>
        <v>1963</v>
      </c>
      <c r="I280" s="20">
        <f t="shared" ca="1" si="10"/>
        <v>1.6489988221436984E-2</v>
      </c>
      <c r="J280" s="8">
        <f ca="1">'TikTok Ads Raw Data'!E280</f>
        <v>28</v>
      </c>
      <c r="K280" s="9">
        <f t="shared" ca="1" si="11"/>
        <v>182.71428571428572</v>
      </c>
      <c r="L280" s="9">
        <f ca="1">'TikTok Ads Raw Data'!F280</f>
        <v>5116</v>
      </c>
    </row>
    <row r="281" spans="1:12" ht="13" x14ac:dyDescent="0.15">
      <c r="A281" s="7">
        <f ca="1">'TikTok Ads Raw Data'!A281</f>
        <v>45937</v>
      </c>
      <c r="B281" s="8">
        <f t="shared" ca="1" si="6"/>
        <v>10</v>
      </c>
      <c r="C281" s="24">
        <f ca="1">'TikTok Ads Raw Data'!B281</f>
        <v>27997</v>
      </c>
      <c r="D281" s="20">
        <f t="shared" ca="1" si="7"/>
        <v>1.6644640497196127E-2</v>
      </c>
      <c r="E281" s="8">
        <f ca="1">'TikTok Ads Raw Data'!C281</f>
        <v>466</v>
      </c>
      <c r="F281" s="9">
        <f t="shared" ca="1" si="8"/>
        <v>0.80472103004291851</v>
      </c>
      <c r="G281" s="9">
        <f t="shared" ca="1" si="9"/>
        <v>13.394292245597743</v>
      </c>
      <c r="H281" s="9">
        <f ca="1">'TikTok Ads Raw Data'!D281</f>
        <v>375</v>
      </c>
      <c r="I281" s="20">
        <f t="shared" ca="1" si="10"/>
        <v>1.2875536480686695E-2</v>
      </c>
      <c r="J281" s="8">
        <f ca="1">'TikTok Ads Raw Data'!E281</f>
        <v>6</v>
      </c>
      <c r="K281" s="9">
        <f t="shared" ca="1" si="11"/>
        <v>216</v>
      </c>
      <c r="L281" s="9">
        <f ca="1">'TikTok Ads Raw Data'!F281</f>
        <v>1296</v>
      </c>
    </row>
    <row r="282" spans="1:12" ht="13" x14ac:dyDescent="0.15">
      <c r="A282" s="7">
        <f ca="1">'TikTok Ads Raw Data'!A282</f>
        <v>45938</v>
      </c>
      <c r="B282" s="8">
        <f t="shared" ca="1" si="6"/>
        <v>10</v>
      </c>
      <c r="C282" s="24">
        <f ca="1">'TikTok Ads Raw Data'!B282</f>
        <v>103912</v>
      </c>
      <c r="D282" s="20">
        <f t="shared" ca="1" si="7"/>
        <v>2.4530371853106473E-2</v>
      </c>
      <c r="E282" s="8">
        <f ca="1">'TikTok Ads Raw Data'!C282</f>
        <v>2549</v>
      </c>
      <c r="F282" s="9">
        <f t="shared" ca="1" si="8"/>
        <v>1.0129462534327187</v>
      </c>
      <c r="G282" s="9">
        <f t="shared" ca="1" si="9"/>
        <v>24.847948263915619</v>
      </c>
      <c r="H282" s="9">
        <f ca="1">'TikTok Ads Raw Data'!D282</f>
        <v>2582</v>
      </c>
      <c r="I282" s="20">
        <f t="shared" ca="1" si="10"/>
        <v>1.9615535504119264E-2</v>
      </c>
      <c r="J282" s="8">
        <f ca="1">'TikTok Ads Raw Data'!E282</f>
        <v>50</v>
      </c>
      <c r="K282" s="9">
        <f t="shared" ca="1" si="11"/>
        <v>129.69999999999999</v>
      </c>
      <c r="L282" s="9">
        <f ca="1">'TikTok Ads Raw Data'!F282</f>
        <v>6485</v>
      </c>
    </row>
    <row r="283" spans="1:12" ht="13" x14ac:dyDescent="0.15">
      <c r="A283" s="7">
        <f ca="1">'TikTok Ads Raw Data'!A283</f>
        <v>45939</v>
      </c>
      <c r="B283" s="8">
        <f t="shared" ca="1" si="6"/>
        <v>10</v>
      </c>
      <c r="C283" s="24">
        <f ca="1">'TikTok Ads Raw Data'!B283</f>
        <v>72249</v>
      </c>
      <c r="D283" s="20">
        <f t="shared" ca="1" si="7"/>
        <v>2.0290938282882809E-2</v>
      </c>
      <c r="E283" s="8">
        <f ca="1">'TikTok Ads Raw Data'!C283</f>
        <v>1466</v>
      </c>
      <c r="F283" s="9">
        <f t="shared" ca="1" si="8"/>
        <v>0.87721691678035474</v>
      </c>
      <c r="G283" s="9">
        <f t="shared" ca="1" si="9"/>
        <v>17.799554319090923</v>
      </c>
      <c r="H283" s="9">
        <f ca="1">'TikTok Ads Raw Data'!D283</f>
        <v>1286</v>
      </c>
      <c r="I283" s="20">
        <f t="shared" ca="1" si="10"/>
        <v>1.2960436562073669E-2</v>
      </c>
      <c r="J283" s="8">
        <f ca="1">'TikTok Ads Raw Data'!E283</f>
        <v>19</v>
      </c>
      <c r="K283" s="9">
        <f t="shared" ca="1" si="11"/>
        <v>174.15789473684211</v>
      </c>
      <c r="L283" s="9">
        <f ca="1">'TikTok Ads Raw Data'!F283</f>
        <v>3309</v>
      </c>
    </row>
    <row r="284" spans="1:12" ht="13" x14ac:dyDescent="0.15">
      <c r="A284" s="7">
        <f ca="1">'TikTok Ads Raw Data'!A284</f>
        <v>45940</v>
      </c>
      <c r="B284" s="8">
        <f t="shared" ca="1" si="6"/>
        <v>10</v>
      </c>
      <c r="C284" s="24">
        <f ca="1">'TikTok Ads Raw Data'!B284</f>
        <v>102424</v>
      </c>
      <c r="D284" s="20">
        <f t="shared" ca="1" si="7"/>
        <v>1.7281105990783412E-2</v>
      </c>
      <c r="E284" s="8">
        <f ca="1">'TikTok Ads Raw Data'!C284</f>
        <v>1770</v>
      </c>
      <c r="F284" s="9">
        <f t="shared" ca="1" si="8"/>
        <v>0.75310734463276841</v>
      </c>
      <c r="G284" s="9">
        <f t="shared" ca="1" si="9"/>
        <v>13.014527845036319</v>
      </c>
      <c r="H284" s="9">
        <f ca="1">'TikTok Ads Raw Data'!D284</f>
        <v>1333</v>
      </c>
      <c r="I284" s="20">
        <f t="shared" ca="1" si="10"/>
        <v>2.4858757062146894E-2</v>
      </c>
      <c r="J284" s="8">
        <f ca="1">'TikTok Ads Raw Data'!E284</f>
        <v>44</v>
      </c>
      <c r="K284" s="9">
        <f t="shared" ca="1" si="11"/>
        <v>135.40909090909091</v>
      </c>
      <c r="L284" s="9">
        <f ca="1">'TikTok Ads Raw Data'!F284</f>
        <v>5958</v>
      </c>
    </row>
    <row r="285" spans="1:12" ht="13" x14ac:dyDescent="0.15">
      <c r="A285" s="7">
        <f ca="1">'TikTok Ads Raw Data'!A285</f>
        <v>45941</v>
      </c>
      <c r="B285" s="8">
        <f t="shared" ca="1" si="6"/>
        <v>10</v>
      </c>
      <c r="C285" s="24">
        <f ca="1">'TikTok Ads Raw Data'!B285</f>
        <v>81040</v>
      </c>
      <c r="D285" s="20">
        <f t="shared" ca="1" si="7"/>
        <v>1.6954590325765056E-2</v>
      </c>
      <c r="E285" s="8">
        <f ca="1">'TikTok Ads Raw Data'!C285</f>
        <v>1374</v>
      </c>
      <c r="F285" s="9">
        <f t="shared" ca="1" si="8"/>
        <v>0.8042212518195051</v>
      </c>
      <c r="G285" s="9">
        <f t="shared" ca="1" si="9"/>
        <v>13.635241855873641</v>
      </c>
      <c r="H285" s="9">
        <f ca="1">'TikTok Ads Raw Data'!D285</f>
        <v>1105</v>
      </c>
      <c r="I285" s="20">
        <f t="shared" ca="1" si="10"/>
        <v>1.4556040756914119E-2</v>
      </c>
      <c r="J285" s="8">
        <f ca="1">'TikTok Ads Raw Data'!E285</f>
        <v>20</v>
      </c>
      <c r="K285" s="9">
        <f t="shared" ca="1" si="11"/>
        <v>150</v>
      </c>
      <c r="L285" s="9">
        <f ca="1">'TikTok Ads Raw Data'!F285</f>
        <v>3000</v>
      </c>
    </row>
    <row r="286" spans="1:12" ht="13" x14ac:dyDescent="0.15">
      <c r="A286" s="7">
        <f ca="1">'TikTok Ads Raw Data'!A286</f>
        <v>45942</v>
      </c>
      <c r="B286" s="8">
        <f t="shared" ca="1" si="6"/>
        <v>10</v>
      </c>
      <c r="C286" s="24">
        <f ca="1">'TikTok Ads Raw Data'!B286</f>
        <v>29842</v>
      </c>
      <c r="D286" s="20">
        <f t="shared" ca="1" si="7"/>
        <v>1.2264593525903089E-2</v>
      </c>
      <c r="E286" s="8">
        <f ca="1">'TikTok Ads Raw Data'!C286</f>
        <v>366</v>
      </c>
      <c r="F286" s="9">
        <f t="shared" ca="1" si="8"/>
        <v>0.56284153005464477</v>
      </c>
      <c r="G286" s="9">
        <f t="shared" ca="1" si="9"/>
        <v>6.9030225856175864</v>
      </c>
      <c r="H286" s="9">
        <f ca="1">'TikTok Ads Raw Data'!D286</f>
        <v>206</v>
      </c>
      <c r="I286" s="20">
        <f t="shared" ca="1" si="10"/>
        <v>8.1967213114754103E-3</v>
      </c>
      <c r="J286" s="8">
        <f ca="1">'TikTok Ads Raw Data'!E286</f>
        <v>3</v>
      </c>
      <c r="K286" s="9">
        <f t="shared" ca="1" si="11"/>
        <v>207.33333333333334</v>
      </c>
      <c r="L286" s="9">
        <f ca="1">'TikTok Ads Raw Data'!F286</f>
        <v>622</v>
      </c>
    </row>
    <row r="287" spans="1:12" ht="13" x14ac:dyDescent="0.15">
      <c r="A287" s="7">
        <f ca="1">'TikTok Ads Raw Data'!A287</f>
        <v>45943</v>
      </c>
      <c r="B287" s="8">
        <f t="shared" ca="1" si="6"/>
        <v>10</v>
      </c>
      <c r="C287" s="24">
        <f ca="1">'TikTok Ads Raw Data'!B287</f>
        <v>95787</v>
      </c>
      <c r="D287" s="20">
        <f t="shared" ca="1" si="7"/>
        <v>3.0787058786682954E-2</v>
      </c>
      <c r="E287" s="8">
        <f ca="1">'TikTok Ads Raw Data'!C287</f>
        <v>2949</v>
      </c>
      <c r="F287" s="9">
        <f t="shared" ca="1" si="8"/>
        <v>0.68531705662936593</v>
      </c>
      <c r="G287" s="9">
        <f t="shared" ca="1" si="9"/>
        <v>21.098896509964817</v>
      </c>
      <c r="H287" s="9">
        <f ca="1">'TikTok Ads Raw Data'!D287</f>
        <v>2021</v>
      </c>
      <c r="I287" s="20">
        <f t="shared" ca="1" si="10"/>
        <v>1.9667683960664633E-2</v>
      </c>
      <c r="J287" s="8">
        <f ca="1">'TikTok Ads Raw Data'!E287</f>
        <v>58</v>
      </c>
      <c r="K287" s="9">
        <f t="shared" ca="1" si="11"/>
        <v>123.06896551724138</v>
      </c>
      <c r="L287" s="9">
        <f ca="1">'TikTok Ads Raw Data'!F287</f>
        <v>7138</v>
      </c>
    </row>
    <row r="288" spans="1:12" ht="13" x14ac:dyDescent="0.15">
      <c r="A288" s="7">
        <f ca="1">'TikTok Ads Raw Data'!A288</f>
        <v>45944</v>
      </c>
      <c r="B288" s="8">
        <f t="shared" ca="1" si="6"/>
        <v>10</v>
      </c>
      <c r="C288" s="24">
        <f ca="1">'TikTok Ads Raw Data'!B288</f>
        <v>42877</v>
      </c>
      <c r="D288" s="20">
        <f t="shared" ca="1" si="7"/>
        <v>2.4675233808335473E-2</v>
      </c>
      <c r="E288" s="8">
        <f ca="1">'TikTok Ads Raw Data'!C288</f>
        <v>1058</v>
      </c>
      <c r="F288" s="9">
        <f t="shared" ca="1" si="8"/>
        <v>0.99243856332703217</v>
      </c>
      <c r="G288" s="9">
        <f t="shared" ca="1" si="9"/>
        <v>24.488653590503066</v>
      </c>
      <c r="H288" s="9">
        <f ca="1">'TikTok Ads Raw Data'!D288</f>
        <v>1050</v>
      </c>
      <c r="I288" s="20">
        <f t="shared" ca="1" si="10"/>
        <v>1.7958412098298678E-2</v>
      </c>
      <c r="J288" s="8">
        <f ca="1">'TikTok Ads Raw Data'!E288</f>
        <v>19</v>
      </c>
      <c r="K288" s="9">
        <f t="shared" ca="1" si="11"/>
        <v>152.57894736842104</v>
      </c>
      <c r="L288" s="9">
        <f ca="1">'TikTok Ads Raw Data'!F288</f>
        <v>2899</v>
      </c>
    </row>
    <row r="289" spans="1:12" ht="13" x14ac:dyDescent="0.15">
      <c r="A289" s="7">
        <f ca="1">'TikTok Ads Raw Data'!A289</f>
        <v>45945</v>
      </c>
      <c r="B289" s="8">
        <f t="shared" ca="1" si="6"/>
        <v>10</v>
      </c>
      <c r="C289" s="24">
        <f ca="1">'TikTok Ads Raw Data'!B289</f>
        <v>61603</v>
      </c>
      <c r="D289" s="20">
        <f t="shared" ca="1" si="7"/>
        <v>2.1200266220800935E-2</v>
      </c>
      <c r="E289" s="8">
        <f ca="1">'TikTok Ads Raw Data'!C289</f>
        <v>1306</v>
      </c>
      <c r="F289" s="9">
        <f t="shared" ca="1" si="8"/>
        <v>1.1562021439509953</v>
      </c>
      <c r="G289" s="9">
        <f t="shared" ca="1" si="9"/>
        <v>24.511793256821907</v>
      </c>
      <c r="H289" s="9">
        <f ca="1">'TikTok Ads Raw Data'!D289</f>
        <v>1510</v>
      </c>
      <c r="I289" s="20">
        <f t="shared" ca="1" si="10"/>
        <v>2.22052067381317E-2</v>
      </c>
      <c r="J289" s="8">
        <f ca="1">'TikTok Ads Raw Data'!E289</f>
        <v>29</v>
      </c>
      <c r="K289" s="9">
        <f t="shared" ca="1" si="11"/>
        <v>177.24137931034483</v>
      </c>
      <c r="L289" s="9">
        <f ca="1">'TikTok Ads Raw Data'!F289</f>
        <v>5140</v>
      </c>
    </row>
    <row r="290" spans="1:12" ht="13" x14ac:dyDescent="0.15">
      <c r="A290" s="7">
        <f ca="1">'TikTok Ads Raw Data'!A290</f>
        <v>45946</v>
      </c>
      <c r="B290" s="8">
        <f t="shared" ca="1" si="6"/>
        <v>10</v>
      </c>
      <c r="C290" s="24">
        <f ca="1">'TikTok Ads Raw Data'!B290</f>
        <v>67465</v>
      </c>
      <c r="D290" s="20">
        <f t="shared" ca="1" si="7"/>
        <v>1.6364040613651522E-2</v>
      </c>
      <c r="E290" s="8">
        <f ca="1">'TikTok Ads Raw Data'!C290</f>
        <v>1104</v>
      </c>
      <c r="F290" s="9">
        <f t="shared" ca="1" si="8"/>
        <v>0.74728260869565222</v>
      </c>
      <c r="G290" s="9">
        <f t="shared" ca="1" si="9"/>
        <v>12.228562958571111</v>
      </c>
      <c r="H290" s="9">
        <f ca="1">'TikTok Ads Raw Data'!D290</f>
        <v>825</v>
      </c>
      <c r="I290" s="20">
        <f t="shared" ca="1" si="10"/>
        <v>1.7210144927536232E-2</v>
      </c>
      <c r="J290" s="8">
        <f ca="1">'TikTok Ads Raw Data'!E290</f>
        <v>19</v>
      </c>
      <c r="K290" s="9">
        <f t="shared" ca="1" si="11"/>
        <v>175.52631578947367</v>
      </c>
      <c r="L290" s="9">
        <f ca="1">'TikTok Ads Raw Data'!F290</f>
        <v>3335</v>
      </c>
    </row>
    <row r="291" spans="1:12" ht="13" x14ac:dyDescent="0.15">
      <c r="A291" s="7">
        <f ca="1">'TikTok Ads Raw Data'!A291</f>
        <v>45947</v>
      </c>
      <c r="B291" s="8">
        <f t="shared" ca="1" si="6"/>
        <v>10</v>
      </c>
      <c r="C291" s="24">
        <f ca="1">'TikTok Ads Raw Data'!B291</f>
        <v>56121</v>
      </c>
      <c r="D291" s="20">
        <f t="shared" ca="1" si="7"/>
        <v>1.6767341993193279E-2</v>
      </c>
      <c r="E291" s="8">
        <f ca="1">'TikTok Ads Raw Data'!C291</f>
        <v>941</v>
      </c>
      <c r="F291" s="9">
        <f t="shared" ca="1" si="8"/>
        <v>1.1615302869287991</v>
      </c>
      <c r="G291" s="9">
        <f t="shared" ca="1" si="9"/>
        <v>19.475775556387092</v>
      </c>
      <c r="H291" s="9">
        <f ca="1">'TikTok Ads Raw Data'!D291</f>
        <v>1093</v>
      </c>
      <c r="I291" s="20">
        <f t="shared" ca="1" si="10"/>
        <v>1.2752391073326248E-2</v>
      </c>
      <c r="J291" s="8">
        <f ca="1">'TikTok Ads Raw Data'!E291</f>
        <v>12</v>
      </c>
      <c r="K291" s="9">
        <f t="shared" ca="1" si="11"/>
        <v>121.83333333333333</v>
      </c>
      <c r="L291" s="9">
        <f ca="1">'TikTok Ads Raw Data'!F291</f>
        <v>1462</v>
      </c>
    </row>
    <row r="292" spans="1:12" ht="13" x14ac:dyDescent="0.15">
      <c r="A292" s="7">
        <f ca="1">'TikTok Ads Raw Data'!A292</f>
        <v>45948</v>
      </c>
      <c r="B292" s="8">
        <f t="shared" ca="1" si="6"/>
        <v>10</v>
      </c>
      <c r="C292" s="24">
        <f ca="1">'TikTok Ads Raw Data'!B292</f>
        <v>33186</v>
      </c>
      <c r="D292" s="20">
        <f t="shared" ca="1" si="7"/>
        <v>1.1631410835894654E-2</v>
      </c>
      <c r="E292" s="8">
        <f ca="1">'TikTok Ads Raw Data'!C292</f>
        <v>386</v>
      </c>
      <c r="F292" s="9">
        <f t="shared" ca="1" si="8"/>
        <v>0.83419689119170981</v>
      </c>
      <c r="G292" s="9">
        <f t="shared" ca="1" si="9"/>
        <v>9.7028867594768879</v>
      </c>
      <c r="H292" s="9">
        <f ca="1">'TikTok Ads Raw Data'!D292</f>
        <v>322</v>
      </c>
      <c r="I292" s="20">
        <f t="shared" ca="1" si="10"/>
        <v>2.072538860103627E-2</v>
      </c>
      <c r="J292" s="8">
        <f ca="1">'TikTok Ads Raw Data'!E292</f>
        <v>8</v>
      </c>
      <c r="K292" s="9">
        <f t="shared" ca="1" si="11"/>
        <v>150.125</v>
      </c>
      <c r="L292" s="9">
        <f ca="1">'TikTok Ads Raw Data'!F292</f>
        <v>1201</v>
      </c>
    </row>
    <row r="293" spans="1:12" ht="13" x14ac:dyDescent="0.15">
      <c r="A293" s="7">
        <f ca="1">'TikTok Ads Raw Data'!A293</f>
        <v>45949</v>
      </c>
      <c r="B293" s="8">
        <f t="shared" ca="1" si="6"/>
        <v>10</v>
      </c>
      <c r="C293" s="24">
        <f ca="1">'TikTok Ads Raw Data'!B293</f>
        <v>29150</v>
      </c>
      <c r="D293" s="20">
        <f t="shared" ca="1" si="7"/>
        <v>1.0222984562607205E-2</v>
      </c>
      <c r="E293" s="8">
        <f ca="1">'TikTok Ads Raw Data'!C293</f>
        <v>298</v>
      </c>
      <c r="F293" s="9">
        <f t="shared" ca="1" si="8"/>
        <v>1.0100671140939597</v>
      </c>
      <c r="G293" s="9">
        <f t="shared" ca="1" si="9"/>
        <v>10.325900514579761</v>
      </c>
      <c r="H293" s="9">
        <f ca="1">'TikTok Ads Raw Data'!D293</f>
        <v>301</v>
      </c>
      <c r="I293" s="20">
        <f t="shared" ca="1" si="10"/>
        <v>1.0067114093959731E-2</v>
      </c>
      <c r="J293" s="8">
        <f ca="1">'TikTok Ads Raw Data'!E293</f>
        <v>3</v>
      </c>
      <c r="K293" s="9">
        <f t="shared" ca="1" si="11"/>
        <v>258.66666666666669</v>
      </c>
      <c r="L293" s="9">
        <f ca="1">'TikTok Ads Raw Data'!F293</f>
        <v>776</v>
      </c>
    </row>
    <row r="294" spans="1:12" ht="13" x14ac:dyDescent="0.15">
      <c r="A294" s="7">
        <f ca="1">'TikTok Ads Raw Data'!A294</f>
        <v>45950</v>
      </c>
      <c r="B294" s="8">
        <f t="shared" ca="1" si="6"/>
        <v>10</v>
      </c>
      <c r="C294" s="24">
        <f ca="1">'TikTok Ads Raw Data'!B294</f>
        <v>98084</v>
      </c>
      <c r="D294" s="20">
        <f t="shared" ca="1" si="7"/>
        <v>2.3408506994005138E-2</v>
      </c>
      <c r="E294" s="8">
        <f ca="1">'TikTok Ads Raw Data'!C294</f>
        <v>2296</v>
      </c>
      <c r="F294" s="9">
        <f t="shared" ca="1" si="8"/>
        <v>0.75391986062717775</v>
      </c>
      <c r="G294" s="9">
        <f t="shared" ca="1" si="9"/>
        <v>17.648138330410667</v>
      </c>
      <c r="H294" s="9">
        <f ca="1">'TikTok Ads Raw Data'!D294</f>
        <v>1731</v>
      </c>
      <c r="I294" s="20">
        <f t="shared" ca="1" si="10"/>
        <v>2.0470383275261322E-2</v>
      </c>
      <c r="J294" s="8">
        <f ca="1">'TikTok Ads Raw Data'!E294</f>
        <v>47</v>
      </c>
      <c r="K294" s="9">
        <f t="shared" ca="1" si="11"/>
        <v>131.06382978723406</v>
      </c>
      <c r="L294" s="9">
        <f ca="1">'TikTok Ads Raw Data'!F294</f>
        <v>6160</v>
      </c>
    </row>
    <row r="295" spans="1:12" ht="13" x14ac:dyDescent="0.15">
      <c r="A295" s="7">
        <f ca="1">'TikTok Ads Raw Data'!A295</f>
        <v>45951</v>
      </c>
      <c r="B295" s="8">
        <f t="shared" ca="1" si="6"/>
        <v>10</v>
      </c>
      <c r="C295" s="24">
        <f ca="1">'TikTok Ads Raw Data'!B295</f>
        <v>104761</v>
      </c>
      <c r="D295" s="20">
        <f t="shared" ca="1" si="7"/>
        <v>2.1735187712984792E-2</v>
      </c>
      <c r="E295" s="8">
        <f ca="1">'TikTok Ads Raw Data'!C295</f>
        <v>2277</v>
      </c>
      <c r="F295" s="9">
        <f t="shared" ca="1" si="8"/>
        <v>0.95037329819938521</v>
      </c>
      <c r="G295" s="9">
        <f t="shared" ca="1" si="9"/>
        <v>20.656542033772112</v>
      </c>
      <c r="H295" s="9">
        <f ca="1">'TikTok Ads Raw Data'!D295</f>
        <v>2164</v>
      </c>
      <c r="I295" s="20">
        <f t="shared" ca="1" si="10"/>
        <v>2.1080368906455864E-2</v>
      </c>
      <c r="J295" s="8">
        <f ca="1">'TikTok Ads Raw Data'!E295</f>
        <v>48</v>
      </c>
      <c r="K295" s="9">
        <f t="shared" ca="1" si="11"/>
        <v>92.104166666666671</v>
      </c>
      <c r="L295" s="9">
        <f ca="1">'TikTok Ads Raw Data'!F295</f>
        <v>4421</v>
      </c>
    </row>
    <row r="296" spans="1:12" ht="13" x14ac:dyDescent="0.15">
      <c r="A296" s="7">
        <f ca="1">'TikTok Ads Raw Data'!A296</f>
        <v>45952</v>
      </c>
      <c r="B296" s="8">
        <f t="shared" ca="1" si="6"/>
        <v>10</v>
      </c>
      <c r="C296" s="24">
        <f ca="1">'TikTok Ads Raw Data'!B296</f>
        <v>65544</v>
      </c>
      <c r="D296" s="20">
        <f t="shared" ca="1" si="7"/>
        <v>1.7362382521664835E-2</v>
      </c>
      <c r="E296" s="8">
        <f ca="1">'TikTok Ads Raw Data'!C296</f>
        <v>1138</v>
      </c>
      <c r="F296" s="9">
        <f t="shared" ca="1" si="8"/>
        <v>0.80579964850615116</v>
      </c>
      <c r="G296" s="9">
        <f t="shared" ca="1" si="9"/>
        <v>13.990601733186868</v>
      </c>
      <c r="H296" s="9">
        <f ca="1">'TikTok Ads Raw Data'!D296</f>
        <v>917</v>
      </c>
      <c r="I296" s="20">
        <f t="shared" ca="1" si="10"/>
        <v>1.4938488576449912E-2</v>
      </c>
      <c r="J296" s="8">
        <f ca="1">'TikTok Ads Raw Data'!E296</f>
        <v>17</v>
      </c>
      <c r="K296" s="9">
        <f t="shared" ca="1" si="11"/>
        <v>123.52941176470588</v>
      </c>
      <c r="L296" s="9">
        <f ca="1">'TikTok Ads Raw Data'!F296</f>
        <v>2100</v>
      </c>
    </row>
    <row r="297" spans="1:12" ht="13" x14ac:dyDescent="0.15">
      <c r="A297" s="7">
        <f ca="1">'TikTok Ads Raw Data'!A297</f>
        <v>45953</v>
      </c>
      <c r="B297" s="8">
        <f t="shared" ca="1" si="6"/>
        <v>10</v>
      </c>
      <c r="C297" s="24">
        <f ca="1">'TikTok Ads Raw Data'!B297</f>
        <v>70268</v>
      </c>
      <c r="D297" s="20">
        <f t="shared" ca="1" si="7"/>
        <v>1.4031991802812092E-2</v>
      </c>
      <c r="E297" s="8">
        <f ca="1">'TikTok Ads Raw Data'!C297</f>
        <v>986</v>
      </c>
      <c r="F297" s="9">
        <f t="shared" ca="1" si="8"/>
        <v>0.77687626774847873</v>
      </c>
      <c r="G297" s="9">
        <f t="shared" ca="1" si="9"/>
        <v>10.901121420845904</v>
      </c>
      <c r="H297" s="9">
        <f ca="1">'TikTok Ads Raw Data'!D297</f>
        <v>766</v>
      </c>
      <c r="I297" s="20">
        <f t="shared" ca="1" si="10"/>
        <v>2.231237322515213E-2</v>
      </c>
      <c r="J297" s="8">
        <f ca="1">'TikTok Ads Raw Data'!E297</f>
        <v>22</v>
      </c>
      <c r="K297" s="9">
        <f t="shared" ca="1" si="11"/>
        <v>197.5</v>
      </c>
      <c r="L297" s="9">
        <f ca="1">'TikTok Ads Raw Data'!F297</f>
        <v>4345</v>
      </c>
    </row>
    <row r="298" spans="1:12" ht="13" x14ac:dyDescent="0.15">
      <c r="A298" s="7">
        <f ca="1">'TikTok Ads Raw Data'!A298</f>
        <v>45954</v>
      </c>
      <c r="B298" s="8">
        <f t="shared" ca="1" si="6"/>
        <v>10</v>
      </c>
      <c r="C298" s="24">
        <f ca="1">'TikTok Ads Raw Data'!B298</f>
        <v>27111</v>
      </c>
      <c r="D298" s="20">
        <f t="shared" ca="1" si="7"/>
        <v>2.5340267787982738E-2</v>
      </c>
      <c r="E298" s="8">
        <f ca="1">'TikTok Ads Raw Data'!C298</f>
        <v>687</v>
      </c>
      <c r="F298" s="9">
        <f t="shared" ca="1" si="8"/>
        <v>0.66229985443959238</v>
      </c>
      <c r="G298" s="9">
        <f t="shared" ca="1" si="9"/>
        <v>16.782855667441261</v>
      </c>
      <c r="H298" s="9">
        <f ca="1">'TikTok Ads Raw Data'!D298</f>
        <v>455</v>
      </c>
      <c r="I298" s="20">
        <f t="shared" ca="1" si="10"/>
        <v>1.7467248908296942E-2</v>
      </c>
      <c r="J298" s="8">
        <f ca="1">'TikTok Ads Raw Data'!E298</f>
        <v>12</v>
      </c>
      <c r="K298" s="9">
        <f t="shared" ca="1" si="11"/>
        <v>150.83333333333334</v>
      </c>
      <c r="L298" s="9">
        <f ca="1">'TikTok Ads Raw Data'!F298</f>
        <v>1810</v>
      </c>
    </row>
    <row r="299" spans="1:12" ht="13" x14ac:dyDescent="0.15">
      <c r="A299" s="7">
        <f ca="1">'TikTok Ads Raw Data'!A299</f>
        <v>45955</v>
      </c>
      <c r="B299" s="8">
        <f t="shared" ca="1" si="6"/>
        <v>10</v>
      </c>
      <c r="C299" s="24">
        <f ca="1">'TikTok Ads Raw Data'!B299</f>
        <v>95429</v>
      </c>
      <c r="D299" s="20">
        <f t="shared" ca="1" si="7"/>
        <v>1.6378668958073543E-2</v>
      </c>
      <c r="E299" s="8">
        <f ca="1">'TikTok Ads Raw Data'!C299</f>
        <v>1563</v>
      </c>
      <c r="F299" s="9">
        <f t="shared" ca="1" si="8"/>
        <v>0.88227767114523348</v>
      </c>
      <c r="G299" s="9">
        <f t="shared" ca="1" si="9"/>
        <v>14.450533904787852</v>
      </c>
      <c r="H299" s="9">
        <f ca="1">'TikTok Ads Raw Data'!D299</f>
        <v>1379</v>
      </c>
      <c r="I299" s="20">
        <f t="shared" ca="1" si="10"/>
        <v>2.1113243761996161E-2</v>
      </c>
      <c r="J299" s="8">
        <f ca="1">'TikTok Ads Raw Data'!E299</f>
        <v>33</v>
      </c>
      <c r="K299" s="9">
        <f t="shared" ca="1" si="11"/>
        <v>114.81818181818181</v>
      </c>
      <c r="L299" s="9">
        <f ca="1">'TikTok Ads Raw Data'!F299</f>
        <v>3789</v>
      </c>
    </row>
    <row r="300" spans="1:12" ht="13" x14ac:dyDescent="0.15">
      <c r="A300" s="7">
        <f ca="1">'TikTok Ads Raw Data'!A300</f>
        <v>45956</v>
      </c>
      <c r="B300" s="8">
        <f t="shared" ca="1" si="6"/>
        <v>10</v>
      </c>
      <c r="C300" s="24">
        <f ca="1">'TikTok Ads Raw Data'!B300</f>
        <v>28585</v>
      </c>
      <c r="D300" s="20">
        <f t="shared" ca="1" si="7"/>
        <v>1.948574427147105E-2</v>
      </c>
      <c r="E300" s="8">
        <f ca="1">'TikTok Ads Raw Data'!C300</f>
        <v>557</v>
      </c>
      <c r="F300" s="9">
        <f t="shared" ca="1" si="8"/>
        <v>0.63195691202872528</v>
      </c>
      <c r="G300" s="9">
        <f t="shared" ca="1" si="9"/>
        <v>12.314150778380268</v>
      </c>
      <c r="H300" s="9">
        <f ca="1">'TikTok Ads Raw Data'!D300</f>
        <v>352</v>
      </c>
      <c r="I300" s="20">
        <f t="shared" ca="1" si="10"/>
        <v>1.615798922800718E-2</v>
      </c>
      <c r="J300" s="8">
        <f ca="1">'TikTok Ads Raw Data'!E300</f>
        <v>9</v>
      </c>
      <c r="K300" s="9">
        <f t="shared" ca="1" si="11"/>
        <v>189.55555555555554</v>
      </c>
      <c r="L300" s="9">
        <f ca="1">'TikTok Ads Raw Data'!F300</f>
        <v>1706</v>
      </c>
    </row>
    <row r="301" spans="1:12" ht="13" x14ac:dyDescent="0.15">
      <c r="A301" s="7">
        <f ca="1">'TikTok Ads Raw Data'!A301</f>
        <v>45957</v>
      </c>
      <c r="B301" s="8">
        <f t="shared" ca="1" si="6"/>
        <v>10</v>
      </c>
      <c r="C301" s="24">
        <f ca="1">'TikTok Ads Raw Data'!B301</f>
        <v>58874</v>
      </c>
      <c r="D301" s="20">
        <f t="shared" ca="1" si="7"/>
        <v>1.8700954580969528E-2</v>
      </c>
      <c r="E301" s="8">
        <f ca="1">'TikTok Ads Raw Data'!C301</f>
        <v>1101</v>
      </c>
      <c r="F301" s="9">
        <f t="shared" ca="1" si="8"/>
        <v>0.70481380563124429</v>
      </c>
      <c r="G301" s="9">
        <f t="shared" ca="1" si="9"/>
        <v>13.180690967150184</v>
      </c>
      <c r="H301" s="9">
        <f ca="1">'TikTok Ads Raw Data'!D301</f>
        <v>776</v>
      </c>
      <c r="I301" s="20">
        <f t="shared" ca="1" si="10"/>
        <v>1.725703905540418E-2</v>
      </c>
      <c r="J301" s="8">
        <f ca="1">'TikTok Ads Raw Data'!E301</f>
        <v>19</v>
      </c>
      <c r="K301" s="9">
        <f t="shared" ca="1" si="11"/>
        <v>183.94736842105263</v>
      </c>
      <c r="L301" s="9">
        <f ca="1">'TikTok Ads Raw Data'!F301</f>
        <v>3495</v>
      </c>
    </row>
    <row r="302" spans="1:12" ht="13" x14ac:dyDescent="0.15">
      <c r="A302" s="7">
        <f ca="1">'TikTok Ads Raw Data'!A302</f>
        <v>45958</v>
      </c>
      <c r="B302" s="8">
        <f t="shared" ca="1" si="6"/>
        <v>10</v>
      </c>
      <c r="C302" s="24">
        <f ca="1">'TikTok Ads Raw Data'!B302</f>
        <v>61164</v>
      </c>
      <c r="D302" s="20">
        <f t="shared" ca="1" si="7"/>
        <v>1.8246027074749854E-2</v>
      </c>
      <c r="E302" s="8">
        <f ca="1">'TikTok Ads Raw Data'!C302</f>
        <v>1116</v>
      </c>
      <c r="F302" s="9">
        <f t="shared" ca="1" si="8"/>
        <v>0.93279569892473113</v>
      </c>
      <c r="G302" s="9">
        <f t="shared" ca="1" si="9"/>
        <v>17.019815577790858</v>
      </c>
      <c r="H302" s="9">
        <f ca="1">'TikTok Ads Raw Data'!D302</f>
        <v>1041</v>
      </c>
      <c r="I302" s="20">
        <f t="shared" ca="1" si="10"/>
        <v>2.3297491039426525E-2</v>
      </c>
      <c r="J302" s="8">
        <f ca="1">'TikTok Ads Raw Data'!E302</f>
        <v>26</v>
      </c>
      <c r="K302" s="9">
        <f t="shared" ca="1" si="11"/>
        <v>156.73076923076923</v>
      </c>
      <c r="L302" s="9">
        <f ca="1">'TikTok Ads Raw Data'!F302</f>
        <v>4075</v>
      </c>
    </row>
    <row r="303" spans="1:12" ht="13" x14ac:dyDescent="0.15">
      <c r="A303" s="7">
        <f ca="1">'TikTok Ads Raw Data'!A303</f>
        <v>45959</v>
      </c>
      <c r="B303" s="8">
        <f t="shared" ca="1" si="6"/>
        <v>10</v>
      </c>
      <c r="C303" s="24">
        <f ca="1">'TikTok Ads Raw Data'!B303</f>
        <v>111859</v>
      </c>
      <c r="D303" s="20">
        <f t="shared" ca="1" si="7"/>
        <v>2.2492602293959361E-2</v>
      </c>
      <c r="E303" s="8">
        <f ca="1">'TikTok Ads Raw Data'!C303</f>
        <v>2516</v>
      </c>
      <c r="F303" s="9">
        <f t="shared" ca="1" si="8"/>
        <v>1.0031796502384738</v>
      </c>
      <c r="G303" s="9">
        <f t="shared" ca="1" si="9"/>
        <v>22.564120902207243</v>
      </c>
      <c r="H303" s="9">
        <f ca="1">'TikTok Ads Raw Data'!D303</f>
        <v>2524</v>
      </c>
      <c r="I303" s="20">
        <f t="shared" ca="1" si="10"/>
        <v>1.5103338632750398E-2</v>
      </c>
      <c r="J303" s="8">
        <f ca="1">'TikTok Ads Raw Data'!E303</f>
        <v>38</v>
      </c>
      <c r="K303" s="9">
        <f t="shared" ca="1" si="11"/>
        <v>138.28947368421052</v>
      </c>
      <c r="L303" s="9">
        <f ca="1">'TikTok Ads Raw Data'!F303</f>
        <v>5255</v>
      </c>
    </row>
    <row r="304" spans="1:12" ht="13" x14ac:dyDescent="0.15">
      <c r="A304" s="7">
        <f ca="1">'TikTok Ads Raw Data'!A304</f>
        <v>45960</v>
      </c>
      <c r="B304" s="8">
        <f t="shared" ca="1" si="6"/>
        <v>10</v>
      </c>
      <c r="C304" s="24">
        <f ca="1">'TikTok Ads Raw Data'!B304</f>
        <v>69058</v>
      </c>
      <c r="D304" s="20">
        <f t="shared" ca="1" si="7"/>
        <v>2.1518144168669814E-2</v>
      </c>
      <c r="E304" s="8">
        <f ca="1">'TikTok Ads Raw Data'!C304</f>
        <v>1486</v>
      </c>
      <c r="F304" s="9">
        <f t="shared" ca="1" si="8"/>
        <v>0.76043068640646028</v>
      </c>
      <c r="G304" s="9">
        <f t="shared" ca="1" si="9"/>
        <v>16.363057140374757</v>
      </c>
      <c r="H304" s="9">
        <f ca="1">'TikTok Ads Raw Data'!D304</f>
        <v>1130</v>
      </c>
      <c r="I304" s="20">
        <f t="shared" ca="1" si="10"/>
        <v>1.8842530282637954E-2</v>
      </c>
      <c r="J304" s="8">
        <f ca="1">'TikTok Ads Raw Data'!E304</f>
        <v>28</v>
      </c>
      <c r="K304" s="9">
        <f t="shared" ca="1" si="11"/>
        <v>194.92857142857142</v>
      </c>
      <c r="L304" s="9">
        <f ca="1">'TikTok Ads Raw Data'!F304</f>
        <v>5458</v>
      </c>
    </row>
    <row r="305" spans="1:12" ht="13" x14ac:dyDescent="0.15">
      <c r="A305" s="7">
        <f ca="1">'TikTok Ads Raw Data'!A305</f>
        <v>45961</v>
      </c>
      <c r="B305" s="8">
        <f t="shared" ca="1" si="6"/>
        <v>10</v>
      </c>
      <c r="C305" s="24">
        <f ca="1">'TikTok Ads Raw Data'!B305</f>
        <v>59125</v>
      </c>
      <c r="D305" s="20">
        <f t="shared" ca="1" si="7"/>
        <v>2.8583509513742073E-2</v>
      </c>
      <c r="E305" s="8">
        <f ca="1">'TikTok Ads Raw Data'!C305</f>
        <v>1690</v>
      </c>
      <c r="F305" s="9">
        <f t="shared" ca="1" si="8"/>
        <v>0.85976331360946745</v>
      </c>
      <c r="G305" s="9">
        <f t="shared" ca="1" si="9"/>
        <v>24.575052854122621</v>
      </c>
      <c r="H305" s="9">
        <f ca="1">'TikTok Ads Raw Data'!D305</f>
        <v>1453</v>
      </c>
      <c r="I305" s="20">
        <f t="shared" ca="1" si="10"/>
        <v>2.1893491124260357E-2</v>
      </c>
      <c r="J305" s="8">
        <f ca="1">'TikTok Ads Raw Data'!E305</f>
        <v>37</v>
      </c>
      <c r="K305" s="9">
        <f t="shared" ca="1" si="11"/>
        <v>144.75675675675674</v>
      </c>
      <c r="L305" s="9">
        <f ca="1">'TikTok Ads Raw Data'!F305</f>
        <v>5356</v>
      </c>
    </row>
    <row r="306" spans="1:12" ht="13" x14ac:dyDescent="0.15">
      <c r="A306" s="7">
        <f ca="1">'TikTok Ads Raw Data'!A306</f>
        <v>45962</v>
      </c>
      <c r="B306" s="8">
        <f t="shared" ca="1" si="6"/>
        <v>11</v>
      </c>
      <c r="C306" s="24">
        <f ca="1">'TikTok Ads Raw Data'!B306</f>
        <v>24384</v>
      </c>
      <c r="D306" s="20">
        <f t="shared" ca="1" si="7"/>
        <v>2.1448490813648295E-2</v>
      </c>
      <c r="E306" s="8">
        <f ca="1">'TikTok Ads Raw Data'!C306</f>
        <v>523</v>
      </c>
      <c r="F306" s="9">
        <f t="shared" ca="1" si="8"/>
        <v>1.0803059273422562</v>
      </c>
      <c r="G306" s="9">
        <f t="shared" ca="1" si="9"/>
        <v>23.170931758530184</v>
      </c>
      <c r="H306" s="9">
        <f ca="1">'TikTok Ads Raw Data'!D306</f>
        <v>565</v>
      </c>
      <c r="I306" s="20">
        <f t="shared" ca="1" si="10"/>
        <v>1.9120458891013385E-2</v>
      </c>
      <c r="J306" s="8">
        <f ca="1">'TikTok Ads Raw Data'!E306</f>
        <v>10</v>
      </c>
      <c r="K306" s="9">
        <f t="shared" ca="1" si="11"/>
        <v>192.8</v>
      </c>
      <c r="L306" s="9">
        <f ca="1">'TikTok Ads Raw Data'!F306</f>
        <v>1928</v>
      </c>
    </row>
    <row r="307" spans="1:12" ht="13" x14ac:dyDescent="0.15">
      <c r="A307" s="7">
        <f ca="1">'TikTok Ads Raw Data'!A307</f>
        <v>45963</v>
      </c>
      <c r="B307" s="8">
        <f t="shared" ca="1" si="6"/>
        <v>11</v>
      </c>
      <c r="C307" s="24">
        <f ca="1">'TikTok Ads Raw Data'!B307</f>
        <v>102253</v>
      </c>
      <c r="D307" s="20">
        <f t="shared" ca="1" si="7"/>
        <v>2.3080007432544767E-2</v>
      </c>
      <c r="E307" s="8">
        <f ca="1">'TikTok Ads Raw Data'!C307</f>
        <v>2360</v>
      </c>
      <c r="F307" s="9">
        <f t="shared" ca="1" si="8"/>
        <v>0.7406779661016949</v>
      </c>
      <c r="G307" s="9">
        <f t="shared" ca="1" si="9"/>
        <v>17.094852962749258</v>
      </c>
      <c r="H307" s="9">
        <f ca="1">'TikTok Ads Raw Data'!D307</f>
        <v>1748</v>
      </c>
      <c r="I307" s="20">
        <f t="shared" ca="1" si="10"/>
        <v>1.228813559322034E-2</v>
      </c>
      <c r="J307" s="8">
        <f ca="1">'TikTok Ads Raw Data'!E307</f>
        <v>29</v>
      </c>
      <c r="K307" s="9">
        <f t="shared" ca="1" si="11"/>
        <v>220.89655172413794</v>
      </c>
      <c r="L307" s="9">
        <f ca="1">'TikTok Ads Raw Data'!F307</f>
        <v>6406</v>
      </c>
    </row>
    <row r="308" spans="1:12" ht="13" x14ac:dyDescent="0.15">
      <c r="A308" s="7">
        <f ca="1">'TikTok Ads Raw Data'!A308</f>
        <v>45964</v>
      </c>
      <c r="B308" s="8">
        <f t="shared" ca="1" si="6"/>
        <v>11</v>
      </c>
      <c r="C308" s="24">
        <f ca="1">'TikTok Ads Raw Data'!B308</f>
        <v>22978</v>
      </c>
      <c r="D308" s="20">
        <f t="shared" ca="1" si="7"/>
        <v>1.3099486465314648E-2</v>
      </c>
      <c r="E308" s="8">
        <f ca="1">'TikTok Ads Raw Data'!C308</f>
        <v>301</v>
      </c>
      <c r="F308" s="9">
        <f t="shared" ca="1" si="8"/>
        <v>1.0066445182724253</v>
      </c>
      <c r="G308" s="9">
        <f t="shared" ca="1" si="9"/>
        <v>13.186526242492818</v>
      </c>
      <c r="H308" s="9">
        <f ca="1">'TikTok Ads Raw Data'!D308</f>
        <v>303</v>
      </c>
      <c r="I308" s="20">
        <f t="shared" ca="1" si="10"/>
        <v>1.6611295681063124E-2</v>
      </c>
      <c r="J308" s="8">
        <f ca="1">'TikTok Ads Raw Data'!E308</f>
        <v>5</v>
      </c>
      <c r="K308" s="9">
        <f t="shared" ca="1" si="11"/>
        <v>203.2</v>
      </c>
      <c r="L308" s="9">
        <f ca="1">'TikTok Ads Raw Data'!F308</f>
        <v>1016</v>
      </c>
    </row>
    <row r="309" spans="1:12" ht="13" x14ac:dyDescent="0.15">
      <c r="A309" s="7">
        <f ca="1">'TikTok Ads Raw Data'!A309</f>
        <v>45965</v>
      </c>
      <c r="B309" s="8">
        <f t="shared" ca="1" si="6"/>
        <v>11</v>
      </c>
      <c r="C309" s="24">
        <f ca="1">'TikTok Ads Raw Data'!B309</f>
        <v>22356</v>
      </c>
      <c r="D309" s="20">
        <f t="shared" ca="1" si="7"/>
        <v>1.261406333870102E-2</v>
      </c>
      <c r="E309" s="8">
        <f ca="1">'TikTok Ads Raw Data'!C309</f>
        <v>282</v>
      </c>
      <c r="F309" s="9">
        <f t="shared" ca="1" si="8"/>
        <v>1.24822695035461</v>
      </c>
      <c r="G309" s="9">
        <f t="shared" ca="1" si="9"/>
        <v>15.745213812846663</v>
      </c>
      <c r="H309" s="9">
        <f ca="1">'TikTok Ads Raw Data'!D309</f>
        <v>352</v>
      </c>
      <c r="I309" s="20">
        <f t="shared" ca="1" si="10"/>
        <v>1.7730496453900711E-2</v>
      </c>
      <c r="J309" s="8">
        <f ca="1">'TikTok Ads Raw Data'!E309</f>
        <v>5</v>
      </c>
      <c r="K309" s="9">
        <f t="shared" ca="1" si="11"/>
        <v>145.4</v>
      </c>
      <c r="L309" s="9">
        <f ca="1">'TikTok Ads Raw Data'!F309</f>
        <v>727</v>
      </c>
    </row>
    <row r="310" spans="1:12" ht="13" x14ac:dyDescent="0.15">
      <c r="A310" s="7">
        <f ca="1">'TikTok Ads Raw Data'!A310</f>
        <v>45966</v>
      </c>
      <c r="B310" s="8">
        <f t="shared" ca="1" si="6"/>
        <v>11</v>
      </c>
      <c r="C310" s="24">
        <f ca="1">'TikTok Ads Raw Data'!B310</f>
        <v>30617</v>
      </c>
      <c r="D310" s="20">
        <f t="shared" ca="1" si="7"/>
        <v>1.8878400888395337E-2</v>
      </c>
      <c r="E310" s="8">
        <f ca="1">'TikTok Ads Raw Data'!C310</f>
        <v>578</v>
      </c>
      <c r="F310" s="9">
        <f t="shared" ca="1" si="8"/>
        <v>1.0536332179930796</v>
      </c>
      <c r="G310" s="9">
        <f t="shared" ca="1" si="9"/>
        <v>19.890910278603389</v>
      </c>
      <c r="H310" s="9">
        <f ca="1">'TikTok Ads Raw Data'!D310</f>
        <v>609</v>
      </c>
      <c r="I310" s="20">
        <f t="shared" ca="1" si="10"/>
        <v>2.0761245674740483E-2</v>
      </c>
      <c r="J310" s="8">
        <f ca="1">'TikTok Ads Raw Data'!E310</f>
        <v>12</v>
      </c>
      <c r="K310" s="9">
        <f t="shared" ca="1" si="11"/>
        <v>160.66666666666666</v>
      </c>
      <c r="L310" s="9">
        <f ca="1">'TikTok Ads Raw Data'!F310</f>
        <v>1928</v>
      </c>
    </row>
    <row r="311" spans="1:12" ht="13" x14ac:dyDescent="0.15">
      <c r="A311" s="7">
        <f ca="1">'TikTok Ads Raw Data'!A311</f>
        <v>45967</v>
      </c>
      <c r="B311" s="8">
        <f t="shared" ca="1" si="6"/>
        <v>11</v>
      </c>
      <c r="C311" s="24">
        <f ca="1">'TikTok Ads Raw Data'!B311</f>
        <v>105759</v>
      </c>
      <c r="D311" s="20">
        <f t="shared" ca="1" si="7"/>
        <v>3.1571781125010634E-2</v>
      </c>
      <c r="E311" s="8">
        <f ca="1">'TikTok Ads Raw Data'!C311</f>
        <v>3339</v>
      </c>
      <c r="F311" s="9">
        <f t="shared" ca="1" si="8"/>
        <v>0.6451033243486074</v>
      </c>
      <c r="G311" s="9">
        <f t="shared" ca="1" si="9"/>
        <v>20.367060959350976</v>
      </c>
      <c r="H311" s="9">
        <f ca="1">'TikTok Ads Raw Data'!D311</f>
        <v>2154</v>
      </c>
      <c r="I311" s="20">
        <f t="shared" ca="1" si="10"/>
        <v>2.3060796645702306E-2</v>
      </c>
      <c r="J311" s="8">
        <f ca="1">'TikTok Ads Raw Data'!E311</f>
        <v>77</v>
      </c>
      <c r="K311" s="9">
        <f t="shared" ca="1" si="11"/>
        <v>172.42857142857142</v>
      </c>
      <c r="L311" s="9">
        <f ca="1">'TikTok Ads Raw Data'!F311</f>
        <v>13277</v>
      </c>
    </row>
    <row r="312" spans="1:12" ht="13" x14ac:dyDescent="0.15">
      <c r="A312" s="7">
        <f ca="1">'TikTok Ads Raw Data'!A312</f>
        <v>45968</v>
      </c>
      <c r="B312" s="8">
        <f t="shared" ca="1" si="6"/>
        <v>11</v>
      </c>
      <c r="C312" s="24">
        <f ca="1">'TikTok Ads Raw Data'!B312</f>
        <v>47770</v>
      </c>
      <c r="D312" s="20">
        <f t="shared" ca="1" si="7"/>
        <v>1.7416788779568766E-2</v>
      </c>
      <c r="E312" s="8">
        <f ca="1">'TikTok Ads Raw Data'!C312</f>
        <v>832</v>
      </c>
      <c r="F312" s="9">
        <f t="shared" ca="1" si="8"/>
        <v>1.1430288461538463</v>
      </c>
      <c r="G312" s="9">
        <f t="shared" ca="1" si="9"/>
        <v>19.907891982415741</v>
      </c>
      <c r="H312" s="9">
        <f ca="1">'TikTok Ads Raw Data'!D312</f>
        <v>951</v>
      </c>
      <c r="I312" s="20">
        <f t="shared" ca="1" si="10"/>
        <v>1.9230769230769232E-2</v>
      </c>
      <c r="J312" s="8">
        <f ca="1">'TikTok Ads Raw Data'!E312</f>
        <v>16</v>
      </c>
      <c r="K312" s="9">
        <f t="shared" ca="1" si="11"/>
        <v>118.25</v>
      </c>
      <c r="L312" s="9">
        <f ca="1">'TikTok Ads Raw Data'!F312</f>
        <v>1892</v>
      </c>
    </row>
    <row r="313" spans="1:12" ht="13" x14ac:dyDescent="0.15">
      <c r="A313" s="7">
        <f ca="1">'TikTok Ads Raw Data'!A313</f>
        <v>45969</v>
      </c>
      <c r="B313" s="8">
        <f t="shared" ca="1" si="6"/>
        <v>11</v>
      </c>
      <c r="C313" s="24">
        <f ca="1">'TikTok Ads Raw Data'!B313</f>
        <v>102215</v>
      </c>
      <c r="D313" s="20">
        <f t="shared" ca="1" si="7"/>
        <v>2.5397446558724258E-2</v>
      </c>
      <c r="E313" s="8">
        <f ca="1">'TikTok Ads Raw Data'!C313</f>
        <v>2596</v>
      </c>
      <c r="F313" s="9">
        <f t="shared" ca="1" si="8"/>
        <v>0.82357473035439133</v>
      </c>
      <c r="G313" s="9">
        <f t="shared" ca="1" si="9"/>
        <v>20.916695201291393</v>
      </c>
      <c r="H313" s="9">
        <f ca="1">'TikTok Ads Raw Data'!D313</f>
        <v>2138</v>
      </c>
      <c r="I313" s="20">
        <f t="shared" ca="1" si="10"/>
        <v>2.5808936825885979E-2</v>
      </c>
      <c r="J313" s="8">
        <f ca="1">'TikTok Ads Raw Data'!E313</f>
        <v>67</v>
      </c>
      <c r="K313" s="9">
        <f t="shared" ca="1" si="11"/>
        <v>161.50746268656715</v>
      </c>
      <c r="L313" s="9">
        <f ca="1">'TikTok Ads Raw Data'!F313</f>
        <v>10821</v>
      </c>
    </row>
    <row r="314" spans="1:12" ht="13" x14ac:dyDescent="0.15">
      <c r="A314" s="7">
        <f ca="1">'TikTok Ads Raw Data'!A314</f>
        <v>45970</v>
      </c>
      <c r="B314" s="8">
        <f t="shared" ca="1" si="6"/>
        <v>11</v>
      </c>
      <c r="C314" s="24">
        <f ca="1">'TikTok Ads Raw Data'!B314</f>
        <v>79967</v>
      </c>
      <c r="D314" s="20">
        <f t="shared" ca="1" si="7"/>
        <v>2.4435079470281493E-2</v>
      </c>
      <c r="E314" s="8">
        <f ca="1">'TikTok Ads Raw Data'!C314</f>
        <v>1954</v>
      </c>
      <c r="F314" s="9">
        <f t="shared" ca="1" si="8"/>
        <v>1.0880245649948823</v>
      </c>
      <c r="G314" s="9">
        <f t="shared" ca="1" si="9"/>
        <v>26.585966711268398</v>
      </c>
      <c r="H314" s="9">
        <f ca="1">'TikTok Ads Raw Data'!D314</f>
        <v>2126</v>
      </c>
      <c r="I314" s="20">
        <f t="shared" ca="1" si="10"/>
        <v>2.5076765609007165E-2</v>
      </c>
      <c r="J314" s="8">
        <f ca="1">'TikTok Ads Raw Data'!E314</f>
        <v>49</v>
      </c>
      <c r="K314" s="9">
        <f t="shared" ca="1" si="11"/>
        <v>151.71428571428572</v>
      </c>
      <c r="L314" s="9">
        <f ca="1">'TikTok Ads Raw Data'!F314</f>
        <v>7434</v>
      </c>
    </row>
    <row r="315" spans="1:12" ht="13" x14ac:dyDescent="0.15">
      <c r="A315" s="7">
        <f ca="1">'TikTok Ads Raw Data'!A315</f>
        <v>45971</v>
      </c>
      <c r="B315" s="8">
        <f t="shared" ca="1" si="6"/>
        <v>11</v>
      </c>
      <c r="C315" s="24">
        <f ca="1">'TikTok Ads Raw Data'!B315</f>
        <v>30876</v>
      </c>
      <c r="D315" s="20">
        <f t="shared" ca="1" si="7"/>
        <v>1.8849591916051303E-2</v>
      </c>
      <c r="E315" s="8">
        <f ca="1">'TikTok Ads Raw Data'!C315</f>
        <v>582</v>
      </c>
      <c r="F315" s="9">
        <f t="shared" ca="1" si="8"/>
        <v>0.75945017182130581</v>
      </c>
      <c r="G315" s="9">
        <f t="shared" ca="1" si="9"/>
        <v>14.315325819406658</v>
      </c>
      <c r="H315" s="9">
        <f ca="1">'TikTok Ads Raw Data'!D315</f>
        <v>442</v>
      </c>
      <c r="I315" s="20">
        <f t="shared" ca="1" si="10"/>
        <v>2.0618556701030927E-2</v>
      </c>
      <c r="J315" s="8">
        <f ca="1">'TikTok Ads Raw Data'!E315</f>
        <v>12</v>
      </c>
      <c r="K315" s="9">
        <f t="shared" ca="1" si="11"/>
        <v>147.66666666666666</v>
      </c>
      <c r="L315" s="9">
        <f ca="1">'TikTok Ads Raw Data'!F315</f>
        <v>1772</v>
      </c>
    </row>
    <row r="316" spans="1:12" ht="13" x14ac:dyDescent="0.15">
      <c r="A316" s="7">
        <f ca="1">'TikTok Ads Raw Data'!A316</f>
        <v>45972</v>
      </c>
      <c r="B316" s="8">
        <f t="shared" ca="1" si="6"/>
        <v>11</v>
      </c>
      <c r="C316" s="24">
        <f ca="1">'TikTok Ads Raw Data'!B316</f>
        <v>49477</v>
      </c>
      <c r="D316" s="20">
        <f t="shared" ca="1" si="7"/>
        <v>1.0934373547304808E-2</v>
      </c>
      <c r="E316" s="8">
        <f ca="1">'TikTok Ads Raw Data'!C316</f>
        <v>541</v>
      </c>
      <c r="F316" s="9">
        <f t="shared" ca="1" si="8"/>
        <v>0.58964879852125696</v>
      </c>
      <c r="G316" s="9">
        <f t="shared" ca="1" si="9"/>
        <v>6.4474402247508946</v>
      </c>
      <c r="H316" s="9">
        <f ca="1">'TikTok Ads Raw Data'!D316</f>
        <v>319</v>
      </c>
      <c r="I316" s="20">
        <f t="shared" ca="1" si="10"/>
        <v>2.4029574861367836E-2</v>
      </c>
      <c r="J316" s="8">
        <f ca="1">'TikTok Ads Raw Data'!E316</f>
        <v>13</v>
      </c>
      <c r="K316" s="9">
        <f t="shared" ca="1" si="11"/>
        <v>116.61538461538461</v>
      </c>
      <c r="L316" s="9">
        <f ca="1">'TikTok Ads Raw Data'!F316</f>
        <v>1516</v>
      </c>
    </row>
    <row r="317" spans="1:12" ht="13" x14ac:dyDescent="0.15">
      <c r="A317" s="7">
        <f ca="1">'TikTok Ads Raw Data'!A317</f>
        <v>45973</v>
      </c>
      <c r="B317" s="8">
        <f t="shared" ca="1" si="6"/>
        <v>11</v>
      </c>
      <c r="C317" s="24">
        <f ca="1">'TikTok Ads Raw Data'!B317</f>
        <v>64687</v>
      </c>
      <c r="D317" s="20">
        <f t="shared" ca="1" si="7"/>
        <v>1.3619428942445931E-2</v>
      </c>
      <c r="E317" s="8">
        <f ca="1">'TikTok Ads Raw Data'!C317</f>
        <v>881</v>
      </c>
      <c r="F317" s="9">
        <f t="shared" ca="1" si="8"/>
        <v>1.2224744608399547</v>
      </c>
      <c r="G317" s="9">
        <f t="shared" ca="1" si="9"/>
        <v>16.649404053364663</v>
      </c>
      <c r="H317" s="9">
        <f ca="1">'TikTok Ads Raw Data'!D317</f>
        <v>1077</v>
      </c>
      <c r="I317" s="20">
        <f t="shared" ca="1" si="10"/>
        <v>1.9296254256526674E-2</v>
      </c>
      <c r="J317" s="8">
        <f ca="1">'TikTok Ads Raw Data'!E317</f>
        <v>17</v>
      </c>
      <c r="K317" s="9">
        <f t="shared" ca="1" si="11"/>
        <v>229.94117647058823</v>
      </c>
      <c r="L317" s="9">
        <f ca="1">'TikTok Ads Raw Data'!F317</f>
        <v>3909</v>
      </c>
    </row>
    <row r="318" spans="1:12" ht="13" x14ac:dyDescent="0.15">
      <c r="A318" s="7">
        <f ca="1">'TikTok Ads Raw Data'!A318</f>
        <v>45974</v>
      </c>
      <c r="B318" s="8">
        <f t="shared" ca="1" si="6"/>
        <v>11</v>
      </c>
      <c r="C318" s="24">
        <f ca="1">'TikTok Ads Raw Data'!B318</f>
        <v>105163</v>
      </c>
      <c r="D318" s="20">
        <f t="shared" ca="1" si="7"/>
        <v>2.9535102650171639E-2</v>
      </c>
      <c r="E318" s="8">
        <f ca="1">'TikTok Ads Raw Data'!C318</f>
        <v>3106</v>
      </c>
      <c r="F318" s="9">
        <f t="shared" ca="1" si="8"/>
        <v>0.72311654861558272</v>
      </c>
      <c r="G318" s="9">
        <f t="shared" ca="1" si="9"/>
        <v>21.357321491399066</v>
      </c>
      <c r="H318" s="9">
        <f ca="1">'TikTok Ads Raw Data'!D318</f>
        <v>2246</v>
      </c>
      <c r="I318" s="20">
        <f t="shared" ca="1" si="10"/>
        <v>1.1912427559562138E-2</v>
      </c>
      <c r="J318" s="8">
        <f ca="1">'TikTok Ads Raw Data'!E318</f>
        <v>37</v>
      </c>
      <c r="K318" s="9">
        <f t="shared" ca="1" si="11"/>
        <v>111.27027027027027</v>
      </c>
      <c r="L318" s="9">
        <f ca="1">'TikTok Ads Raw Data'!F318</f>
        <v>4117</v>
      </c>
    </row>
    <row r="319" spans="1:12" ht="13" x14ac:dyDescent="0.15">
      <c r="A319" s="7">
        <f ca="1">'TikTok Ads Raw Data'!A319</f>
        <v>45975</v>
      </c>
      <c r="B319" s="8">
        <f t="shared" ca="1" si="6"/>
        <v>11</v>
      </c>
      <c r="C319" s="24">
        <f ca="1">'TikTok Ads Raw Data'!B319</f>
        <v>93878</v>
      </c>
      <c r="D319" s="20">
        <f t="shared" ca="1" si="7"/>
        <v>1.8513389718570913E-2</v>
      </c>
      <c r="E319" s="8">
        <f ca="1">'TikTok Ads Raw Data'!C319</f>
        <v>1738</v>
      </c>
      <c r="F319" s="9">
        <f t="shared" ca="1" si="8"/>
        <v>1.0529344073647871</v>
      </c>
      <c r="G319" s="9">
        <f t="shared" ca="1" si="9"/>
        <v>19.493385031636805</v>
      </c>
      <c r="H319" s="9">
        <f ca="1">'TikTok Ads Raw Data'!D319</f>
        <v>1830</v>
      </c>
      <c r="I319" s="20">
        <f t="shared" ca="1" si="10"/>
        <v>1.2658227848101266E-2</v>
      </c>
      <c r="J319" s="8">
        <f ca="1">'TikTok Ads Raw Data'!E319</f>
        <v>22</v>
      </c>
      <c r="K319" s="9">
        <f t="shared" ca="1" si="11"/>
        <v>150.27272727272728</v>
      </c>
      <c r="L319" s="9">
        <f ca="1">'TikTok Ads Raw Data'!F319</f>
        <v>3306</v>
      </c>
    </row>
    <row r="320" spans="1:12" ht="13" x14ac:dyDescent="0.15">
      <c r="A320" s="7">
        <f ca="1">'TikTok Ads Raw Data'!A320</f>
        <v>45976</v>
      </c>
      <c r="B320" s="8">
        <f t="shared" ca="1" si="6"/>
        <v>11</v>
      </c>
      <c r="C320" s="24">
        <f ca="1">'TikTok Ads Raw Data'!B320</f>
        <v>82506</v>
      </c>
      <c r="D320" s="20">
        <f t="shared" ca="1" si="7"/>
        <v>1.6726056286815505E-2</v>
      </c>
      <c r="E320" s="8">
        <f ca="1">'TikTok Ads Raw Data'!C320</f>
        <v>1380</v>
      </c>
      <c r="F320" s="9">
        <f t="shared" ca="1" si="8"/>
        <v>0.78913043478260869</v>
      </c>
      <c r="G320" s="9">
        <f t="shared" ca="1" si="9"/>
        <v>13.199040069813105</v>
      </c>
      <c r="H320" s="9">
        <f ca="1">'TikTok Ads Raw Data'!D320</f>
        <v>1089</v>
      </c>
      <c r="I320" s="20">
        <f t="shared" ca="1" si="10"/>
        <v>1.5217391304347827E-2</v>
      </c>
      <c r="J320" s="8">
        <f ca="1">'TikTok Ads Raw Data'!E320</f>
        <v>21</v>
      </c>
      <c r="K320" s="9">
        <f t="shared" ca="1" si="11"/>
        <v>122.19047619047619</v>
      </c>
      <c r="L320" s="9">
        <f ca="1">'TikTok Ads Raw Data'!F320</f>
        <v>2566</v>
      </c>
    </row>
    <row r="321" spans="1:12" ht="13" x14ac:dyDescent="0.15">
      <c r="A321" s="7">
        <f ca="1">'TikTok Ads Raw Data'!A321</f>
        <v>45977</v>
      </c>
      <c r="B321" s="8">
        <f t="shared" ca="1" si="6"/>
        <v>11</v>
      </c>
      <c r="C321" s="24">
        <f ca="1">'TikTok Ads Raw Data'!B321</f>
        <v>60772</v>
      </c>
      <c r="D321" s="20">
        <f t="shared" ca="1" si="7"/>
        <v>1.2736128480221154E-2</v>
      </c>
      <c r="E321" s="8">
        <f ca="1">'TikTok Ads Raw Data'!C321</f>
        <v>774</v>
      </c>
      <c r="F321" s="9">
        <f t="shared" ca="1" si="8"/>
        <v>0.80749354005167961</v>
      </c>
      <c r="G321" s="9">
        <f t="shared" ca="1" si="9"/>
        <v>10.284341473046798</v>
      </c>
      <c r="H321" s="9">
        <f ca="1">'TikTok Ads Raw Data'!D321</f>
        <v>625</v>
      </c>
      <c r="I321" s="20">
        <f t="shared" ca="1" si="10"/>
        <v>1.8087855297157621E-2</v>
      </c>
      <c r="J321" s="8">
        <f ca="1">'TikTok Ads Raw Data'!E321</f>
        <v>14</v>
      </c>
      <c r="K321" s="9">
        <f t="shared" ca="1" si="11"/>
        <v>154.85714285714286</v>
      </c>
      <c r="L321" s="9">
        <f ca="1">'TikTok Ads Raw Data'!F321</f>
        <v>2168</v>
      </c>
    </row>
    <row r="322" spans="1:12" ht="13" x14ac:dyDescent="0.15">
      <c r="A322" s="7">
        <f ca="1">'TikTok Ads Raw Data'!A322</f>
        <v>45978</v>
      </c>
      <c r="B322" s="8">
        <f t="shared" ca="1" si="6"/>
        <v>11</v>
      </c>
      <c r="C322" s="24">
        <f ca="1">'TikTok Ads Raw Data'!B322</f>
        <v>75895</v>
      </c>
      <c r="D322" s="20">
        <f t="shared" ca="1" si="7"/>
        <v>3.0305026681599578E-2</v>
      </c>
      <c r="E322" s="8">
        <f ca="1">'TikTok Ads Raw Data'!C322</f>
        <v>2300</v>
      </c>
      <c r="F322" s="9">
        <f t="shared" ca="1" si="8"/>
        <v>0.89913043478260868</v>
      </c>
      <c r="G322" s="9">
        <f t="shared" ca="1" si="9"/>
        <v>27.248171816325186</v>
      </c>
      <c r="H322" s="9">
        <f ca="1">'TikTok Ads Raw Data'!D322</f>
        <v>2068</v>
      </c>
      <c r="I322" s="20">
        <f t="shared" ca="1" si="10"/>
        <v>2.6086956521739129E-2</v>
      </c>
      <c r="J322" s="8">
        <f ca="1">'TikTok Ads Raw Data'!E322</f>
        <v>60</v>
      </c>
      <c r="K322" s="9">
        <f t="shared" ca="1" si="11"/>
        <v>156.81666666666666</v>
      </c>
      <c r="L322" s="9">
        <f ca="1">'TikTok Ads Raw Data'!F322</f>
        <v>9409</v>
      </c>
    </row>
    <row r="323" spans="1:12" ht="13" x14ac:dyDescent="0.15">
      <c r="A323" s="7">
        <f ca="1">'TikTok Ads Raw Data'!A323</f>
        <v>45979</v>
      </c>
      <c r="B323" s="8">
        <f t="shared" ca="1" si="6"/>
        <v>11</v>
      </c>
      <c r="C323" s="24">
        <f ca="1">'TikTok Ads Raw Data'!B323</f>
        <v>85574</v>
      </c>
      <c r="D323" s="20">
        <f t="shared" ca="1" si="7"/>
        <v>1.6126393530745319E-2</v>
      </c>
      <c r="E323" s="8">
        <f ca="1">'TikTok Ads Raw Data'!C323</f>
        <v>1380</v>
      </c>
      <c r="F323" s="9">
        <f t="shared" ca="1" si="8"/>
        <v>0.86449275362318845</v>
      </c>
      <c r="G323" s="9">
        <f t="shared" ca="1" si="9"/>
        <v>13.941150349405193</v>
      </c>
      <c r="H323" s="9">
        <f ca="1">'TikTok Ads Raw Data'!D323</f>
        <v>1193</v>
      </c>
      <c r="I323" s="20">
        <f t="shared" ca="1" si="10"/>
        <v>2.0289855072463767E-2</v>
      </c>
      <c r="J323" s="8">
        <f ca="1">'TikTok Ads Raw Data'!E323</f>
        <v>28</v>
      </c>
      <c r="K323" s="9">
        <f t="shared" ca="1" si="11"/>
        <v>179.25</v>
      </c>
      <c r="L323" s="9">
        <f ca="1">'TikTok Ads Raw Data'!F323</f>
        <v>5019</v>
      </c>
    </row>
    <row r="324" spans="1:12" ht="13" x14ac:dyDescent="0.15">
      <c r="A324" s="7">
        <f ca="1">'TikTok Ads Raw Data'!A324</f>
        <v>45980</v>
      </c>
      <c r="B324" s="8">
        <f t="shared" ca="1" si="6"/>
        <v>11</v>
      </c>
      <c r="C324" s="24">
        <f ca="1">'TikTok Ads Raw Data'!B324</f>
        <v>71516</v>
      </c>
      <c r="D324" s="20">
        <f t="shared" ca="1" si="7"/>
        <v>1.132613680854634E-2</v>
      </c>
      <c r="E324" s="8">
        <f ca="1">'TikTok Ads Raw Data'!C324</f>
        <v>810</v>
      </c>
      <c r="F324" s="9">
        <f t="shared" ca="1" si="8"/>
        <v>1.3629629629629629</v>
      </c>
      <c r="G324" s="9">
        <f t="shared" ca="1" si="9"/>
        <v>15.437104983500195</v>
      </c>
      <c r="H324" s="9">
        <f ca="1">'TikTok Ads Raw Data'!D324</f>
        <v>1104</v>
      </c>
      <c r="I324" s="20">
        <f t="shared" ca="1" si="10"/>
        <v>1.6049382716049384E-2</v>
      </c>
      <c r="J324" s="8">
        <f ca="1">'TikTok Ads Raw Data'!E324</f>
        <v>13</v>
      </c>
      <c r="K324" s="9">
        <f t="shared" ca="1" si="11"/>
        <v>153.53846153846155</v>
      </c>
      <c r="L324" s="9">
        <f ca="1">'TikTok Ads Raw Data'!F324</f>
        <v>1996</v>
      </c>
    </row>
    <row r="325" spans="1:12" ht="13" x14ac:dyDescent="0.15">
      <c r="A325" s="7">
        <f ca="1">'TikTok Ads Raw Data'!A325</f>
        <v>45981</v>
      </c>
      <c r="B325" s="8">
        <f t="shared" ca="1" si="6"/>
        <v>11</v>
      </c>
      <c r="C325" s="24">
        <f ca="1">'TikTok Ads Raw Data'!B325</f>
        <v>93071</v>
      </c>
      <c r="D325" s="20">
        <f t="shared" ca="1" si="7"/>
        <v>1.8824338408311932E-2</v>
      </c>
      <c r="E325" s="8">
        <f ca="1">'TikTok Ads Raw Data'!C325</f>
        <v>1752</v>
      </c>
      <c r="F325" s="9">
        <f t="shared" ca="1" si="8"/>
        <v>0.78196347031963476</v>
      </c>
      <c r="G325" s="9">
        <f t="shared" ca="1" si="9"/>
        <v>14.719944988234788</v>
      </c>
      <c r="H325" s="9">
        <f ca="1">'TikTok Ads Raw Data'!D325</f>
        <v>1370</v>
      </c>
      <c r="I325" s="20">
        <f t="shared" ca="1" si="10"/>
        <v>2.4543378995433789E-2</v>
      </c>
      <c r="J325" s="8">
        <f ca="1">'TikTok Ads Raw Data'!E325</f>
        <v>43</v>
      </c>
      <c r="K325" s="9">
        <f t="shared" ca="1" si="11"/>
        <v>174.27906976744185</v>
      </c>
      <c r="L325" s="9">
        <f ca="1">'TikTok Ads Raw Data'!F325</f>
        <v>7494</v>
      </c>
    </row>
    <row r="326" spans="1:12" ht="13" x14ac:dyDescent="0.15">
      <c r="A326" s="7">
        <f ca="1">'TikTok Ads Raw Data'!A326</f>
        <v>45982</v>
      </c>
      <c r="B326" s="8">
        <f t="shared" ca="1" si="6"/>
        <v>11</v>
      </c>
      <c r="C326" s="24">
        <f ca="1">'TikTok Ads Raw Data'!B326</f>
        <v>34577</v>
      </c>
      <c r="D326" s="20">
        <f t="shared" ca="1" si="7"/>
        <v>1.0266940451745379E-2</v>
      </c>
      <c r="E326" s="8">
        <f ca="1">'TikTok Ads Raw Data'!C326</f>
        <v>355</v>
      </c>
      <c r="F326" s="9">
        <f t="shared" ca="1" si="8"/>
        <v>0.9943661971830986</v>
      </c>
      <c r="G326" s="9">
        <f t="shared" ca="1" si="9"/>
        <v>10.209098533707378</v>
      </c>
      <c r="H326" s="9">
        <f ca="1">'TikTok Ads Raw Data'!D326</f>
        <v>353</v>
      </c>
      <c r="I326" s="20">
        <f t="shared" ca="1" si="10"/>
        <v>1.9718309859154931E-2</v>
      </c>
      <c r="J326" s="8">
        <f ca="1">'TikTok Ads Raw Data'!E326</f>
        <v>7</v>
      </c>
      <c r="K326" s="9">
        <f t="shared" ca="1" si="11"/>
        <v>234.14285714285714</v>
      </c>
      <c r="L326" s="9">
        <f ca="1">'TikTok Ads Raw Data'!F326</f>
        <v>1639</v>
      </c>
    </row>
    <row r="327" spans="1:12" ht="13" x14ac:dyDescent="0.15">
      <c r="A327" s="7">
        <f ca="1">'TikTok Ads Raw Data'!A327</f>
        <v>45983</v>
      </c>
      <c r="B327" s="8">
        <f t="shared" ca="1" si="6"/>
        <v>11</v>
      </c>
      <c r="C327" s="24">
        <f ca="1">'TikTok Ads Raw Data'!B327</f>
        <v>107430</v>
      </c>
      <c r="D327" s="20">
        <f t="shared" ca="1" si="7"/>
        <v>2.9172484408452014E-2</v>
      </c>
      <c r="E327" s="8">
        <f ca="1">'TikTok Ads Raw Data'!C327</f>
        <v>3134</v>
      </c>
      <c r="F327" s="9">
        <f t="shared" ca="1" si="8"/>
        <v>0.84556477345245695</v>
      </c>
      <c r="G327" s="9">
        <f t="shared" ca="1" si="9"/>
        <v>24.667225169878058</v>
      </c>
      <c r="H327" s="9">
        <f ca="1">'TikTok Ads Raw Data'!D327</f>
        <v>2650</v>
      </c>
      <c r="I327" s="20">
        <f t="shared" ca="1" si="10"/>
        <v>1.244416081684748E-2</v>
      </c>
      <c r="J327" s="8">
        <f ca="1">'TikTok Ads Raw Data'!E327</f>
        <v>39</v>
      </c>
      <c r="K327" s="9">
        <f t="shared" ca="1" si="11"/>
        <v>137.97435897435898</v>
      </c>
      <c r="L327" s="9">
        <f ca="1">'TikTok Ads Raw Data'!F327</f>
        <v>5381</v>
      </c>
    </row>
    <row r="328" spans="1:12" ht="13" x14ac:dyDescent="0.15">
      <c r="A328" s="7">
        <f ca="1">'TikTok Ads Raw Data'!A328</f>
        <v>45984</v>
      </c>
      <c r="B328" s="8">
        <f t="shared" ca="1" si="6"/>
        <v>11</v>
      </c>
      <c r="C328" s="24">
        <f ca="1">'TikTok Ads Raw Data'!B328</f>
        <v>68697</v>
      </c>
      <c r="D328" s="20">
        <f t="shared" ca="1" si="7"/>
        <v>1.5037046741487984E-2</v>
      </c>
      <c r="E328" s="8">
        <f ca="1">'TikTok Ads Raw Data'!C328</f>
        <v>1033</v>
      </c>
      <c r="F328" s="9">
        <f t="shared" ca="1" si="8"/>
        <v>0.97483059051306875</v>
      </c>
      <c r="G328" s="9">
        <f t="shared" ca="1" si="9"/>
        <v>14.658573154577347</v>
      </c>
      <c r="H328" s="9">
        <f ca="1">'TikTok Ads Raw Data'!D328</f>
        <v>1007</v>
      </c>
      <c r="I328" s="20">
        <f t="shared" ca="1" si="10"/>
        <v>1.0648596321393998E-2</v>
      </c>
      <c r="J328" s="8">
        <f ca="1">'TikTok Ads Raw Data'!E328</f>
        <v>11</v>
      </c>
      <c r="K328" s="9">
        <f t="shared" ca="1" si="11"/>
        <v>210</v>
      </c>
      <c r="L328" s="9">
        <f ca="1">'TikTok Ads Raw Data'!F328</f>
        <v>2310</v>
      </c>
    </row>
    <row r="329" spans="1:12" ht="13" x14ac:dyDescent="0.15">
      <c r="A329" s="7">
        <f ca="1">'TikTok Ads Raw Data'!A329</f>
        <v>45985</v>
      </c>
      <c r="B329" s="8">
        <f t="shared" ca="1" si="6"/>
        <v>11</v>
      </c>
      <c r="C329" s="24">
        <f ca="1">'TikTok Ads Raw Data'!B329</f>
        <v>62015</v>
      </c>
      <c r="D329" s="20">
        <f t="shared" ca="1" si="7"/>
        <v>1.6447633637023302E-2</v>
      </c>
      <c r="E329" s="8">
        <f ca="1">'TikTok Ads Raw Data'!C329</f>
        <v>1020</v>
      </c>
      <c r="F329" s="9">
        <f t="shared" ca="1" si="8"/>
        <v>0.86764705882352944</v>
      </c>
      <c r="G329" s="9">
        <f t="shared" ca="1" si="9"/>
        <v>14.270740949770216</v>
      </c>
      <c r="H329" s="9">
        <f ca="1">'TikTok Ads Raw Data'!D329</f>
        <v>885</v>
      </c>
      <c r="I329" s="20">
        <f t="shared" ca="1" si="10"/>
        <v>1.1764705882352941E-2</v>
      </c>
      <c r="J329" s="8">
        <f ca="1">'TikTok Ads Raw Data'!E329</f>
        <v>12</v>
      </c>
      <c r="K329" s="9">
        <f t="shared" ca="1" si="11"/>
        <v>159.25</v>
      </c>
      <c r="L329" s="9">
        <f ca="1">'TikTok Ads Raw Data'!F329</f>
        <v>1911</v>
      </c>
    </row>
    <row r="330" spans="1:12" ht="13" x14ac:dyDescent="0.15">
      <c r="A330" s="7">
        <f ca="1">'TikTok Ads Raw Data'!A330</f>
        <v>45986</v>
      </c>
      <c r="B330" s="8">
        <f t="shared" ca="1" si="6"/>
        <v>11</v>
      </c>
      <c r="C330" s="24">
        <f ca="1">'TikTok Ads Raw Data'!B330</f>
        <v>26230</v>
      </c>
      <c r="D330" s="20">
        <f t="shared" ca="1" si="7"/>
        <v>1.1284788410217308E-2</v>
      </c>
      <c r="E330" s="8">
        <f ca="1">'TikTok Ads Raw Data'!C330</f>
        <v>296</v>
      </c>
      <c r="F330" s="9">
        <f t="shared" ca="1" si="8"/>
        <v>0.93581081081081086</v>
      </c>
      <c r="G330" s="9">
        <f t="shared" ca="1" si="9"/>
        <v>10.5604269919939</v>
      </c>
      <c r="H330" s="9">
        <f ca="1">'TikTok Ads Raw Data'!D330</f>
        <v>277</v>
      </c>
      <c r="I330" s="20">
        <f t="shared" ca="1" si="10"/>
        <v>1.0135135135135136E-2</v>
      </c>
      <c r="J330" s="8">
        <f ca="1">'TikTok Ads Raw Data'!E330</f>
        <v>3</v>
      </c>
      <c r="K330" s="9">
        <f t="shared" ca="1" si="11"/>
        <v>233.33333333333334</v>
      </c>
      <c r="L330" s="9">
        <f ca="1">'TikTok Ads Raw Data'!F330</f>
        <v>700</v>
      </c>
    </row>
    <row r="331" spans="1:12" ht="13" x14ac:dyDescent="0.15">
      <c r="A331" s="7">
        <f ca="1">'TikTok Ads Raw Data'!A331</f>
        <v>45987</v>
      </c>
      <c r="B331" s="8">
        <f t="shared" ca="1" si="6"/>
        <v>11</v>
      </c>
      <c r="C331" s="24">
        <f ca="1">'TikTok Ads Raw Data'!B331</f>
        <v>28554</v>
      </c>
      <c r="D331" s="20">
        <f t="shared" ca="1" si="7"/>
        <v>8.1249562232962105E-3</v>
      </c>
      <c r="E331" s="8">
        <f ca="1">'TikTok Ads Raw Data'!C331</f>
        <v>232</v>
      </c>
      <c r="F331" s="9">
        <f t="shared" ca="1" si="8"/>
        <v>1.0301724137931034</v>
      </c>
      <c r="G331" s="9">
        <f t="shared" ca="1" si="9"/>
        <v>8.3701057645163548</v>
      </c>
      <c r="H331" s="9">
        <f ca="1">'TikTok Ads Raw Data'!D331</f>
        <v>239</v>
      </c>
      <c r="I331" s="20">
        <f t="shared" ca="1" si="10"/>
        <v>1.2931034482758621E-2</v>
      </c>
      <c r="J331" s="8">
        <f ca="1">'TikTok Ads Raw Data'!E331</f>
        <v>3</v>
      </c>
      <c r="K331" s="9">
        <f t="shared" ca="1" si="11"/>
        <v>182.66666666666666</v>
      </c>
      <c r="L331" s="9">
        <f ca="1">'TikTok Ads Raw Data'!F331</f>
        <v>548</v>
      </c>
    </row>
    <row r="332" spans="1:12" ht="13" x14ac:dyDescent="0.15">
      <c r="A332" s="7">
        <f ca="1">'TikTok Ads Raw Data'!A332</f>
        <v>45988</v>
      </c>
      <c r="B332" s="8">
        <f t="shared" ca="1" si="6"/>
        <v>11</v>
      </c>
      <c r="C332" s="24">
        <f ca="1">'TikTok Ads Raw Data'!B332</f>
        <v>22922</v>
      </c>
      <c r="D332" s="20">
        <f t="shared" ca="1" si="7"/>
        <v>1.4091266032632405E-2</v>
      </c>
      <c r="E332" s="8">
        <f ca="1">'TikTok Ads Raw Data'!C332</f>
        <v>323</v>
      </c>
      <c r="F332" s="9">
        <f t="shared" ca="1" si="8"/>
        <v>1.0185758513931888</v>
      </c>
      <c r="G332" s="9">
        <f t="shared" ca="1" si="9"/>
        <v>14.353023296396474</v>
      </c>
      <c r="H332" s="9">
        <f ca="1">'TikTok Ads Raw Data'!D332</f>
        <v>329</v>
      </c>
      <c r="I332" s="20">
        <f t="shared" ca="1" si="10"/>
        <v>9.2879256965944269E-3</v>
      </c>
      <c r="J332" s="8">
        <f ca="1">'TikTok Ads Raw Data'!E332</f>
        <v>3</v>
      </c>
      <c r="K332" s="9">
        <f t="shared" ca="1" si="11"/>
        <v>242.33333333333334</v>
      </c>
      <c r="L332" s="9">
        <f ca="1">'TikTok Ads Raw Data'!F332</f>
        <v>727</v>
      </c>
    </row>
    <row r="333" spans="1:12" ht="13" x14ac:dyDescent="0.15">
      <c r="A333" s="7">
        <f ca="1">'TikTok Ads Raw Data'!A333</f>
        <v>45989</v>
      </c>
      <c r="B333" s="8">
        <f t="shared" ca="1" si="6"/>
        <v>11</v>
      </c>
      <c r="C333" s="24">
        <f ca="1">'TikTok Ads Raw Data'!B333</f>
        <v>96010</v>
      </c>
      <c r="D333" s="20">
        <f t="shared" ca="1" si="7"/>
        <v>2.6059785439016769E-2</v>
      </c>
      <c r="E333" s="8">
        <f ca="1">'TikTok Ads Raw Data'!C333</f>
        <v>2502</v>
      </c>
      <c r="F333" s="9">
        <f t="shared" ca="1" si="8"/>
        <v>1.0707434052757794</v>
      </c>
      <c r="G333" s="9">
        <f t="shared" ca="1" si="9"/>
        <v>27.903343401728986</v>
      </c>
      <c r="H333" s="9">
        <f ca="1">'TikTok Ads Raw Data'!D333</f>
        <v>2679</v>
      </c>
      <c r="I333" s="20">
        <f t="shared" ca="1" si="10"/>
        <v>1.1990407673860911E-2</v>
      </c>
      <c r="J333" s="8">
        <f ca="1">'TikTok Ads Raw Data'!E333</f>
        <v>30</v>
      </c>
      <c r="K333" s="9">
        <f t="shared" ca="1" si="11"/>
        <v>114</v>
      </c>
      <c r="L333" s="9">
        <f ca="1">'TikTok Ads Raw Data'!F333</f>
        <v>3420</v>
      </c>
    </row>
    <row r="334" spans="1:12" ht="13" x14ac:dyDescent="0.15">
      <c r="A334" s="7">
        <f ca="1">'TikTok Ads Raw Data'!A334</f>
        <v>45990</v>
      </c>
      <c r="B334" s="8">
        <f t="shared" ca="1" si="6"/>
        <v>11</v>
      </c>
      <c r="C334" s="24">
        <f ca="1">'TikTok Ads Raw Data'!B334</f>
        <v>38758</v>
      </c>
      <c r="D334" s="20">
        <f t="shared" ca="1" si="7"/>
        <v>2.1982558439547963E-2</v>
      </c>
      <c r="E334" s="8">
        <f ca="1">'TikTok Ads Raw Data'!C334</f>
        <v>852</v>
      </c>
      <c r="F334" s="9">
        <f t="shared" ca="1" si="8"/>
        <v>1.0492957746478873</v>
      </c>
      <c r="G334" s="9">
        <f t="shared" ca="1" si="9"/>
        <v>23.066205686567933</v>
      </c>
      <c r="H334" s="9">
        <f ca="1">'TikTok Ads Raw Data'!D334</f>
        <v>894</v>
      </c>
      <c r="I334" s="20">
        <f t="shared" ca="1" si="10"/>
        <v>1.4084507042253521E-2</v>
      </c>
      <c r="J334" s="8">
        <f ca="1">'TikTok Ads Raw Data'!E334</f>
        <v>12</v>
      </c>
      <c r="K334" s="9">
        <f t="shared" ca="1" si="11"/>
        <v>206.58333333333334</v>
      </c>
      <c r="L334" s="9">
        <f ca="1">'TikTok Ads Raw Data'!F334</f>
        <v>2479</v>
      </c>
    </row>
    <row r="335" spans="1:12" ht="13" x14ac:dyDescent="0.15">
      <c r="A335" s="7">
        <f ca="1">'TikTok Ads Raw Data'!A335</f>
        <v>45991</v>
      </c>
      <c r="B335" s="8">
        <f t="shared" ca="1" si="6"/>
        <v>11</v>
      </c>
      <c r="C335" s="24">
        <f ca="1">'TikTok Ads Raw Data'!B335</f>
        <v>45666</v>
      </c>
      <c r="D335" s="20">
        <f t="shared" ca="1" si="7"/>
        <v>2.7241273595234965E-2</v>
      </c>
      <c r="E335" s="8">
        <f ca="1">'TikTok Ads Raw Data'!C335</f>
        <v>1244</v>
      </c>
      <c r="F335" s="9">
        <f t="shared" ca="1" si="8"/>
        <v>0.95418006430868163</v>
      </c>
      <c r="G335" s="9">
        <f t="shared" ca="1" si="9"/>
        <v>25.993080190951694</v>
      </c>
      <c r="H335" s="9">
        <f ca="1">'TikTok Ads Raw Data'!D335</f>
        <v>1187</v>
      </c>
      <c r="I335" s="20">
        <f t="shared" ca="1" si="10"/>
        <v>1.607717041800643E-2</v>
      </c>
      <c r="J335" s="8">
        <f ca="1">'TikTok Ads Raw Data'!E335</f>
        <v>20</v>
      </c>
      <c r="K335" s="9">
        <f t="shared" ca="1" si="11"/>
        <v>195.15</v>
      </c>
      <c r="L335" s="9">
        <f ca="1">'TikTok Ads Raw Data'!F335</f>
        <v>3903</v>
      </c>
    </row>
    <row r="336" spans="1:12" ht="13" x14ac:dyDescent="0.15">
      <c r="A336" s="7">
        <f ca="1">'TikTok Ads Raw Data'!A336</f>
        <v>45992</v>
      </c>
      <c r="B336" s="8">
        <f t="shared" ca="1" si="6"/>
        <v>12</v>
      </c>
      <c r="C336" s="24">
        <f ca="1">'TikTok Ads Raw Data'!B336</f>
        <v>75919</v>
      </c>
      <c r="D336" s="20">
        <f t="shared" ca="1" si="7"/>
        <v>2.763471594725958E-2</v>
      </c>
      <c r="E336" s="8">
        <f ca="1">'TikTok Ads Raw Data'!C336</f>
        <v>2098</v>
      </c>
      <c r="F336" s="9">
        <f t="shared" ca="1" si="8"/>
        <v>1.1525262154432794</v>
      </c>
      <c r="G336" s="9">
        <f t="shared" ca="1" si="9"/>
        <v>31.849734585545121</v>
      </c>
      <c r="H336" s="9">
        <f ca="1">'TikTok Ads Raw Data'!D336</f>
        <v>2418</v>
      </c>
      <c r="I336" s="20">
        <f t="shared" ca="1" si="10"/>
        <v>1.7635843660629171E-2</v>
      </c>
      <c r="J336" s="8">
        <f ca="1">'TikTok Ads Raw Data'!E336</f>
        <v>37</v>
      </c>
      <c r="K336" s="9">
        <f t="shared" ca="1" si="11"/>
        <v>154.37837837837839</v>
      </c>
      <c r="L336" s="9">
        <f ca="1">'TikTok Ads Raw Data'!F336</f>
        <v>5712</v>
      </c>
    </row>
    <row r="337" spans="1:12" ht="13" x14ac:dyDescent="0.15">
      <c r="A337" s="7">
        <f ca="1">'TikTok Ads Raw Data'!A337</f>
        <v>45993</v>
      </c>
      <c r="B337" s="8">
        <f t="shared" ca="1" si="6"/>
        <v>12</v>
      </c>
      <c r="C337" s="24">
        <f ca="1">'TikTok Ads Raw Data'!B337</f>
        <v>78510</v>
      </c>
      <c r="D337" s="20">
        <f t="shared" ca="1" si="7"/>
        <v>2.0557890714558654E-2</v>
      </c>
      <c r="E337" s="8">
        <f ca="1">'TikTok Ads Raw Data'!C337</f>
        <v>1614</v>
      </c>
      <c r="F337" s="9">
        <f t="shared" ca="1" si="8"/>
        <v>1.2775712515489468</v>
      </c>
      <c r="G337" s="9">
        <f t="shared" ca="1" si="9"/>
        <v>26.264170169405169</v>
      </c>
      <c r="H337" s="9">
        <f ca="1">'TikTok Ads Raw Data'!D337</f>
        <v>2062</v>
      </c>
      <c r="I337" s="20">
        <f t="shared" ca="1" si="10"/>
        <v>2.6641883519206939E-2</v>
      </c>
      <c r="J337" s="8">
        <f ca="1">'TikTok Ads Raw Data'!E337</f>
        <v>43</v>
      </c>
      <c r="K337" s="9">
        <f t="shared" ca="1" si="11"/>
        <v>161.02325581395348</v>
      </c>
      <c r="L337" s="9">
        <f ca="1">'TikTok Ads Raw Data'!F337</f>
        <v>6924</v>
      </c>
    </row>
    <row r="338" spans="1:12" ht="13" x14ac:dyDescent="0.15">
      <c r="A338" s="7">
        <f ca="1">'TikTok Ads Raw Data'!A338</f>
        <v>45994</v>
      </c>
      <c r="B338" s="8">
        <f t="shared" ca="1" si="6"/>
        <v>12</v>
      </c>
      <c r="C338" s="24">
        <f ca="1">'TikTok Ads Raw Data'!B338</f>
        <v>55276</v>
      </c>
      <c r="D338" s="20">
        <f t="shared" ca="1" si="7"/>
        <v>1.1704899052029814E-2</v>
      </c>
      <c r="E338" s="8">
        <f ca="1">'TikTok Ads Raw Data'!C338</f>
        <v>647</v>
      </c>
      <c r="F338" s="9">
        <f t="shared" ca="1" si="8"/>
        <v>1.5734157650695517</v>
      </c>
      <c r="G338" s="9">
        <f t="shared" ca="1" si="9"/>
        <v>18.416672697011361</v>
      </c>
      <c r="H338" s="9">
        <f ca="1">'TikTok Ads Raw Data'!D338</f>
        <v>1018</v>
      </c>
      <c r="I338" s="20">
        <f t="shared" ca="1" si="10"/>
        <v>2.1638330757341576E-2</v>
      </c>
      <c r="J338" s="8">
        <f ca="1">'TikTok Ads Raw Data'!E338</f>
        <v>14</v>
      </c>
      <c r="K338" s="9">
        <f t="shared" ca="1" si="11"/>
        <v>203.71428571428572</v>
      </c>
      <c r="L338" s="9">
        <f ca="1">'TikTok Ads Raw Data'!F338</f>
        <v>2852</v>
      </c>
    </row>
    <row r="339" spans="1:12" ht="13" x14ac:dyDescent="0.15">
      <c r="A339" s="7">
        <f ca="1">'TikTok Ads Raw Data'!A339</f>
        <v>45995</v>
      </c>
      <c r="B339" s="8">
        <f t="shared" ca="1" si="6"/>
        <v>12</v>
      </c>
      <c r="C339" s="24">
        <f ca="1">'TikTok Ads Raw Data'!B339</f>
        <v>92609</v>
      </c>
      <c r="D339" s="20">
        <f t="shared" ca="1" si="7"/>
        <v>2.6217754213953288E-2</v>
      </c>
      <c r="E339" s="8">
        <f ca="1">'TikTok Ads Raw Data'!C339</f>
        <v>2428</v>
      </c>
      <c r="F339" s="9">
        <f t="shared" ca="1" si="8"/>
        <v>1.60667215815486</v>
      </c>
      <c r="G339" s="9">
        <f t="shared" ca="1" si="9"/>
        <v>42.123335744906008</v>
      </c>
      <c r="H339" s="9">
        <f ca="1">'TikTok Ads Raw Data'!D339</f>
        <v>3901</v>
      </c>
      <c r="I339" s="20">
        <f t="shared" ca="1" si="10"/>
        <v>3.3360790774299834E-2</v>
      </c>
      <c r="J339" s="8">
        <f ca="1">'TikTok Ads Raw Data'!E339</f>
        <v>81</v>
      </c>
      <c r="K339" s="9">
        <f t="shared" ca="1" si="11"/>
        <v>143.1358024691358</v>
      </c>
      <c r="L339" s="9">
        <f ca="1">'TikTok Ads Raw Data'!F339</f>
        <v>11594</v>
      </c>
    </row>
    <row r="340" spans="1:12" ht="13" x14ac:dyDescent="0.15">
      <c r="A340" s="7">
        <f ca="1">'TikTok Ads Raw Data'!A340</f>
        <v>45996</v>
      </c>
      <c r="B340" s="8">
        <f t="shared" ca="1" si="6"/>
        <v>12</v>
      </c>
      <c r="C340" s="24">
        <f ca="1">'TikTok Ads Raw Data'!B340</f>
        <v>66369</v>
      </c>
      <c r="D340" s="20">
        <f t="shared" ca="1" si="7"/>
        <v>1.107444740767527E-2</v>
      </c>
      <c r="E340" s="8">
        <f ca="1">'TikTok Ads Raw Data'!C340</f>
        <v>735</v>
      </c>
      <c r="F340" s="9">
        <f t="shared" ca="1" si="8"/>
        <v>1.3537414965986394</v>
      </c>
      <c r="G340" s="9">
        <f t="shared" ca="1" si="9"/>
        <v>14.991939007669243</v>
      </c>
      <c r="H340" s="9">
        <f ca="1">'TikTok Ads Raw Data'!D340</f>
        <v>995</v>
      </c>
      <c r="I340" s="20">
        <f t="shared" ca="1" si="10"/>
        <v>3.2653061224489799E-2</v>
      </c>
      <c r="J340" s="8">
        <f ca="1">'TikTok Ads Raw Data'!E340</f>
        <v>24</v>
      </c>
      <c r="K340" s="9">
        <f t="shared" ca="1" si="11"/>
        <v>101.5</v>
      </c>
      <c r="L340" s="9">
        <f ca="1">'TikTok Ads Raw Data'!F340</f>
        <v>2436</v>
      </c>
    </row>
    <row r="341" spans="1:12" ht="13" x14ac:dyDescent="0.15">
      <c r="A341" s="7">
        <f ca="1">'TikTok Ads Raw Data'!A341</f>
        <v>45997</v>
      </c>
      <c r="B341" s="8">
        <f t="shared" ca="1" si="6"/>
        <v>12</v>
      </c>
      <c r="C341" s="24">
        <f ca="1">'TikTok Ads Raw Data'!B341</f>
        <v>50905</v>
      </c>
      <c r="D341" s="20">
        <f t="shared" ca="1" si="7"/>
        <v>3.1057852863176506E-2</v>
      </c>
      <c r="E341" s="8">
        <f ca="1">'TikTok Ads Raw Data'!C341</f>
        <v>1581</v>
      </c>
      <c r="F341" s="9">
        <f t="shared" ca="1" si="8"/>
        <v>1.4800759013282732</v>
      </c>
      <c r="G341" s="9">
        <f t="shared" ca="1" si="9"/>
        <v>45.967979569786856</v>
      </c>
      <c r="H341" s="9">
        <f ca="1">'TikTok Ads Raw Data'!D341</f>
        <v>2340</v>
      </c>
      <c r="I341" s="20">
        <f t="shared" ca="1" si="10"/>
        <v>1.8975332068311195E-2</v>
      </c>
      <c r="J341" s="8">
        <f ca="1">'TikTok Ads Raw Data'!E341</f>
        <v>30</v>
      </c>
      <c r="K341" s="9">
        <f t="shared" ca="1" si="11"/>
        <v>136.06666666666666</v>
      </c>
      <c r="L341" s="9">
        <f ca="1">'TikTok Ads Raw Data'!F341</f>
        <v>4082</v>
      </c>
    </row>
    <row r="342" spans="1:12" ht="13" x14ac:dyDescent="0.15">
      <c r="A342" s="7">
        <f ca="1">'TikTok Ads Raw Data'!A342</f>
        <v>45998</v>
      </c>
      <c r="B342" s="8">
        <f t="shared" ca="1" si="6"/>
        <v>12</v>
      </c>
      <c r="C342" s="24">
        <f ca="1">'TikTok Ads Raw Data'!B342</f>
        <v>61287</v>
      </c>
      <c r="D342" s="20">
        <f t="shared" ca="1" si="7"/>
        <v>2.1489059670076853E-2</v>
      </c>
      <c r="E342" s="8">
        <f ca="1">'TikTok Ads Raw Data'!C342</f>
        <v>1317</v>
      </c>
      <c r="F342" s="9">
        <f t="shared" ca="1" si="8"/>
        <v>1.2581624905087319</v>
      </c>
      <c r="G342" s="9">
        <f t="shared" ca="1" si="9"/>
        <v>27.03672883319464</v>
      </c>
      <c r="H342" s="9">
        <f ca="1">'TikTok Ads Raw Data'!D342</f>
        <v>1657</v>
      </c>
      <c r="I342" s="20">
        <f t="shared" ca="1" si="10"/>
        <v>2.8094153378891418E-2</v>
      </c>
      <c r="J342" s="8">
        <f ca="1">'TikTok Ads Raw Data'!E342</f>
        <v>37</v>
      </c>
      <c r="K342" s="9">
        <f t="shared" ca="1" si="11"/>
        <v>128.08108108108109</v>
      </c>
      <c r="L342" s="9">
        <f ca="1">'TikTok Ads Raw Data'!F342</f>
        <v>4739</v>
      </c>
    </row>
    <row r="343" spans="1:12" ht="13" x14ac:dyDescent="0.15">
      <c r="A343" s="7">
        <f ca="1">'TikTok Ads Raw Data'!A343</f>
        <v>45999</v>
      </c>
      <c r="B343" s="8">
        <f t="shared" ca="1" si="6"/>
        <v>12</v>
      </c>
      <c r="C343" s="24">
        <f ca="1">'TikTok Ads Raw Data'!B343</f>
        <v>87758</v>
      </c>
      <c r="D343" s="20">
        <f t="shared" ca="1" si="7"/>
        <v>1.8607990154743726E-2</v>
      </c>
      <c r="E343" s="8">
        <f ca="1">'TikTok Ads Raw Data'!C343</f>
        <v>1633</v>
      </c>
      <c r="F343" s="9">
        <f t="shared" ca="1" si="8"/>
        <v>1.5254133496631965</v>
      </c>
      <c r="G343" s="9">
        <f t="shared" ca="1" si="9"/>
        <v>28.384876592447412</v>
      </c>
      <c r="H343" s="9">
        <f ca="1">'TikTok Ads Raw Data'!D343</f>
        <v>2491</v>
      </c>
      <c r="I343" s="20">
        <f t="shared" ca="1" si="10"/>
        <v>2.2657685241886098E-2</v>
      </c>
      <c r="J343" s="8">
        <f ca="1">'TikTok Ads Raw Data'!E343</f>
        <v>37</v>
      </c>
      <c r="K343" s="9">
        <f t="shared" ca="1" si="11"/>
        <v>173.72972972972974</v>
      </c>
      <c r="L343" s="9">
        <f ca="1">'TikTok Ads Raw Data'!F343</f>
        <v>6428</v>
      </c>
    </row>
    <row r="344" spans="1:12" ht="13" x14ac:dyDescent="0.15">
      <c r="A344" s="7">
        <f ca="1">'TikTok Ads Raw Data'!A344</f>
        <v>46000</v>
      </c>
      <c r="B344" s="8">
        <f t="shared" ca="1" si="6"/>
        <v>12</v>
      </c>
      <c r="C344" s="24">
        <f ca="1">'TikTok Ads Raw Data'!B344</f>
        <v>57427</v>
      </c>
      <c r="D344" s="20">
        <f t="shared" ca="1" si="7"/>
        <v>2.8610235603461785E-2</v>
      </c>
      <c r="E344" s="8">
        <f ca="1">'TikTok Ads Raw Data'!C344</f>
        <v>1643</v>
      </c>
      <c r="F344" s="9">
        <f t="shared" ca="1" si="8"/>
        <v>1.4077906269020086</v>
      </c>
      <c r="G344" s="9">
        <f t="shared" ca="1" si="9"/>
        <v>40.277221516011629</v>
      </c>
      <c r="H344" s="9">
        <f ca="1">'TikTok Ads Raw Data'!D344</f>
        <v>2313</v>
      </c>
      <c r="I344" s="20">
        <f t="shared" ca="1" si="10"/>
        <v>2.9823493609251371E-2</v>
      </c>
      <c r="J344" s="8">
        <f ca="1">'TikTok Ads Raw Data'!E344</f>
        <v>49</v>
      </c>
      <c r="K344" s="9">
        <f t="shared" ca="1" si="11"/>
        <v>103.26530612244898</v>
      </c>
      <c r="L344" s="9">
        <f ca="1">'TikTok Ads Raw Data'!F344</f>
        <v>5060</v>
      </c>
    </row>
    <row r="345" spans="1:12" ht="13" x14ac:dyDescent="0.15">
      <c r="A345" s="7">
        <f ca="1">'TikTok Ads Raw Data'!A345</f>
        <v>46001</v>
      </c>
      <c r="B345" s="8">
        <f t="shared" ca="1" si="6"/>
        <v>12</v>
      </c>
      <c r="C345" s="24">
        <f ca="1">'TikTok Ads Raw Data'!B345</f>
        <v>37906</v>
      </c>
      <c r="D345" s="20">
        <f t="shared" ca="1" si="7"/>
        <v>2.1737983432701946E-2</v>
      </c>
      <c r="E345" s="8">
        <f ca="1">'TikTok Ads Raw Data'!C345</f>
        <v>824</v>
      </c>
      <c r="F345" s="9">
        <f t="shared" ca="1" si="8"/>
        <v>1.5679611650485437</v>
      </c>
      <c r="G345" s="9">
        <f t="shared" ca="1" si="9"/>
        <v>34.084313828945284</v>
      </c>
      <c r="H345" s="9">
        <f ca="1">'TikTok Ads Raw Data'!D345</f>
        <v>1292</v>
      </c>
      <c r="I345" s="20">
        <f t="shared" ca="1" si="10"/>
        <v>1.6990291262135922E-2</v>
      </c>
      <c r="J345" s="8">
        <f ca="1">'TikTok Ads Raw Data'!E345</f>
        <v>14</v>
      </c>
      <c r="K345" s="9">
        <f t="shared" ca="1" si="11"/>
        <v>100.07142857142857</v>
      </c>
      <c r="L345" s="9">
        <f ca="1">'TikTok Ads Raw Data'!F345</f>
        <v>1401</v>
      </c>
    </row>
    <row r="346" spans="1:12" ht="13" x14ac:dyDescent="0.15">
      <c r="A346" s="7">
        <f ca="1">'TikTok Ads Raw Data'!A346</f>
        <v>46002</v>
      </c>
      <c r="B346" s="8">
        <f t="shared" ca="1" si="6"/>
        <v>12</v>
      </c>
      <c r="C346" s="24">
        <f ca="1">'TikTok Ads Raw Data'!B346</f>
        <v>59431</v>
      </c>
      <c r="D346" s="20">
        <f t="shared" ca="1" si="7"/>
        <v>1.2838417660816745E-2</v>
      </c>
      <c r="E346" s="8">
        <f ca="1">'TikTok Ads Raw Data'!C346</f>
        <v>763</v>
      </c>
      <c r="F346" s="9">
        <f t="shared" ca="1" si="8"/>
        <v>1.6369593709043251</v>
      </c>
      <c r="G346" s="9">
        <f t="shared" ca="1" si="9"/>
        <v>21.015968097457556</v>
      </c>
      <c r="H346" s="9">
        <f ca="1">'TikTok Ads Raw Data'!D346</f>
        <v>1249</v>
      </c>
      <c r="I346" s="20">
        <f t="shared" ca="1" si="10"/>
        <v>1.5727391874180863E-2</v>
      </c>
      <c r="J346" s="8">
        <f ca="1">'TikTok Ads Raw Data'!E346</f>
        <v>12</v>
      </c>
      <c r="K346" s="9">
        <f t="shared" ca="1" si="11"/>
        <v>148.25</v>
      </c>
      <c r="L346" s="9">
        <f ca="1">'TikTok Ads Raw Data'!F346</f>
        <v>1779</v>
      </c>
    </row>
    <row r="347" spans="1:12" ht="13" x14ac:dyDescent="0.15">
      <c r="A347" s="7">
        <f ca="1">'TikTok Ads Raw Data'!A347</f>
        <v>46003</v>
      </c>
      <c r="B347" s="8">
        <f t="shared" ca="1" si="6"/>
        <v>12</v>
      </c>
      <c r="C347" s="24">
        <f ca="1">'TikTok Ads Raw Data'!B347</f>
        <v>36557</v>
      </c>
      <c r="D347" s="20">
        <f t="shared" ca="1" si="7"/>
        <v>9.4646716087206286E-3</v>
      </c>
      <c r="E347" s="8">
        <f ca="1">'TikTok Ads Raw Data'!C347</f>
        <v>346</v>
      </c>
      <c r="F347" s="9">
        <f t="shared" ca="1" si="8"/>
        <v>1.4739884393063585</v>
      </c>
      <c r="G347" s="9">
        <f t="shared" ca="1" si="9"/>
        <v>13.950816533085318</v>
      </c>
      <c r="H347" s="9">
        <f ca="1">'TikTok Ads Raw Data'!D347</f>
        <v>510</v>
      </c>
      <c r="I347" s="20">
        <f t="shared" ca="1" si="10"/>
        <v>1.4450867052023121E-2</v>
      </c>
      <c r="J347" s="8">
        <f ca="1">'TikTok Ads Raw Data'!E347</f>
        <v>5</v>
      </c>
      <c r="K347" s="9">
        <f t="shared" ca="1" si="11"/>
        <v>103</v>
      </c>
      <c r="L347" s="9">
        <f ca="1">'TikTok Ads Raw Data'!F347</f>
        <v>515</v>
      </c>
    </row>
    <row r="348" spans="1:12" ht="13" x14ac:dyDescent="0.15">
      <c r="A348" s="7">
        <f ca="1">'TikTok Ads Raw Data'!A348</f>
        <v>46004</v>
      </c>
      <c r="B348" s="8">
        <f t="shared" ca="1" si="6"/>
        <v>12</v>
      </c>
      <c r="C348" s="24">
        <f ca="1">'TikTok Ads Raw Data'!B348</f>
        <v>84272</v>
      </c>
      <c r="D348" s="20">
        <f t="shared" ca="1" si="7"/>
        <v>2.5073571292956141E-2</v>
      </c>
      <c r="E348" s="8">
        <f ca="1">'TikTok Ads Raw Data'!C348</f>
        <v>2113</v>
      </c>
      <c r="F348" s="9">
        <f t="shared" ca="1" si="8"/>
        <v>1.1883577851396119</v>
      </c>
      <c r="G348" s="9">
        <f t="shared" ca="1" si="9"/>
        <v>29.796373647237516</v>
      </c>
      <c r="H348" s="9">
        <f ca="1">'TikTok Ads Raw Data'!D348</f>
        <v>2511</v>
      </c>
      <c r="I348" s="20">
        <f t="shared" ca="1" si="10"/>
        <v>2.7449124467581638E-2</v>
      </c>
      <c r="J348" s="8">
        <f ca="1">'TikTok Ads Raw Data'!E348</f>
        <v>58</v>
      </c>
      <c r="K348" s="9">
        <f t="shared" ca="1" si="11"/>
        <v>102.79310344827586</v>
      </c>
      <c r="L348" s="9">
        <f ca="1">'TikTok Ads Raw Data'!F348</f>
        <v>5962</v>
      </c>
    </row>
    <row r="349" spans="1:12" ht="13" x14ac:dyDescent="0.15">
      <c r="A349" s="7">
        <f ca="1">'TikTok Ads Raw Data'!A349</f>
        <v>46005</v>
      </c>
      <c r="B349" s="8">
        <f t="shared" ca="1" si="6"/>
        <v>12</v>
      </c>
      <c r="C349" s="24">
        <f ca="1">'TikTok Ads Raw Data'!B349</f>
        <v>26243</v>
      </c>
      <c r="D349" s="20">
        <f t="shared" ca="1" si="7"/>
        <v>2.438745570247304E-2</v>
      </c>
      <c r="E349" s="8">
        <f ca="1">'TikTok Ads Raw Data'!C349</f>
        <v>640</v>
      </c>
      <c r="F349" s="9">
        <f t="shared" ca="1" si="8"/>
        <v>1.6640625</v>
      </c>
      <c r="G349" s="9">
        <f t="shared" ca="1" si="9"/>
        <v>40.58225050489655</v>
      </c>
      <c r="H349" s="9">
        <f ca="1">'TikTok Ads Raw Data'!D349</f>
        <v>1065</v>
      </c>
      <c r="I349" s="20">
        <f t="shared" ca="1" si="10"/>
        <v>2.0312500000000001E-2</v>
      </c>
      <c r="J349" s="8">
        <f ca="1">'TikTok Ads Raw Data'!E349</f>
        <v>13</v>
      </c>
      <c r="K349" s="9">
        <f t="shared" ca="1" si="11"/>
        <v>170.53846153846155</v>
      </c>
      <c r="L349" s="9">
        <f ca="1">'TikTok Ads Raw Data'!F349</f>
        <v>2217</v>
      </c>
    </row>
    <row r="350" spans="1:12" ht="13" x14ac:dyDescent="0.15">
      <c r="A350" s="7">
        <f ca="1">'TikTok Ads Raw Data'!A350</f>
        <v>46006</v>
      </c>
      <c r="B350" s="8">
        <f t="shared" ca="1" si="6"/>
        <v>12</v>
      </c>
      <c r="C350" s="24">
        <f ca="1">'TikTok Ads Raw Data'!B350</f>
        <v>86600</v>
      </c>
      <c r="D350" s="20">
        <f t="shared" ca="1" si="7"/>
        <v>3.1628175519630486E-2</v>
      </c>
      <c r="E350" s="8">
        <f ca="1">'TikTok Ads Raw Data'!C350</f>
        <v>2739</v>
      </c>
      <c r="F350" s="9">
        <f t="shared" ca="1" si="8"/>
        <v>1.3840817816721431</v>
      </c>
      <c r="G350" s="9">
        <f t="shared" ca="1" si="9"/>
        <v>43.775981524249424</v>
      </c>
      <c r="H350" s="9">
        <f ca="1">'TikTok Ads Raw Data'!D350</f>
        <v>3791</v>
      </c>
      <c r="I350" s="20">
        <f t="shared" ca="1" si="10"/>
        <v>2.8842643300474625E-2</v>
      </c>
      <c r="J350" s="8">
        <f ca="1">'TikTok Ads Raw Data'!E350</f>
        <v>79</v>
      </c>
      <c r="K350" s="9">
        <f t="shared" ca="1" si="11"/>
        <v>70.848101265822791</v>
      </c>
      <c r="L350" s="9">
        <f ca="1">'TikTok Ads Raw Data'!F350</f>
        <v>5597</v>
      </c>
    </row>
    <row r="351" spans="1:12" ht="13" x14ac:dyDescent="0.15">
      <c r="A351" s="7">
        <f ca="1">'TikTok Ads Raw Data'!A351</f>
        <v>46007</v>
      </c>
      <c r="B351" s="8">
        <f t="shared" ca="1" si="6"/>
        <v>12</v>
      </c>
      <c r="C351" s="24">
        <f ca="1">'TikTok Ads Raw Data'!B351</f>
        <v>72407</v>
      </c>
      <c r="D351" s="20">
        <f t="shared" ca="1" si="7"/>
        <v>3.04114243098043E-2</v>
      </c>
      <c r="E351" s="8">
        <f ca="1">'TikTok Ads Raw Data'!C351</f>
        <v>2202</v>
      </c>
      <c r="F351" s="9">
        <f t="shared" ca="1" si="8"/>
        <v>1.1158038147138964</v>
      </c>
      <c r="G351" s="9">
        <f t="shared" ca="1" si="9"/>
        <v>33.933183255762565</v>
      </c>
      <c r="H351" s="9">
        <f ca="1">'TikTok Ads Raw Data'!D351</f>
        <v>2457</v>
      </c>
      <c r="I351" s="20">
        <f t="shared" ca="1" si="10"/>
        <v>3.3151680290644865E-2</v>
      </c>
      <c r="J351" s="8">
        <f ca="1">'TikTok Ads Raw Data'!E351</f>
        <v>73</v>
      </c>
      <c r="K351" s="9">
        <f t="shared" ca="1" si="11"/>
        <v>153.54794520547946</v>
      </c>
      <c r="L351" s="9">
        <f ca="1">'TikTok Ads Raw Data'!F351</f>
        <v>11209</v>
      </c>
    </row>
    <row r="352" spans="1:12" ht="13" x14ac:dyDescent="0.15">
      <c r="A352" s="7">
        <f ca="1">'TikTok Ads Raw Data'!A352</f>
        <v>46008</v>
      </c>
      <c r="B352" s="8">
        <f t="shared" ca="1" si="6"/>
        <v>12</v>
      </c>
      <c r="C352" s="24">
        <f ca="1">'TikTok Ads Raw Data'!B352</f>
        <v>39996</v>
      </c>
      <c r="D352" s="20">
        <f t="shared" ca="1" si="7"/>
        <v>1.7126712671267127E-2</v>
      </c>
      <c r="E352" s="8">
        <f ca="1">'TikTok Ads Raw Data'!C352</f>
        <v>685</v>
      </c>
      <c r="F352" s="9">
        <f t="shared" ca="1" si="8"/>
        <v>1.1226277372262774</v>
      </c>
      <c r="G352" s="9">
        <f t="shared" ca="1" si="9"/>
        <v>19.226922692269227</v>
      </c>
      <c r="H352" s="9">
        <f ca="1">'TikTok Ads Raw Data'!D352</f>
        <v>769</v>
      </c>
      <c r="I352" s="20">
        <f t="shared" ca="1" si="10"/>
        <v>1.6058394160583942E-2</v>
      </c>
      <c r="J352" s="8">
        <f ca="1">'TikTok Ads Raw Data'!E352</f>
        <v>11</v>
      </c>
      <c r="K352" s="9">
        <f t="shared" ca="1" si="11"/>
        <v>161.90909090909091</v>
      </c>
      <c r="L352" s="9">
        <f ca="1">'TikTok Ads Raw Data'!F352</f>
        <v>1781</v>
      </c>
    </row>
    <row r="353" spans="1:12" ht="13" x14ac:dyDescent="0.15">
      <c r="A353" s="7">
        <f ca="1">'TikTok Ads Raw Data'!A353</f>
        <v>46009</v>
      </c>
      <c r="B353" s="8">
        <f t="shared" ca="1" si="6"/>
        <v>12</v>
      </c>
      <c r="C353" s="24">
        <f ca="1">'TikTok Ads Raw Data'!B353</f>
        <v>74822</v>
      </c>
      <c r="D353" s="20">
        <f t="shared" ca="1" si="7"/>
        <v>2.1237069311165164E-2</v>
      </c>
      <c r="E353" s="8">
        <f ca="1">'TikTok Ads Raw Data'!C353</f>
        <v>1589</v>
      </c>
      <c r="F353" s="9">
        <f t="shared" ca="1" si="8"/>
        <v>1.3410950283196978</v>
      </c>
      <c r="G353" s="9">
        <f t="shared" ca="1" si="9"/>
        <v>28.480928069284435</v>
      </c>
      <c r="H353" s="9">
        <f ca="1">'TikTok Ads Raw Data'!D353</f>
        <v>2131</v>
      </c>
      <c r="I353" s="20">
        <f t="shared" ca="1" si="10"/>
        <v>2.5173064820641914E-2</v>
      </c>
      <c r="J353" s="8">
        <f ca="1">'TikTok Ads Raw Data'!E353</f>
        <v>40</v>
      </c>
      <c r="K353" s="9">
        <f t="shared" ca="1" si="11"/>
        <v>146.4</v>
      </c>
      <c r="L353" s="9">
        <f ca="1">'TikTok Ads Raw Data'!F353</f>
        <v>5856</v>
      </c>
    </row>
    <row r="354" spans="1:12" ht="13" x14ac:dyDescent="0.15">
      <c r="A354" s="7">
        <f ca="1">'TikTok Ads Raw Data'!A354</f>
        <v>46010</v>
      </c>
      <c r="B354" s="8">
        <f t="shared" ca="1" si="6"/>
        <v>12</v>
      </c>
      <c r="C354" s="24">
        <f ca="1">'TikTok Ads Raw Data'!B354</f>
        <v>65011</v>
      </c>
      <c r="D354" s="20">
        <f t="shared" ca="1" si="7"/>
        <v>3.3948101090584673E-2</v>
      </c>
      <c r="E354" s="8">
        <f ca="1">'TikTok Ads Raw Data'!C354</f>
        <v>2207</v>
      </c>
      <c r="F354" s="9">
        <f t="shared" ca="1" si="8"/>
        <v>1.5568645219755324</v>
      </c>
      <c r="G354" s="9">
        <f t="shared" ca="1" si="9"/>
        <v>52.852594176370154</v>
      </c>
      <c r="H354" s="9">
        <f ca="1">'TikTok Ads Raw Data'!D354</f>
        <v>3436</v>
      </c>
      <c r="I354" s="20">
        <f t="shared" ca="1" si="10"/>
        <v>2.2202084277299503E-2</v>
      </c>
      <c r="J354" s="8">
        <f ca="1">'TikTok Ads Raw Data'!E354</f>
        <v>49</v>
      </c>
      <c r="K354" s="9">
        <f t="shared" ca="1" si="11"/>
        <v>98.142857142857139</v>
      </c>
      <c r="L354" s="9">
        <f ca="1">'TikTok Ads Raw Data'!F354</f>
        <v>4809</v>
      </c>
    </row>
    <row r="355" spans="1:12" ht="13" x14ac:dyDescent="0.15">
      <c r="A355" s="7">
        <f ca="1">'TikTok Ads Raw Data'!A355</f>
        <v>46011</v>
      </c>
      <c r="B355" s="8">
        <f t="shared" ca="1" si="6"/>
        <v>12</v>
      </c>
      <c r="C355" s="24">
        <f ca="1">'TikTok Ads Raw Data'!B355</f>
        <v>89340</v>
      </c>
      <c r="D355" s="20">
        <f t="shared" ca="1" si="7"/>
        <v>2.5901052160286545E-2</v>
      </c>
      <c r="E355" s="8">
        <f ca="1">'TikTok Ads Raw Data'!C355</f>
        <v>2314</v>
      </c>
      <c r="F355" s="9">
        <f t="shared" ca="1" si="8"/>
        <v>1.2342264477095939</v>
      </c>
      <c r="G355" s="9">
        <f t="shared" ca="1" si="9"/>
        <v>31.967763599731363</v>
      </c>
      <c r="H355" s="9">
        <f ca="1">'TikTok Ads Raw Data'!D355</f>
        <v>2856</v>
      </c>
      <c r="I355" s="20">
        <f t="shared" ca="1" si="10"/>
        <v>1.8150388936905792E-2</v>
      </c>
      <c r="J355" s="8">
        <f ca="1">'TikTok Ads Raw Data'!E355</f>
        <v>42</v>
      </c>
      <c r="K355" s="9">
        <f t="shared" ca="1" si="11"/>
        <v>146.26190476190476</v>
      </c>
      <c r="L355" s="9">
        <f ca="1">'TikTok Ads Raw Data'!F355</f>
        <v>6143</v>
      </c>
    </row>
    <row r="356" spans="1:12" ht="13" x14ac:dyDescent="0.15">
      <c r="A356" s="7">
        <f ca="1">'TikTok Ads Raw Data'!A356</f>
        <v>46012</v>
      </c>
      <c r="B356" s="8">
        <f t="shared" ca="1" si="6"/>
        <v>12</v>
      </c>
      <c r="C356" s="24">
        <f ca="1">'TikTok Ads Raw Data'!B356</f>
        <v>28734</v>
      </c>
      <c r="D356" s="20">
        <f t="shared" ca="1" si="7"/>
        <v>9.5357416301245918E-3</v>
      </c>
      <c r="E356" s="8">
        <f ca="1">'TikTok Ads Raw Data'!C356</f>
        <v>274</v>
      </c>
      <c r="F356" s="9">
        <f t="shared" ca="1" si="8"/>
        <v>1.1386861313868613</v>
      </c>
      <c r="G356" s="9">
        <f t="shared" ca="1" si="9"/>
        <v>10.858216746711213</v>
      </c>
      <c r="H356" s="9">
        <f ca="1">'TikTok Ads Raw Data'!D356</f>
        <v>312</v>
      </c>
      <c r="I356" s="20">
        <f t="shared" ca="1" si="10"/>
        <v>1.824817518248175E-2</v>
      </c>
      <c r="J356" s="8">
        <f ca="1">'TikTok Ads Raw Data'!E356</f>
        <v>5</v>
      </c>
      <c r="K356" s="9">
        <f t="shared" ca="1" si="11"/>
        <v>155.80000000000001</v>
      </c>
      <c r="L356" s="9">
        <f ca="1">'TikTok Ads Raw Data'!F356</f>
        <v>779</v>
      </c>
    </row>
    <row r="357" spans="1:12" ht="13" x14ac:dyDescent="0.15">
      <c r="A357" s="7">
        <f ca="1">'TikTok Ads Raw Data'!A357</f>
        <v>46013</v>
      </c>
      <c r="B357" s="8">
        <f t="shared" ca="1" si="6"/>
        <v>12</v>
      </c>
      <c r="C357" s="24">
        <f ca="1">'TikTok Ads Raw Data'!B357</f>
        <v>58608</v>
      </c>
      <c r="D357" s="20">
        <f t="shared" ca="1" si="7"/>
        <v>1.6311766311766313E-2</v>
      </c>
      <c r="E357" s="8">
        <f ca="1">'TikTok Ads Raw Data'!C357</f>
        <v>956</v>
      </c>
      <c r="F357" s="9">
        <f t="shared" ca="1" si="8"/>
        <v>1.2196652719665273</v>
      </c>
      <c r="G357" s="9">
        <f t="shared" ca="1" si="9"/>
        <v>19.894894894894897</v>
      </c>
      <c r="H357" s="9">
        <f ca="1">'TikTok Ads Raw Data'!D357</f>
        <v>1166</v>
      </c>
      <c r="I357" s="20">
        <f t="shared" ca="1" si="10"/>
        <v>1.7782426778242679E-2</v>
      </c>
      <c r="J357" s="8">
        <f ca="1">'TikTok Ads Raw Data'!E357</f>
        <v>17</v>
      </c>
      <c r="K357" s="9">
        <f t="shared" ca="1" si="11"/>
        <v>102</v>
      </c>
      <c r="L357" s="9">
        <f ca="1">'TikTok Ads Raw Data'!F357</f>
        <v>1734</v>
      </c>
    </row>
    <row r="358" spans="1:12" ht="13" x14ac:dyDescent="0.15">
      <c r="A358" s="7">
        <f ca="1">'TikTok Ads Raw Data'!A358</f>
        <v>46014</v>
      </c>
      <c r="B358" s="8">
        <f t="shared" ca="1" si="6"/>
        <v>12</v>
      </c>
      <c r="C358" s="24">
        <f ca="1">'TikTok Ads Raw Data'!B358</f>
        <v>59262</v>
      </c>
      <c r="D358" s="20">
        <f t="shared" ca="1" si="7"/>
        <v>1.1811953697141508E-2</v>
      </c>
      <c r="E358" s="8">
        <f ca="1">'TikTok Ads Raw Data'!C358</f>
        <v>700</v>
      </c>
      <c r="F358" s="9">
        <f t="shared" ca="1" si="8"/>
        <v>1.2485714285714287</v>
      </c>
      <c r="G358" s="9">
        <f t="shared" ca="1" si="9"/>
        <v>14.748067901859539</v>
      </c>
      <c r="H358" s="9">
        <f ca="1">'TikTok Ads Raw Data'!D358</f>
        <v>874</v>
      </c>
      <c r="I358" s="20">
        <f t="shared" ca="1" si="10"/>
        <v>0.03</v>
      </c>
      <c r="J358" s="8">
        <f ca="1">'TikTok Ads Raw Data'!E358</f>
        <v>21</v>
      </c>
      <c r="K358" s="9">
        <f t="shared" ca="1" si="11"/>
        <v>137.33333333333334</v>
      </c>
      <c r="L358" s="9">
        <f ca="1">'TikTok Ads Raw Data'!F358</f>
        <v>2884</v>
      </c>
    </row>
    <row r="359" spans="1:12" ht="13" x14ac:dyDescent="0.15">
      <c r="A359" s="7">
        <f ca="1">'TikTok Ads Raw Data'!A359</f>
        <v>46015</v>
      </c>
      <c r="B359" s="8">
        <f t="shared" ca="1" si="6"/>
        <v>12</v>
      </c>
      <c r="C359" s="24">
        <f ca="1">'TikTok Ads Raw Data'!B359</f>
        <v>73767</v>
      </c>
      <c r="D359" s="20">
        <f t="shared" ca="1" si="7"/>
        <v>2.3872463296596039E-2</v>
      </c>
      <c r="E359" s="8">
        <f ca="1">'TikTok Ads Raw Data'!C359</f>
        <v>1761</v>
      </c>
      <c r="F359" s="9">
        <f t="shared" ca="1" si="8"/>
        <v>0.97785349233390118</v>
      </c>
      <c r="G359" s="9">
        <f t="shared" ca="1" si="9"/>
        <v>23.343771605189314</v>
      </c>
      <c r="H359" s="9">
        <f ca="1">'TikTok Ads Raw Data'!D359</f>
        <v>1722</v>
      </c>
      <c r="I359" s="20">
        <f t="shared" ca="1" si="10"/>
        <v>2.0442930153321975E-2</v>
      </c>
      <c r="J359" s="8">
        <f ca="1">'TikTok Ads Raw Data'!E359</f>
        <v>36</v>
      </c>
      <c r="K359" s="9">
        <f t="shared" ca="1" si="11"/>
        <v>113.91666666666667</v>
      </c>
      <c r="L359" s="9">
        <f ca="1">'TikTok Ads Raw Data'!F359</f>
        <v>4101</v>
      </c>
    </row>
    <row r="360" spans="1:12" ht="13" x14ac:dyDescent="0.15">
      <c r="A360" s="7">
        <f ca="1">'TikTok Ads Raw Data'!A360</f>
        <v>46016</v>
      </c>
      <c r="B360" s="8">
        <f t="shared" ca="1" si="6"/>
        <v>12</v>
      </c>
      <c r="C360" s="24">
        <f ca="1">'TikTok Ads Raw Data'!B360</f>
        <v>90803</v>
      </c>
      <c r="D360" s="20">
        <f t="shared" ca="1" si="7"/>
        <v>1.3600872217878264E-2</v>
      </c>
      <c r="E360" s="8">
        <f ca="1">'TikTok Ads Raw Data'!C360</f>
        <v>1235</v>
      </c>
      <c r="F360" s="9">
        <f t="shared" ca="1" si="8"/>
        <v>0.97489878542510122</v>
      </c>
      <c r="G360" s="9">
        <f t="shared" ca="1" si="9"/>
        <v>13.259473805931522</v>
      </c>
      <c r="H360" s="9">
        <f ca="1">'TikTok Ads Raw Data'!D360</f>
        <v>1204</v>
      </c>
      <c r="I360" s="20">
        <f t="shared" ca="1" si="10"/>
        <v>2.348178137651822E-2</v>
      </c>
      <c r="J360" s="8">
        <f ca="1">'TikTok Ads Raw Data'!E360</f>
        <v>29</v>
      </c>
      <c r="K360" s="9">
        <f t="shared" ca="1" si="11"/>
        <v>101.48275862068965</v>
      </c>
      <c r="L360" s="9">
        <f ca="1">'TikTok Ads Raw Data'!F360</f>
        <v>2943</v>
      </c>
    </row>
    <row r="361" spans="1:12" ht="13" x14ac:dyDescent="0.15">
      <c r="A361" s="7">
        <f ca="1">'TikTok Ads Raw Data'!A361</f>
        <v>46017</v>
      </c>
      <c r="B361" s="8">
        <f t="shared" ca="1" si="6"/>
        <v>12</v>
      </c>
      <c r="C361" s="24">
        <f ca="1">'TikTok Ads Raw Data'!B361</f>
        <v>35548</v>
      </c>
      <c r="D361" s="20">
        <f t="shared" ca="1" si="7"/>
        <v>1.5978395409024418E-2</v>
      </c>
      <c r="E361" s="8">
        <f ca="1">'TikTok Ads Raw Data'!C361</f>
        <v>568</v>
      </c>
      <c r="F361" s="9">
        <f t="shared" ca="1" si="8"/>
        <v>1.0598591549295775</v>
      </c>
      <c r="G361" s="9">
        <f t="shared" ca="1" si="9"/>
        <v>16.934848655339259</v>
      </c>
      <c r="H361" s="9">
        <f ca="1">'TikTok Ads Raw Data'!D361</f>
        <v>602</v>
      </c>
      <c r="I361" s="20">
        <f t="shared" ca="1" si="10"/>
        <v>1.5845070422535211E-2</v>
      </c>
      <c r="J361" s="8">
        <f ca="1">'TikTok Ads Raw Data'!E361</f>
        <v>9</v>
      </c>
      <c r="K361" s="9">
        <f t="shared" ca="1" si="11"/>
        <v>148.44444444444446</v>
      </c>
      <c r="L361" s="9">
        <f ca="1">'TikTok Ads Raw Data'!F361</f>
        <v>1336</v>
      </c>
    </row>
    <row r="362" spans="1:12" ht="13" x14ac:dyDescent="0.15">
      <c r="A362" s="7">
        <f ca="1">'TikTok Ads Raw Data'!A362</f>
        <v>46018</v>
      </c>
      <c r="B362" s="8">
        <f t="shared" ca="1" si="6"/>
        <v>12</v>
      </c>
      <c r="C362" s="24">
        <f ca="1">'TikTok Ads Raw Data'!B362</f>
        <v>84233</v>
      </c>
      <c r="D362" s="20">
        <f t="shared" ca="1" si="7"/>
        <v>2.5773746631367753E-2</v>
      </c>
      <c r="E362" s="8">
        <f ca="1">'TikTok Ads Raw Data'!C362</f>
        <v>2171</v>
      </c>
      <c r="F362" s="9">
        <f t="shared" ca="1" si="8"/>
        <v>0.89728235836020265</v>
      </c>
      <c r="G362" s="9">
        <f t="shared" ca="1" si="9"/>
        <v>23.126328161171987</v>
      </c>
      <c r="H362" s="9">
        <f ca="1">'TikTok Ads Raw Data'!D362</f>
        <v>1948</v>
      </c>
      <c r="I362" s="20">
        <f t="shared" ca="1" si="10"/>
        <v>1.704283740211884E-2</v>
      </c>
      <c r="J362" s="8">
        <f ca="1">'TikTok Ads Raw Data'!E362</f>
        <v>37</v>
      </c>
      <c r="K362" s="9">
        <f t="shared" ca="1" si="11"/>
        <v>123.75675675675676</v>
      </c>
      <c r="L362" s="9">
        <f ca="1">'TikTok Ads Raw Data'!F362</f>
        <v>4579</v>
      </c>
    </row>
    <row r="363" spans="1:12" ht="13" x14ac:dyDescent="0.15">
      <c r="A363" s="7">
        <f ca="1">'TikTok Ads Raw Data'!A363</f>
        <v>46019</v>
      </c>
      <c r="B363" s="8">
        <f t="shared" ca="1" si="6"/>
        <v>12</v>
      </c>
      <c r="C363" s="24">
        <f ca="1">'TikTok Ads Raw Data'!B363</f>
        <v>75236</v>
      </c>
      <c r="D363" s="20">
        <f t="shared" ca="1" si="7"/>
        <v>2.8709660269020151E-2</v>
      </c>
      <c r="E363" s="8">
        <f ca="1">'TikTok Ads Raw Data'!C363</f>
        <v>2160</v>
      </c>
      <c r="F363" s="9">
        <f t="shared" ca="1" si="8"/>
        <v>1.4759259259259259</v>
      </c>
      <c r="G363" s="9">
        <f t="shared" ca="1" si="9"/>
        <v>42.373331915572329</v>
      </c>
      <c r="H363" s="9">
        <f ca="1">'TikTok Ads Raw Data'!D363</f>
        <v>3188</v>
      </c>
      <c r="I363" s="20">
        <f t="shared" ca="1" si="10"/>
        <v>2.1296296296296296E-2</v>
      </c>
      <c r="J363" s="8">
        <f ca="1">'TikTok Ads Raw Data'!E363</f>
        <v>46</v>
      </c>
      <c r="K363" s="9">
        <f t="shared" ca="1" si="11"/>
        <v>125.02173913043478</v>
      </c>
      <c r="L363" s="9">
        <f ca="1">'TikTok Ads Raw Data'!F363</f>
        <v>5751</v>
      </c>
    </row>
    <row r="364" spans="1:12" ht="13" x14ac:dyDescent="0.15">
      <c r="A364" s="7">
        <f ca="1">'TikTok Ads Raw Data'!A364</f>
        <v>46020</v>
      </c>
      <c r="B364" s="8">
        <f t="shared" ca="1" si="6"/>
        <v>12</v>
      </c>
      <c r="C364" s="24">
        <f ca="1">'TikTok Ads Raw Data'!B364</f>
        <v>57807</v>
      </c>
      <c r="D364" s="20">
        <f t="shared" ca="1" si="7"/>
        <v>1.6762675800508588E-2</v>
      </c>
      <c r="E364" s="8">
        <f ca="1">'TikTok Ads Raw Data'!C364</f>
        <v>969</v>
      </c>
      <c r="F364" s="9">
        <f t="shared" ca="1" si="8"/>
        <v>0.98968008255933948</v>
      </c>
      <c r="G364" s="9">
        <f t="shared" ca="1" si="9"/>
        <v>16.589686370162781</v>
      </c>
      <c r="H364" s="9">
        <f ca="1">'TikTok Ads Raw Data'!D364</f>
        <v>959</v>
      </c>
      <c r="I364" s="20">
        <f t="shared" ca="1" si="10"/>
        <v>1.6511867905056758E-2</v>
      </c>
      <c r="J364" s="8">
        <f ca="1">'TikTok Ads Raw Data'!E364</f>
        <v>16</v>
      </c>
      <c r="K364" s="9">
        <f t="shared" ca="1" si="11"/>
        <v>90.8125</v>
      </c>
      <c r="L364" s="9">
        <f ca="1">'TikTok Ads Raw Data'!F364</f>
        <v>1453</v>
      </c>
    </row>
    <row r="365" spans="1:12" ht="13" x14ac:dyDescent="0.15">
      <c r="A365" s="7">
        <f ca="1">'TikTok Ads Raw Data'!A365</f>
        <v>46021</v>
      </c>
      <c r="B365" s="8">
        <f t="shared" ca="1" si="6"/>
        <v>12</v>
      </c>
      <c r="C365" s="24">
        <f ca="1">'TikTok Ads Raw Data'!B365</f>
        <v>48189</v>
      </c>
      <c r="D365" s="20">
        <f t="shared" ca="1" si="7"/>
        <v>2.2764531324576148E-2</v>
      </c>
      <c r="E365" s="8">
        <f ca="1">'TikTok Ads Raw Data'!C365</f>
        <v>1097</v>
      </c>
      <c r="F365" s="9">
        <f t="shared" ca="1" si="8"/>
        <v>1.2415679124886052</v>
      </c>
      <c r="G365" s="9">
        <f t="shared" ca="1" si="9"/>
        <v>28.263711635435474</v>
      </c>
      <c r="H365" s="9">
        <f ca="1">'TikTok Ads Raw Data'!D365</f>
        <v>1362</v>
      </c>
      <c r="I365" s="20">
        <f t="shared" ca="1" si="10"/>
        <v>2.187784867821331E-2</v>
      </c>
      <c r="J365" s="8">
        <f ca="1">'TikTok Ads Raw Data'!E365</f>
        <v>24</v>
      </c>
      <c r="K365" s="9">
        <f t="shared" ca="1" si="11"/>
        <v>175.375</v>
      </c>
      <c r="L365" s="9">
        <f ca="1">'TikTok Ads Raw Data'!F365</f>
        <v>4209</v>
      </c>
    </row>
    <row r="366" spans="1:12" ht="13" x14ac:dyDescent="0.15">
      <c r="A366" s="7">
        <f ca="1">'TikTok Ads Raw Data'!A366</f>
        <v>46022</v>
      </c>
      <c r="B366" s="8">
        <f t="shared" ca="1" si="6"/>
        <v>12</v>
      </c>
      <c r="C366" s="24">
        <f ca="1">'TikTok Ads Raw Data'!B366</f>
        <v>79467</v>
      </c>
      <c r="D366" s="20">
        <f t="shared" ca="1" si="7"/>
        <v>2.5192847345438987E-2</v>
      </c>
      <c r="E366" s="8">
        <f ca="1">'TikTok Ads Raw Data'!C366</f>
        <v>2002</v>
      </c>
      <c r="F366" s="9">
        <f t="shared" ca="1" si="8"/>
        <v>1.0304695304695304</v>
      </c>
      <c r="G366" s="9">
        <f t="shared" ca="1" si="9"/>
        <v>25.96046157524507</v>
      </c>
      <c r="H366" s="9">
        <f ca="1">'TikTok Ads Raw Data'!D366</f>
        <v>2063</v>
      </c>
      <c r="I366" s="20">
        <f t="shared" ca="1" si="10"/>
        <v>2.2977022977022976E-2</v>
      </c>
      <c r="J366" s="8">
        <f ca="1">'TikTok Ads Raw Data'!E366</f>
        <v>46</v>
      </c>
      <c r="K366" s="9">
        <f t="shared" ca="1" si="11"/>
        <v>130.28260869565219</v>
      </c>
      <c r="L366" s="9">
        <f ca="1">'TikTok Ads Raw Data'!F366</f>
        <v>5993</v>
      </c>
    </row>
    <row r="367" spans="1:12" ht="13" x14ac:dyDescent="0.15">
      <c r="C367" s="24"/>
      <c r="D367" s="20"/>
      <c r="I367" s="20"/>
      <c r="K367" s="9"/>
    </row>
    <row r="368" spans="1:12" ht="13" x14ac:dyDescent="0.15">
      <c r="C368" s="24"/>
      <c r="D368" s="20"/>
      <c r="I368" s="20"/>
      <c r="K368" s="9"/>
    </row>
    <row r="369" spans="3:11" ht="13" x14ac:dyDescent="0.15">
      <c r="C369" s="24"/>
      <c r="D369" s="20"/>
      <c r="I369" s="20"/>
      <c r="K369" s="9"/>
    </row>
    <row r="370" spans="3:11" ht="13" x14ac:dyDescent="0.15">
      <c r="C370" s="24"/>
      <c r="D370" s="20"/>
      <c r="I370" s="20"/>
      <c r="K370" s="9"/>
    </row>
    <row r="371" spans="3:11" ht="13" x14ac:dyDescent="0.15">
      <c r="C371" s="24"/>
      <c r="D371" s="20"/>
      <c r="I371" s="20"/>
      <c r="K371" s="9"/>
    </row>
    <row r="372" spans="3:11" ht="13" x14ac:dyDescent="0.15">
      <c r="C372" s="24"/>
      <c r="D372" s="20"/>
      <c r="I372" s="20"/>
      <c r="K372" s="9"/>
    </row>
    <row r="373" spans="3:11" ht="13" x14ac:dyDescent="0.15">
      <c r="C373" s="24"/>
      <c r="D373" s="20"/>
      <c r="I373" s="20"/>
      <c r="K373" s="9"/>
    </row>
    <row r="374" spans="3:11" ht="13" x14ac:dyDescent="0.15">
      <c r="C374" s="24"/>
      <c r="D374" s="20"/>
      <c r="I374" s="20"/>
      <c r="K374" s="9"/>
    </row>
    <row r="375" spans="3:11" ht="13" x14ac:dyDescent="0.15">
      <c r="C375" s="24"/>
      <c r="D375" s="20"/>
      <c r="I375" s="20"/>
      <c r="K375" s="9"/>
    </row>
    <row r="376" spans="3:11" ht="13" x14ac:dyDescent="0.15">
      <c r="C376" s="24"/>
      <c r="D376" s="20"/>
      <c r="I376" s="20"/>
      <c r="K376" s="9"/>
    </row>
    <row r="377" spans="3:11" ht="13" x14ac:dyDescent="0.15">
      <c r="C377" s="24"/>
      <c r="D377" s="20"/>
      <c r="I377" s="20"/>
      <c r="K377" s="9"/>
    </row>
    <row r="378" spans="3:11" ht="13" x14ac:dyDescent="0.15">
      <c r="C378" s="24"/>
      <c r="D378" s="20"/>
      <c r="I378" s="20"/>
      <c r="K378" s="9"/>
    </row>
    <row r="379" spans="3:11" ht="13" x14ac:dyDescent="0.15">
      <c r="C379" s="24"/>
      <c r="D379" s="20"/>
      <c r="I379" s="20"/>
      <c r="K379" s="9"/>
    </row>
    <row r="380" spans="3:11" ht="13" x14ac:dyDescent="0.15">
      <c r="C380" s="24"/>
      <c r="D380" s="20"/>
      <c r="I380" s="20"/>
      <c r="K380" s="9"/>
    </row>
    <row r="381" spans="3:11" ht="13" x14ac:dyDescent="0.15">
      <c r="C381" s="24"/>
      <c r="D381" s="20"/>
      <c r="I381" s="20"/>
      <c r="K381" s="9"/>
    </row>
    <row r="382" spans="3:11" ht="13" x14ac:dyDescent="0.15">
      <c r="C382" s="24"/>
      <c r="D382" s="20"/>
      <c r="I382" s="20"/>
      <c r="K382" s="9"/>
    </row>
    <row r="383" spans="3:11" ht="13" x14ac:dyDescent="0.15">
      <c r="C383" s="24"/>
      <c r="D383" s="20"/>
      <c r="I383" s="20"/>
      <c r="K383" s="9"/>
    </row>
    <row r="384" spans="3:11" ht="13" x14ac:dyDescent="0.15">
      <c r="C384" s="24"/>
      <c r="D384" s="20"/>
      <c r="I384" s="20"/>
      <c r="K384" s="9"/>
    </row>
    <row r="385" spans="3:11" ht="13" x14ac:dyDescent="0.15">
      <c r="C385" s="24"/>
      <c r="D385" s="20"/>
      <c r="I385" s="20"/>
      <c r="K385" s="9"/>
    </row>
    <row r="386" spans="3:11" ht="13" x14ac:dyDescent="0.15">
      <c r="C386" s="24"/>
      <c r="D386" s="20"/>
      <c r="I386" s="20"/>
      <c r="K386" s="9"/>
    </row>
    <row r="387" spans="3:11" ht="13" x14ac:dyDescent="0.15">
      <c r="C387" s="24"/>
      <c r="D387" s="20"/>
      <c r="I387" s="20"/>
      <c r="K387" s="9"/>
    </row>
    <row r="388" spans="3:11" ht="13" x14ac:dyDescent="0.15">
      <c r="C388" s="24"/>
      <c r="D388" s="20"/>
      <c r="I388" s="20"/>
      <c r="K388" s="9"/>
    </row>
    <row r="389" spans="3:11" ht="13" x14ac:dyDescent="0.15">
      <c r="C389" s="24"/>
      <c r="D389" s="20"/>
      <c r="I389" s="20"/>
      <c r="K389" s="9"/>
    </row>
    <row r="390" spans="3:11" ht="13" x14ac:dyDescent="0.15">
      <c r="C390" s="24"/>
      <c r="D390" s="20"/>
      <c r="I390" s="20"/>
      <c r="K390" s="9"/>
    </row>
    <row r="391" spans="3:11" ht="13" x14ac:dyDescent="0.15">
      <c r="C391" s="24"/>
      <c r="D391" s="20"/>
      <c r="I391" s="20"/>
      <c r="K391" s="9"/>
    </row>
    <row r="392" spans="3:11" ht="13" x14ac:dyDescent="0.15">
      <c r="C392" s="24"/>
      <c r="D392" s="20"/>
      <c r="I392" s="20"/>
      <c r="K392" s="9"/>
    </row>
    <row r="393" spans="3:11" ht="13" x14ac:dyDescent="0.15">
      <c r="C393" s="24"/>
      <c r="D393" s="20"/>
      <c r="I393" s="20"/>
      <c r="K393" s="9"/>
    </row>
    <row r="394" spans="3:11" ht="13" x14ac:dyDescent="0.15">
      <c r="C394" s="24"/>
      <c r="D394" s="20"/>
      <c r="I394" s="20"/>
      <c r="K394" s="9"/>
    </row>
    <row r="395" spans="3:11" ht="13" x14ac:dyDescent="0.15">
      <c r="C395" s="24"/>
      <c r="D395" s="20"/>
      <c r="I395" s="20"/>
      <c r="K395" s="9"/>
    </row>
    <row r="396" spans="3:11" ht="13" x14ac:dyDescent="0.15">
      <c r="C396" s="24"/>
      <c r="D396" s="20"/>
      <c r="I396" s="20"/>
      <c r="K396" s="9"/>
    </row>
    <row r="397" spans="3:11" ht="13" x14ac:dyDescent="0.15">
      <c r="C397" s="24"/>
      <c r="D397" s="20"/>
      <c r="I397" s="20"/>
      <c r="K397" s="9"/>
    </row>
    <row r="398" spans="3:11" ht="13" x14ac:dyDescent="0.15">
      <c r="C398" s="24"/>
      <c r="D398" s="20"/>
      <c r="I398" s="20"/>
      <c r="K398" s="9"/>
    </row>
    <row r="399" spans="3:11" ht="13" x14ac:dyDescent="0.15">
      <c r="C399" s="24"/>
      <c r="D399" s="20"/>
      <c r="I399" s="20"/>
      <c r="K399" s="9"/>
    </row>
    <row r="400" spans="3:11" ht="13" x14ac:dyDescent="0.15">
      <c r="C400" s="24"/>
      <c r="D400" s="20"/>
      <c r="I400" s="20"/>
      <c r="K400" s="9"/>
    </row>
    <row r="401" spans="3:11" ht="13" x14ac:dyDescent="0.15">
      <c r="C401" s="24"/>
      <c r="D401" s="20"/>
      <c r="I401" s="20"/>
      <c r="K401" s="9"/>
    </row>
    <row r="402" spans="3:11" ht="13" x14ac:dyDescent="0.15">
      <c r="C402" s="24"/>
      <c r="D402" s="20"/>
      <c r="I402" s="20"/>
      <c r="K402" s="9"/>
    </row>
    <row r="403" spans="3:11" ht="13" x14ac:dyDescent="0.15">
      <c r="C403" s="24"/>
      <c r="D403" s="20"/>
      <c r="I403" s="20"/>
      <c r="K403" s="9"/>
    </row>
    <row r="404" spans="3:11" ht="13" x14ac:dyDescent="0.15">
      <c r="C404" s="24"/>
      <c r="D404" s="20"/>
      <c r="I404" s="20"/>
      <c r="K404" s="9"/>
    </row>
    <row r="405" spans="3:11" ht="13" x14ac:dyDescent="0.15">
      <c r="C405" s="24"/>
      <c r="D405" s="20"/>
      <c r="I405" s="20"/>
      <c r="K405" s="9"/>
    </row>
    <row r="406" spans="3:11" ht="13" x14ac:dyDescent="0.15">
      <c r="C406" s="24"/>
      <c r="D406" s="20"/>
      <c r="I406" s="20"/>
      <c r="K406" s="9"/>
    </row>
    <row r="407" spans="3:11" ht="13" x14ac:dyDescent="0.15">
      <c r="C407" s="24"/>
      <c r="D407" s="20"/>
      <c r="I407" s="20"/>
      <c r="K407" s="9"/>
    </row>
    <row r="408" spans="3:11" ht="13" x14ac:dyDescent="0.15">
      <c r="C408" s="24"/>
      <c r="D408" s="20"/>
      <c r="I408" s="20"/>
      <c r="K408" s="9"/>
    </row>
    <row r="409" spans="3:11" ht="13" x14ac:dyDescent="0.15">
      <c r="C409" s="24"/>
      <c r="D409" s="20"/>
      <c r="I409" s="20"/>
      <c r="K409" s="9"/>
    </row>
    <row r="410" spans="3:11" ht="13" x14ac:dyDescent="0.15">
      <c r="C410" s="24"/>
      <c r="D410" s="20"/>
      <c r="I410" s="20"/>
      <c r="K410" s="9"/>
    </row>
    <row r="411" spans="3:11" ht="13" x14ac:dyDescent="0.15">
      <c r="C411" s="24"/>
      <c r="D411" s="20"/>
      <c r="I411" s="20"/>
      <c r="K411" s="9"/>
    </row>
    <row r="412" spans="3:11" ht="13" x14ac:dyDescent="0.15">
      <c r="C412" s="24"/>
      <c r="D412" s="20"/>
      <c r="I412" s="20"/>
      <c r="K412" s="9"/>
    </row>
    <row r="413" spans="3:11" ht="13" x14ac:dyDescent="0.15">
      <c r="C413" s="24"/>
      <c r="D413" s="20"/>
      <c r="I413" s="20"/>
      <c r="K413" s="9"/>
    </row>
    <row r="414" spans="3:11" ht="13" x14ac:dyDescent="0.15">
      <c r="C414" s="24"/>
      <c r="D414" s="20"/>
      <c r="I414" s="20"/>
      <c r="K414" s="9"/>
    </row>
    <row r="415" spans="3:11" ht="13" x14ac:dyDescent="0.15">
      <c r="C415" s="24"/>
      <c r="D415" s="20"/>
      <c r="I415" s="20"/>
      <c r="K415" s="9"/>
    </row>
    <row r="416" spans="3:11" ht="13" x14ac:dyDescent="0.15">
      <c r="C416" s="24"/>
      <c r="D416" s="20"/>
      <c r="I416" s="20"/>
      <c r="K416" s="9"/>
    </row>
    <row r="417" spans="3:11" ht="13" x14ac:dyDescent="0.15">
      <c r="C417" s="24"/>
      <c r="D417" s="20"/>
      <c r="I417" s="20"/>
      <c r="K417" s="9"/>
    </row>
    <row r="418" spans="3:11" ht="13" x14ac:dyDescent="0.15">
      <c r="C418" s="24"/>
      <c r="D418" s="20"/>
      <c r="I418" s="20"/>
      <c r="K418" s="9"/>
    </row>
    <row r="419" spans="3:11" ht="13" x14ac:dyDescent="0.15">
      <c r="C419" s="24"/>
      <c r="D419" s="20"/>
      <c r="I419" s="20"/>
      <c r="K419" s="9"/>
    </row>
    <row r="420" spans="3:11" ht="13" x14ac:dyDescent="0.15">
      <c r="C420" s="24"/>
      <c r="D420" s="20"/>
      <c r="I420" s="20"/>
      <c r="K420" s="9"/>
    </row>
    <row r="421" spans="3:11" ht="13" x14ac:dyDescent="0.15">
      <c r="C421" s="24"/>
      <c r="D421" s="20"/>
      <c r="I421" s="20"/>
      <c r="K421" s="9"/>
    </row>
    <row r="422" spans="3:11" ht="13" x14ac:dyDescent="0.15">
      <c r="C422" s="24"/>
      <c r="D422" s="20"/>
      <c r="I422" s="20"/>
      <c r="K422" s="9"/>
    </row>
    <row r="423" spans="3:11" ht="13" x14ac:dyDescent="0.15">
      <c r="C423" s="24"/>
      <c r="D423" s="20"/>
      <c r="I423" s="20"/>
      <c r="K423" s="9"/>
    </row>
    <row r="424" spans="3:11" ht="13" x14ac:dyDescent="0.15">
      <c r="C424" s="24"/>
      <c r="D424" s="20"/>
      <c r="I424" s="20"/>
      <c r="K424" s="9"/>
    </row>
    <row r="425" spans="3:11" ht="13" x14ac:dyDescent="0.15">
      <c r="C425" s="24"/>
      <c r="D425" s="20"/>
      <c r="I425" s="20"/>
      <c r="K425" s="9"/>
    </row>
    <row r="426" spans="3:11" ht="13" x14ac:dyDescent="0.15">
      <c r="C426" s="24"/>
      <c r="D426" s="20"/>
      <c r="I426" s="20"/>
      <c r="K426" s="9"/>
    </row>
    <row r="427" spans="3:11" ht="13" x14ac:dyDescent="0.15">
      <c r="C427" s="24"/>
      <c r="D427" s="20"/>
      <c r="I427" s="20"/>
      <c r="K427" s="9"/>
    </row>
    <row r="428" spans="3:11" ht="13" x14ac:dyDescent="0.15">
      <c r="C428" s="24"/>
      <c r="D428" s="20"/>
      <c r="I428" s="20"/>
      <c r="K428" s="9"/>
    </row>
    <row r="429" spans="3:11" ht="13" x14ac:dyDescent="0.15">
      <c r="C429" s="24"/>
      <c r="D429" s="20"/>
      <c r="I429" s="20"/>
      <c r="K429" s="9"/>
    </row>
    <row r="430" spans="3:11" ht="13" x14ac:dyDescent="0.15">
      <c r="C430" s="24"/>
      <c r="D430" s="20"/>
      <c r="I430" s="20"/>
      <c r="K430" s="9"/>
    </row>
    <row r="431" spans="3:11" ht="13" x14ac:dyDescent="0.15">
      <c r="C431" s="24"/>
      <c r="D431" s="20"/>
      <c r="I431" s="20"/>
      <c r="K431" s="9"/>
    </row>
    <row r="432" spans="3:11" ht="13" x14ac:dyDescent="0.15">
      <c r="C432" s="24"/>
      <c r="D432" s="20"/>
      <c r="I432" s="20"/>
      <c r="K432" s="9"/>
    </row>
    <row r="433" spans="3:11" ht="13" x14ac:dyDescent="0.15">
      <c r="C433" s="24"/>
      <c r="D433" s="20"/>
      <c r="I433" s="20"/>
      <c r="K433" s="9"/>
    </row>
    <row r="434" spans="3:11" ht="13" x14ac:dyDescent="0.15">
      <c r="C434" s="24"/>
      <c r="D434" s="20"/>
      <c r="I434" s="20"/>
      <c r="K434" s="9"/>
    </row>
    <row r="435" spans="3:11" ht="13" x14ac:dyDescent="0.15">
      <c r="C435" s="24"/>
      <c r="D435" s="20"/>
      <c r="I435" s="20"/>
      <c r="K435" s="9"/>
    </row>
    <row r="436" spans="3:11" ht="13" x14ac:dyDescent="0.15">
      <c r="C436" s="24"/>
      <c r="D436" s="20"/>
      <c r="I436" s="20"/>
      <c r="K436" s="9"/>
    </row>
    <row r="437" spans="3:11" ht="13" x14ac:dyDescent="0.15">
      <c r="C437" s="24"/>
      <c r="D437" s="20"/>
      <c r="I437" s="20"/>
      <c r="K437" s="9"/>
    </row>
    <row r="438" spans="3:11" ht="13" x14ac:dyDescent="0.15">
      <c r="C438" s="24"/>
      <c r="D438" s="20"/>
      <c r="I438" s="20"/>
      <c r="K438" s="9"/>
    </row>
    <row r="439" spans="3:11" ht="13" x14ac:dyDescent="0.15">
      <c r="C439" s="24"/>
      <c r="D439" s="20"/>
      <c r="I439" s="20"/>
      <c r="K439" s="9"/>
    </row>
    <row r="440" spans="3:11" ht="13" x14ac:dyDescent="0.15">
      <c r="C440" s="24"/>
      <c r="D440" s="20"/>
      <c r="I440" s="20"/>
      <c r="K440" s="9"/>
    </row>
    <row r="441" spans="3:11" ht="13" x14ac:dyDescent="0.15">
      <c r="C441" s="24"/>
      <c r="D441" s="20"/>
      <c r="I441" s="20"/>
      <c r="K441" s="9"/>
    </row>
    <row r="442" spans="3:11" ht="13" x14ac:dyDescent="0.15">
      <c r="C442" s="24"/>
      <c r="D442" s="20"/>
      <c r="I442" s="20"/>
      <c r="K442" s="9"/>
    </row>
    <row r="443" spans="3:11" ht="13" x14ac:dyDescent="0.15">
      <c r="C443" s="24"/>
      <c r="D443" s="20"/>
      <c r="I443" s="20"/>
      <c r="K443" s="9"/>
    </row>
    <row r="444" spans="3:11" ht="13" x14ac:dyDescent="0.15">
      <c r="C444" s="24"/>
      <c r="D444" s="20"/>
      <c r="I444" s="20"/>
      <c r="K444" s="9"/>
    </row>
    <row r="445" spans="3:11" ht="13" x14ac:dyDescent="0.15">
      <c r="C445" s="24"/>
      <c r="D445" s="20"/>
      <c r="I445" s="20"/>
      <c r="K445" s="9"/>
    </row>
    <row r="446" spans="3:11" ht="13" x14ac:dyDescent="0.15">
      <c r="C446" s="24"/>
      <c r="D446" s="20"/>
      <c r="I446" s="20"/>
      <c r="K446" s="9"/>
    </row>
    <row r="447" spans="3:11" ht="13" x14ac:dyDescent="0.15">
      <c r="C447" s="24"/>
      <c r="D447" s="20"/>
      <c r="I447" s="20"/>
      <c r="K447" s="9"/>
    </row>
    <row r="448" spans="3:11" ht="13" x14ac:dyDescent="0.15">
      <c r="C448" s="24"/>
      <c r="D448" s="20"/>
      <c r="I448" s="20"/>
      <c r="K448" s="9"/>
    </row>
    <row r="449" spans="3:11" ht="13" x14ac:dyDescent="0.15">
      <c r="C449" s="24"/>
      <c r="D449" s="20"/>
      <c r="I449" s="20"/>
      <c r="K449" s="9"/>
    </row>
    <row r="450" spans="3:11" ht="13" x14ac:dyDescent="0.15">
      <c r="C450" s="24"/>
      <c r="D450" s="20"/>
      <c r="I450" s="20"/>
      <c r="K450" s="9"/>
    </row>
    <row r="451" spans="3:11" ht="13" x14ac:dyDescent="0.15">
      <c r="C451" s="24"/>
      <c r="D451" s="20"/>
      <c r="I451" s="20"/>
      <c r="K451" s="9"/>
    </row>
    <row r="452" spans="3:11" ht="13" x14ac:dyDescent="0.15">
      <c r="C452" s="24"/>
      <c r="D452" s="20"/>
      <c r="I452" s="20"/>
      <c r="K452" s="9"/>
    </row>
    <row r="453" spans="3:11" ht="13" x14ac:dyDescent="0.15">
      <c r="C453" s="24"/>
      <c r="D453" s="20"/>
      <c r="I453" s="20"/>
      <c r="K453" s="9"/>
    </row>
    <row r="454" spans="3:11" ht="13" x14ac:dyDescent="0.15">
      <c r="C454" s="24"/>
      <c r="D454" s="20"/>
      <c r="I454" s="20"/>
      <c r="K454" s="9"/>
    </row>
    <row r="455" spans="3:11" ht="13" x14ac:dyDescent="0.15">
      <c r="C455" s="24"/>
      <c r="D455" s="20"/>
      <c r="I455" s="20"/>
      <c r="K455" s="9"/>
    </row>
    <row r="456" spans="3:11" ht="13" x14ac:dyDescent="0.15">
      <c r="C456" s="24"/>
      <c r="D456" s="20"/>
      <c r="I456" s="20"/>
      <c r="K456" s="9"/>
    </row>
    <row r="457" spans="3:11" ht="13" x14ac:dyDescent="0.15">
      <c r="C457" s="24"/>
      <c r="D457" s="20"/>
      <c r="I457" s="20"/>
      <c r="K457" s="9"/>
    </row>
    <row r="458" spans="3:11" ht="13" x14ac:dyDescent="0.15">
      <c r="C458" s="24"/>
      <c r="D458" s="20"/>
      <c r="I458" s="20"/>
      <c r="K458" s="9"/>
    </row>
    <row r="459" spans="3:11" ht="13" x14ac:dyDescent="0.15">
      <c r="C459" s="24"/>
      <c r="D459" s="20"/>
      <c r="I459" s="20"/>
      <c r="K459" s="9"/>
    </row>
    <row r="460" spans="3:11" ht="13" x14ac:dyDescent="0.15">
      <c r="C460" s="24"/>
      <c r="D460" s="20"/>
      <c r="I460" s="20"/>
      <c r="K460" s="9"/>
    </row>
    <row r="461" spans="3:11" ht="13" x14ac:dyDescent="0.15">
      <c r="C461" s="24"/>
      <c r="D461" s="20"/>
      <c r="I461" s="20"/>
      <c r="K461" s="9"/>
    </row>
    <row r="462" spans="3:11" ht="13" x14ac:dyDescent="0.15">
      <c r="C462" s="24"/>
      <c r="D462" s="20"/>
      <c r="I462" s="20"/>
      <c r="K462" s="9"/>
    </row>
    <row r="463" spans="3:11" ht="13" x14ac:dyDescent="0.15">
      <c r="C463" s="24"/>
      <c r="D463" s="20"/>
      <c r="I463" s="20"/>
      <c r="K463" s="9"/>
    </row>
    <row r="464" spans="3:11" ht="13" x14ac:dyDescent="0.15">
      <c r="C464" s="24"/>
      <c r="D464" s="20"/>
      <c r="I464" s="20"/>
      <c r="K464" s="9"/>
    </row>
    <row r="465" spans="3:11" ht="13" x14ac:dyDescent="0.15">
      <c r="C465" s="24"/>
      <c r="D465" s="20"/>
      <c r="I465" s="20"/>
      <c r="K465" s="9"/>
    </row>
    <row r="466" spans="3:11" ht="13" x14ac:dyDescent="0.15">
      <c r="C466" s="24"/>
      <c r="D466" s="20"/>
      <c r="I466" s="20"/>
      <c r="K466" s="9"/>
    </row>
    <row r="467" spans="3:11" ht="13" x14ac:dyDescent="0.15">
      <c r="C467" s="24"/>
      <c r="D467" s="20"/>
      <c r="I467" s="20"/>
      <c r="K467" s="9"/>
    </row>
    <row r="468" spans="3:11" ht="13" x14ac:dyDescent="0.15">
      <c r="C468" s="24"/>
      <c r="D468" s="20"/>
      <c r="I468" s="20"/>
      <c r="K468" s="9"/>
    </row>
    <row r="469" spans="3:11" ht="13" x14ac:dyDescent="0.15">
      <c r="C469" s="24"/>
      <c r="D469" s="20"/>
      <c r="I469" s="20"/>
      <c r="K469" s="9"/>
    </row>
    <row r="470" spans="3:11" ht="13" x14ac:dyDescent="0.15">
      <c r="C470" s="24"/>
      <c r="D470" s="20"/>
      <c r="I470" s="20"/>
      <c r="K470" s="9"/>
    </row>
    <row r="471" spans="3:11" ht="13" x14ac:dyDescent="0.15">
      <c r="C471" s="24"/>
      <c r="D471" s="20"/>
      <c r="I471" s="20"/>
      <c r="K471" s="9"/>
    </row>
    <row r="472" spans="3:11" ht="13" x14ac:dyDescent="0.15">
      <c r="C472" s="24"/>
      <c r="D472" s="20"/>
      <c r="I472" s="20"/>
      <c r="K472" s="9"/>
    </row>
    <row r="473" spans="3:11" ht="13" x14ac:dyDescent="0.15">
      <c r="C473" s="24"/>
      <c r="D473" s="20"/>
      <c r="I473" s="20"/>
      <c r="K473" s="9"/>
    </row>
    <row r="474" spans="3:11" ht="13" x14ac:dyDescent="0.15">
      <c r="C474" s="24"/>
      <c r="D474" s="20"/>
      <c r="I474" s="20"/>
      <c r="K474" s="9"/>
    </row>
    <row r="475" spans="3:11" ht="13" x14ac:dyDescent="0.15">
      <c r="C475" s="24"/>
      <c r="D475" s="20"/>
      <c r="I475" s="20"/>
      <c r="K475" s="9"/>
    </row>
    <row r="476" spans="3:11" ht="13" x14ac:dyDescent="0.15">
      <c r="C476" s="24"/>
      <c r="D476" s="20"/>
      <c r="I476" s="20"/>
      <c r="K476" s="9"/>
    </row>
    <row r="477" spans="3:11" ht="13" x14ac:dyDescent="0.15">
      <c r="C477" s="24"/>
      <c r="D477" s="20"/>
      <c r="I477" s="20"/>
      <c r="K477" s="9"/>
    </row>
    <row r="478" spans="3:11" ht="13" x14ac:dyDescent="0.15">
      <c r="C478" s="24"/>
      <c r="D478" s="20"/>
      <c r="I478" s="20"/>
      <c r="K478" s="9"/>
    </row>
    <row r="479" spans="3:11" ht="13" x14ac:dyDescent="0.15">
      <c r="C479" s="24"/>
      <c r="D479" s="20"/>
      <c r="I479" s="20"/>
      <c r="K479" s="9"/>
    </row>
    <row r="480" spans="3:11" ht="13" x14ac:dyDescent="0.15">
      <c r="C480" s="24"/>
      <c r="D480" s="20"/>
      <c r="I480" s="20"/>
      <c r="K480" s="9"/>
    </row>
    <row r="481" spans="3:11" ht="13" x14ac:dyDescent="0.15">
      <c r="C481" s="24"/>
      <c r="D481" s="20"/>
      <c r="I481" s="20"/>
      <c r="K481" s="9"/>
    </row>
    <row r="482" spans="3:11" ht="13" x14ac:dyDescent="0.15">
      <c r="C482" s="24"/>
      <c r="D482" s="20"/>
      <c r="I482" s="20"/>
      <c r="K482" s="9"/>
    </row>
    <row r="483" spans="3:11" ht="13" x14ac:dyDescent="0.15">
      <c r="C483" s="24"/>
      <c r="D483" s="20"/>
      <c r="I483" s="20"/>
      <c r="K483" s="9"/>
    </row>
    <row r="484" spans="3:11" ht="13" x14ac:dyDescent="0.15">
      <c r="C484" s="24"/>
      <c r="D484" s="20"/>
      <c r="I484" s="20"/>
      <c r="K484" s="9"/>
    </row>
    <row r="485" spans="3:11" ht="13" x14ac:dyDescent="0.15">
      <c r="C485" s="24"/>
      <c r="D485" s="20"/>
      <c r="I485" s="20"/>
      <c r="K485" s="9"/>
    </row>
    <row r="486" spans="3:11" ht="13" x14ac:dyDescent="0.15">
      <c r="C486" s="24"/>
      <c r="D486" s="20"/>
      <c r="I486" s="20"/>
      <c r="K486" s="9"/>
    </row>
    <row r="487" spans="3:11" ht="13" x14ac:dyDescent="0.15">
      <c r="C487" s="24"/>
      <c r="D487" s="20"/>
      <c r="I487" s="20"/>
      <c r="K487" s="9"/>
    </row>
    <row r="488" spans="3:11" ht="13" x14ac:dyDescent="0.15">
      <c r="C488" s="24"/>
      <c r="D488" s="20"/>
      <c r="I488" s="20"/>
      <c r="K488" s="9"/>
    </row>
    <row r="489" spans="3:11" ht="13" x14ac:dyDescent="0.15">
      <c r="C489" s="24"/>
      <c r="D489" s="20"/>
      <c r="I489" s="20"/>
      <c r="K489" s="9"/>
    </row>
    <row r="490" spans="3:11" ht="13" x14ac:dyDescent="0.15">
      <c r="C490" s="24"/>
      <c r="D490" s="20"/>
      <c r="I490" s="20"/>
      <c r="K490" s="9"/>
    </row>
    <row r="491" spans="3:11" ht="13" x14ac:dyDescent="0.15">
      <c r="C491" s="24"/>
      <c r="D491" s="20"/>
      <c r="I491" s="20"/>
      <c r="K491" s="9"/>
    </row>
    <row r="492" spans="3:11" ht="13" x14ac:dyDescent="0.15">
      <c r="C492" s="24"/>
      <c r="D492" s="20"/>
      <c r="I492" s="20"/>
      <c r="K492" s="9"/>
    </row>
    <row r="493" spans="3:11" ht="13" x14ac:dyDescent="0.15">
      <c r="C493" s="24"/>
      <c r="D493" s="20"/>
      <c r="I493" s="20"/>
      <c r="K493" s="9"/>
    </row>
    <row r="494" spans="3:11" ht="13" x14ac:dyDescent="0.15">
      <c r="C494" s="24"/>
      <c r="D494" s="20"/>
      <c r="I494" s="20"/>
      <c r="K494" s="9"/>
    </row>
    <row r="495" spans="3:11" ht="13" x14ac:dyDescent="0.15">
      <c r="C495" s="24"/>
      <c r="D495" s="20"/>
      <c r="I495" s="20"/>
      <c r="K495" s="9"/>
    </row>
    <row r="496" spans="3:11" ht="13" x14ac:dyDescent="0.15">
      <c r="C496" s="24"/>
      <c r="D496" s="20"/>
      <c r="I496" s="20"/>
      <c r="K496" s="9"/>
    </row>
    <row r="497" spans="3:11" ht="13" x14ac:dyDescent="0.15">
      <c r="C497" s="24"/>
      <c r="D497" s="20"/>
      <c r="I497" s="20"/>
      <c r="K497" s="9"/>
    </row>
    <row r="498" spans="3:11" ht="13" x14ac:dyDescent="0.15">
      <c r="C498" s="24"/>
      <c r="D498" s="20"/>
      <c r="I498" s="20"/>
      <c r="K498" s="9"/>
    </row>
    <row r="499" spans="3:11" ht="13" x14ac:dyDescent="0.15">
      <c r="C499" s="24"/>
      <c r="D499" s="20"/>
      <c r="I499" s="20"/>
      <c r="K499" s="9"/>
    </row>
    <row r="500" spans="3:11" ht="13" x14ac:dyDescent="0.15">
      <c r="C500" s="24"/>
      <c r="D500" s="20"/>
      <c r="I500" s="20"/>
      <c r="K500" s="9"/>
    </row>
    <row r="501" spans="3:11" ht="13" x14ac:dyDescent="0.15">
      <c r="C501" s="24"/>
      <c r="D501" s="20"/>
      <c r="I501" s="20"/>
      <c r="K501" s="9"/>
    </row>
    <row r="502" spans="3:11" ht="13" x14ac:dyDescent="0.15">
      <c r="C502" s="24"/>
      <c r="D502" s="20"/>
      <c r="I502" s="20"/>
      <c r="K502" s="9"/>
    </row>
    <row r="503" spans="3:11" ht="13" x14ac:dyDescent="0.15">
      <c r="C503" s="24"/>
      <c r="D503" s="20"/>
      <c r="I503" s="20"/>
      <c r="K503" s="9"/>
    </row>
    <row r="504" spans="3:11" ht="13" x14ac:dyDescent="0.15">
      <c r="C504" s="24"/>
      <c r="D504" s="20"/>
      <c r="I504" s="20"/>
      <c r="K504" s="9"/>
    </row>
    <row r="505" spans="3:11" ht="13" x14ac:dyDescent="0.15">
      <c r="C505" s="24"/>
      <c r="D505" s="20"/>
      <c r="I505" s="20"/>
      <c r="K505" s="9"/>
    </row>
    <row r="506" spans="3:11" ht="13" x14ac:dyDescent="0.15">
      <c r="C506" s="24"/>
      <c r="D506" s="20"/>
      <c r="I506" s="20"/>
      <c r="K506" s="9"/>
    </row>
    <row r="507" spans="3:11" ht="13" x14ac:dyDescent="0.15">
      <c r="C507" s="24"/>
      <c r="D507" s="20"/>
      <c r="I507" s="20"/>
      <c r="K507" s="9"/>
    </row>
    <row r="508" spans="3:11" ht="13" x14ac:dyDescent="0.15">
      <c r="C508" s="24"/>
      <c r="D508" s="20"/>
      <c r="I508" s="20"/>
      <c r="K508" s="9"/>
    </row>
    <row r="509" spans="3:11" ht="13" x14ac:dyDescent="0.15">
      <c r="C509" s="24"/>
      <c r="D509" s="20"/>
      <c r="I509" s="20"/>
      <c r="K509" s="9"/>
    </row>
    <row r="510" spans="3:11" ht="13" x14ac:dyDescent="0.15">
      <c r="C510" s="24"/>
      <c r="D510" s="20"/>
      <c r="I510" s="20"/>
      <c r="K510" s="9"/>
    </row>
    <row r="511" spans="3:11" ht="13" x14ac:dyDescent="0.15">
      <c r="C511" s="24"/>
      <c r="D511" s="20"/>
      <c r="I511" s="20"/>
      <c r="K511" s="9"/>
    </row>
    <row r="512" spans="3:11" ht="13" x14ac:dyDescent="0.15">
      <c r="C512" s="24"/>
      <c r="D512" s="20"/>
      <c r="I512" s="20"/>
      <c r="K512" s="9"/>
    </row>
    <row r="513" spans="3:11" ht="13" x14ac:dyDescent="0.15">
      <c r="C513" s="24"/>
      <c r="D513" s="20"/>
      <c r="I513" s="20"/>
      <c r="K513" s="9"/>
    </row>
    <row r="514" spans="3:11" ht="13" x14ac:dyDescent="0.15">
      <c r="C514" s="24"/>
      <c r="D514" s="20"/>
      <c r="I514" s="20"/>
      <c r="K514" s="9"/>
    </row>
    <row r="515" spans="3:11" ht="13" x14ac:dyDescent="0.15">
      <c r="C515" s="24"/>
      <c r="D515" s="20"/>
      <c r="I515" s="20"/>
      <c r="K515" s="9"/>
    </row>
    <row r="516" spans="3:11" ht="13" x14ac:dyDescent="0.15">
      <c r="C516" s="24"/>
      <c r="D516" s="20"/>
      <c r="I516" s="20"/>
      <c r="K516" s="9"/>
    </row>
    <row r="517" spans="3:11" ht="13" x14ac:dyDescent="0.15">
      <c r="C517" s="24"/>
      <c r="D517" s="20"/>
      <c r="I517" s="20"/>
      <c r="K517" s="9"/>
    </row>
    <row r="518" spans="3:11" ht="13" x14ac:dyDescent="0.15">
      <c r="C518" s="24"/>
      <c r="D518" s="20"/>
      <c r="I518" s="20"/>
      <c r="K518" s="9"/>
    </row>
    <row r="519" spans="3:11" ht="13" x14ac:dyDescent="0.15">
      <c r="C519" s="24"/>
      <c r="D519" s="20"/>
      <c r="I519" s="20"/>
      <c r="K519" s="9"/>
    </row>
    <row r="520" spans="3:11" ht="13" x14ac:dyDescent="0.15">
      <c r="C520" s="24"/>
      <c r="D520" s="20"/>
      <c r="I520" s="20"/>
      <c r="K520" s="9"/>
    </row>
    <row r="521" spans="3:11" ht="13" x14ac:dyDescent="0.15">
      <c r="C521" s="24"/>
      <c r="D521" s="20"/>
      <c r="I521" s="20"/>
      <c r="K521" s="9"/>
    </row>
    <row r="522" spans="3:11" ht="13" x14ac:dyDescent="0.15">
      <c r="C522" s="24"/>
      <c r="D522" s="20"/>
      <c r="I522" s="20"/>
      <c r="K522" s="9"/>
    </row>
    <row r="523" spans="3:11" ht="13" x14ac:dyDescent="0.15">
      <c r="C523" s="24"/>
      <c r="D523" s="20"/>
      <c r="I523" s="20"/>
      <c r="K523" s="9"/>
    </row>
    <row r="524" spans="3:11" ht="13" x14ac:dyDescent="0.15">
      <c r="C524" s="24"/>
      <c r="D524" s="20"/>
      <c r="I524" s="20"/>
      <c r="K524" s="9"/>
    </row>
    <row r="525" spans="3:11" ht="13" x14ac:dyDescent="0.15">
      <c r="C525" s="24"/>
      <c r="D525" s="20"/>
      <c r="I525" s="20"/>
      <c r="K525" s="9"/>
    </row>
    <row r="526" spans="3:11" ht="13" x14ac:dyDescent="0.15">
      <c r="C526" s="24"/>
      <c r="D526" s="20"/>
      <c r="I526" s="20"/>
      <c r="K526" s="9"/>
    </row>
    <row r="527" spans="3:11" ht="13" x14ac:dyDescent="0.15">
      <c r="C527" s="24"/>
      <c r="D527" s="20"/>
      <c r="I527" s="20"/>
      <c r="K527" s="9"/>
    </row>
    <row r="528" spans="3:11" ht="13" x14ac:dyDescent="0.15">
      <c r="C528" s="24"/>
      <c r="D528" s="20"/>
      <c r="I528" s="20"/>
      <c r="K528" s="9"/>
    </row>
    <row r="529" spans="3:11" ht="13" x14ac:dyDescent="0.15">
      <c r="C529" s="24"/>
      <c r="D529" s="20"/>
      <c r="I529" s="20"/>
      <c r="K529" s="9"/>
    </row>
    <row r="530" spans="3:11" ht="13" x14ac:dyDescent="0.15">
      <c r="C530" s="24"/>
      <c r="D530" s="20"/>
      <c r="I530" s="20"/>
      <c r="K530" s="9"/>
    </row>
    <row r="531" spans="3:11" ht="13" x14ac:dyDescent="0.15">
      <c r="C531" s="24"/>
      <c r="D531" s="20"/>
      <c r="I531" s="20"/>
      <c r="K531" s="9"/>
    </row>
    <row r="532" spans="3:11" ht="13" x14ac:dyDescent="0.15">
      <c r="C532" s="24"/>
      <c r="D532" s="20"/>
      <c r="I532" s="20"/>
      <c r="K532" s="9"/>
    </row>
    <row r="533" spans="3:11" ht="13" x14ac:dyDescent="0.15">
      <c r="C533" s="24"/>
      <c r="D533" s="20"/>
      <c r="I533" s="20"/>
      <c r="K533" s="9"/>
    </row>
    <row r="534" spans="3:11" ht="13" x14ac:dyDescent="0.15">
      <c r="C534" s="24"/>
      <c r="D534" s="20"/>
      <c r="I534" s="20"/>
      <c r="K534" s="9"/>
    </row>
    <row r="535" spans="3:11" ht="13" x14ac:dyDescent="0.15">
      <c r="C535" s="24"/>
      <c r="D535" s="20"/>
      <c r="I535" s="20"/>
      <c r="K535" s="9"/>
    </row>
    <row r="536" spans="3:11" ht="13" x14ac:dyDescent="0.15">
      <c r="C536" s="24"/>
      <c r="D536" s="20"/>
      <c r="I536" s="20"/>
      <c r="K536" s="9"/>
    </row>
    <row r="537" spans="3:11" ht="13" x14ac:dyDescent="0.15">
      <c r="C537" s="24"/>
      <c r="D537" s="20"/>
      <c r="I537" s="20"/>
      <c r="K537" s="9"/>
    </row>
    <row r="538" spans="3:11" ht="13" x14ac:dyDescent="0.15">
      <c r="C538" s="24"/>
      <c r="D538" s="20"/>
      <c r="I538" s="20"/>
      <c r="K538" s="9"/>
    </row>
    <row r="539" spans="3:11" ht="13" x14ac:dyDescent="0.15">
      <c r="C539" s="24"/>
      <c r="D539" s="20"/>
      <c r="I539" s="20"/>
      <c r="K539" s="9"/>
    </row>
    <row r="540" spans="3:11" ht="13" x14ac:dyDescent="0.15">
      <c r="C540" s="24"/>
      <c r="D540" s="20"/>
      <c r="I540" s="20"/>
      <c r="K540" s="9"/>
    </row>
    <row r="541" spans="3:11" ht="13" x14ac:dyDescent="0.15">
      <c r="C541" s="24"/>
      <c r="D541" s="20"/>
      <c r="I541" s="20"/>
      <c r="K541" s="9"/>
    </row>
    <row r="542" spans="3:11" ht="13" x14ac:dyDescent="0.15">
      <c r="C542" s="24"/>
      <c r="D542" s="20"/>
      <c r="I542" s="20"/>
      <c r="K542" s="9"/>
    </row>
    <row r="543" spans="3:11" ht="13" x14ac:dyDescent="0.15">
      <c r="C543" s="24"/>
      <c r="D543" s="20"/>
      <c r="I543" s="20"/>
      <c r="K543" s="9"/>
    </row>
    <row r="544" spans="3:11" ht="13" x14ac:dyDescent="0.15">
      <c r="C544" s="24"/>
      <c r="D544" s="20"/>
      <c r="I544" s="20"/>
      <c r="K544" s="9"/>
    </row>
    <row r="545" spans="3:11" ht="13" x14ac:dyDescent="0.15">
      <c r="C545" s="24"/>
      <c r="D545" s="20"/>
      <c r="I545" s="20"/>
      <c r="K545" s="9"/>
    </row>
    <row r="546" spans="3:11" ht="13" x14ac:dyDescent="0.15">
      <c r="C546" s="24"/>
      <c r="D546" s="20"/>
      <c r="I546" s="20"/>
      <c r="K546" s="9"/>
    </row>
    <row r="547" spans="3:11" ht="13" x14ac:dyDescent="0.15">
      <c r="C547" s="24"/>
      <c r="D547" s="20"/>
      <c r="I547" s="20"/>
      <c r="K547" s="9"/>
    </row>
    <row r="548" spans="3:11" ht="13" x14ac:dyDescent="0.15">
      <c r="C548" s="24"/>
      <c r="D548" s="20"/>
      <c r="I548" s="20"/>
      <c r="K548" s="9"/>
    </row>
    <row r="549" spans="3:11" ht="13" x14ac:dyDescent="0.15">
      <c r="C549" s="24"/>
      <c r="D549" s="20"/>
      <c r="I549" s="20"/>
      <c r="K549" s="9"/>
    </row>
    <row r="550" spans="3:11" ht="13" x14ac:dyDescent="0.15">
      <c r="C550" s="24"/>
      <c r="D550" s="20"/>
      <c r="I550" s="20"/>
      <c r="K550" s="9"/>
    </row>
    <row r="551" spans="3:11" ht="13" x14ac:dyDescent="0.15">
      <c r="C551" s="24"/>
      <c r="D551" s="20"/>
      <c r="I551" s="20"/>
      <c r="K551" s="9"/>
    </row>
    <row r="552" spans="3:11" ht="13" x14ac:dyDescent="0.15">
      <c r="C552" s="24"/>
      <c r="D552" s="20"/>
      <c r="I552" s="20"/>
      <c r="K552" s="9"/>
    </row>
    <row r="553" spans="3:11" ht="13" x14ac:dyDescent="0.15">
      <c r="C553" s="24"/>
      <c r="D553" s="20"/>
      <c r="I553" s="20"/>
      <c r="K553" s="9"/>
    </row>
    <row r="554" spans="3:11" ht="13" x14ac:dyDescent="0.15">
      <c r="C554" s="24"/>
      <c r="D554" s="20"/>
      <c r="I554" s="20"/>
      <c r="K554" s="9"/>
    </row>
    <row r="555" spans="3:11" ht="13" x14ac:dyDescent="0.15">
      <c r="C555" s="24"/>
      <c r="D555" s="20"/>
      <c r="I555" s="20"/>
      <c r="K555" s="9"/>
    </row>
    <row r="556" spans="3:11" ht="13" x14ac:dyDescent="0.15">
      <c r="C556" s="24"/>
      <c r="D556" s="20"/>
      <c r="I556" s="20"/>
      <c r="K556" s="9"/>
    </row>
    <row r="557" spans="3:11" ht="13" x14ac:dyDescent="0.15">
      <c r="C557" s="24"/>
      <c r="D557" s="20"/>
      <c r="I557" s="20"/>
      <c r="K557" s="9"/>
    </row>
    <row r="558" spans="3:11" ht="13" x14ac:dyDescent="0.15">
      <c r="C558" s="24"/>
      <c r="D558" s="20"/>
      <c r="I558" s="20"/>
      <c r="K558" s="9"/>
    </row>
    <row r="559" spans="3:11" ht="13" x14ac:dyDescent="0.15">
      <c r="C559" s="24"/>
      <c r="D559" s="20"/>
      <c r="I559" s="20"/>
      <c r="K559" s="9"/>
    </row>
    <row r="560" spans="3:11" ht="13" x14ac:dyDescent="0.15">
      <c r="C560" s="24"/>
      <c r="D560" s="20"/>
      <c r="I560" s="20"/>
      <c r="K560" s="9"/>
    </row>
    <row r="561" spans="3:11" ht="13" x14ac:dyDescent="0.15">
      <c r="C561" s="24"/>
      <c r="D561" s="20"/>
      <c r="I561" s="20"/>
      <c r="K561" s="9"/>
    </row>
    <row r="562" spans="3:11" ht="13" x14ac:dyDescent="0.15">
      <c r="C562" s="24"/>
      <c r="D562" s="20"/>
      <c r="I562" s="20"/>
      <c r="K562" s="9"/>
    </row>
    <row r="563" spans="3:11" ht="13" x14ac:dyDescent="0.15">
      <c r="C563" s="24"/>
      <c r="D563" s="20"/>
      <c r="I563" s="20"/>
      <c r="K563" s="9"/>
    </row>
    <row r="564" spans="3:11" ht="13" x14ac:dyDescent="0.15">
      <c r="C564" s="24"/>
      <c r="D564" s="20"/>
      <c r="I564" s="20"/>
      <c r="K564" s="9"/>
    </row>
    <row r="565" spans="3:11" ht="13" x14ac:dyDescent="0.15">
      <c r="C565" s="24"/>
      <c r="D565" s="20"/>
      <c r="I565" s="20"/>
      <c r="K565" s="9"/>
    </row>
    <row r="566" spans="3:11" ht="13" x14ac:dyDescent="0.15">
      <c r="C566" s="24"/>
      <c r="D566" s="20"/>
      <c r="I566" s="20"/>
      <c r="K566" s="9"/>
    </row>
    <row r="567" spans="3:11" ht="13" x14ac:dyDescent="0.15">
      <c r="C567" s="24"/>
      <c r="D567" s="20"/>
      <c r="I567" s="20"/>
      <c r="K567" s="9"/>
    </row>
    <row r="568" spans="3:11" ht="13" x14ac:dyDescent="0.15">
      <c r="C568" s="24"/>
      <c r="D568" s="20"/>
      <c r="I568" s="20"/>
      <c r="K568" s="9"/>
    </row>
    <row r="569" spans="3:11" ht="13" x14ac:dyDescent="0.15">
      <c r="C569" s="24"/>
      <c r="D569" s="20"/>
      <c r="I569" s="20"/>
      <c r="K569" s="9"/>
    </row>
    <row r="570" spans="3:11" ht="13" x14ac:dyDescent="0.15">
      <c r="C570" s="24"/>
      <c r="D570" s="20"/>
      <c r="I570" s="20"/>
      <c r="K570" s="9"/>
    </row>
    <row r="571" spans="3:11" ht="13" x14ac:dyDescent="0.15">
      <c r="C571" s="24"/>
      <c r="D571" s="20"/>
      <c r="I571" s="20"/>
      <c r="K571" s="9"/>
    </row>
    <row r="572" spans="3:11" ht="13" x14ac:dyDescent="0.15">
      <c r="C572" s="24"/>
      <c r="D572" s="20"/>
      <c r="I572" s="20"/>
      <c r="K572" s="9"/>
    </row>
    <row r="573" spans="3:11" ht="13" x14ac:dyDescent="0.15">
      <c r="C573" s="24"/>
      <c r="D573" s="20"/>
      <c r="I573" s="20"/>
      <c r="K573" s="9"/>
    </row>
    <row r="574" spans="3:11" ht="13" x14ac:dyDescent="0.15">
      <c r="C574" s="24"/>
      <c r="D574" s="20"/>
      <c r="I574" s="20"/>
      <c r="K574" s="9"/>
    </row>
    <row r="575" spans="3:11" ht="13" x14ac:dyDescent="0.15">
      <c r="C575" s="24"/>
      <c r="D575" s="20"/>
      <c r="I575" s="20"/>
      <c r="K575" s="9"/>
    </row>
    <row r="576" spans="3:11" ht="13" x14ac:dyDescent="0.15">
      <c r="C576" s="24"/>
      <c r="D576" s="20"/>
      <c r="I576" s="20"/>
      <c r="K576" s="9"/>
    </row>
    <row r="577" spans="3:11" ht="13" x14ac:dyDescent="0.15">
      <c r="C577" s="24"/>
      <c r="D577" s="20"/>
      <c r="I577" s="20"/>
      <c r="K577" s="9"/>
    </row>
    <row r="578" spans="3:11" ht="13" x14ac:dyDescent="0.15">
      <c r="C578" s="24"/>
      <c r="D578" s="20"/>
      <c r="I578" s="20"/>
      <c r="K578" s="9"/>
    </row>
    <row r="579" spans="3:11" ht="13" x14ac:dyDescent="0.15">
      <c r="C579" s="24"/>
      <c r="D579" s="20"/>
      <c r="I579" s="20"/>
      <c r="K579" s="9"/>
    </row>
    <row r="580" spans="3:11" ht="13" x14ac:dyDescent="0.15">
      <c r="C580" s="24"/>
      <c r="D580" s="20"/>
      <c r="I580" s="20"/>
      <c r="K580" s="9"/>
    </row>
    <row r="581" spans="3:11" ht="13" x14ac:dyDescent="0.15">
      <c r="C581" s="24"/>
      <c r="D581" s="20"/>
      <c r="I581" s="20"/>
      <c r="K581" s="9"/>
    </row>
    <row r="582" spans="3:11" ht="13" x14ac:dyDescent="0.15">
      <c r="C582" s="24"/>
      <c r="D582" s="20"/>
      <c r="I582" s="20"/>
      <c r="K582" s="9"/>
    </row>
    <row r="583" spans="3:11" ht="13" x14ac:dyDescent="0.15">
      <c r="C583" s="24"/>
      <c r="D583" s="20"/>
      <c r="I583" s="20"/>
      <c r="K583" s="9"/>
    </row>
    <row r="584" spans="3:11" ht="13" x14ac:dyDescent="0.15">
      <c r="C584" s="24"/>
      <c r="D584" s="20"/>
      <c r="I584" s="20"/>
      <c r="K584" s="9"/>
    </row>
    <row r="585" spans="3:11" ht="13" x14ac:dyDescent="0.15">
      <c r="C585" s="24"/>
      <c r="D585" s="20"/>
      <c r="I585" s="20"/>
      <c r="K585" s="9"/>
    </row>
    <row r="586" spans="3:11" ht="13" x14ac:dyDescent="0.15">
      <c r="C586" s="24"/>
      <c r="D586" s="20"/>
      <c r="I586" s="20"/>
      <c r="K586" s="9"/>
    </row>
    <row r="587" spans="3:11" ht="13" x14ac:dyDescent="0.15">
      <c r="C587" s="24"/>
      <c r="D587" s="20"/>
      <c r="I587" s="20"/>
      <c r="K587" s="9"/>
    </row>
    <row r="588" spans="3:11" ht="13" x14ac:dyDescent="0.15">
      <c r="C588" s="24"/>
      <c r="D588" s="20"/>
      <c r="I588" s="20"/>
      <c r="K588" s="9"/>
    </row>
    <row r="589" spans="3:11" ht="13" x14ac:dyDescent="0.15">
      <c r="C589" s="24"/>
      <c r="D589" s="20"/>
      <c r="I589" s="20"/>
      <c r="K589" s="9"/>
    </row>
    <row r="590" spans="3:11" ht="13" x14ac:dyDescent="0.15">
      <c r="C590" s="24"/>
      <c r="D590" s="20"/>
      <c r="I590" s="20"/>
      <c r="K590" s="9"/>
    </row>
    <row r="591" spans="3:11" ht="13" x14ac:dyDescent="0.15">
      <c r="C591" s="24"/>
      <c r="D591" s="20"/>
      <c r="I591" s="20"/>
      <c r="K591" s="9"/>
    </row>
    <row r="592" spans="3:11" ht="13" x14ac:dyDescent="0.15">
      <c r="C592" s="24"/>
      <c r="D592" s="20"/>
      <c r="I592" s="20"/>
      <c r="K592" s="9"/>
    </row>
    <row r="593" spans="3:11" ht="13" x14ac:dyDescent="0.15">
      <c r="C593" s="24"/>
      <c r="D593" s="20"/>
      <c r="I593" s="20"/>
      <c r="K593" s="9"/>
    </row>
    <row r="594" spans="3:11" ht="13" x14ac:dyDescent="0.15">
      <c r="C594" s="24"/>
      <c r="D594" s="20"/>
      <c r="I594" s="20"/>
      <c r="K594" s="9"/>
    </row>
    <row r="595" spans="3:11" ht="13" x14ac:dyDescent="0.15">
      <c r="C595" s="24"/>
      <c r="D595" s="20"/>
      <c r="I595" s="20"/>
      <c r="K595" s="9"/>
    </row>
    <row r="596" spans="3:11" ht="13" x14ac:dyDescent="0.15">
      <c r="C596" s="24"/>
      <c r="D596" s="20"/>
      <c r="I596" s="20"/>
      <c r="K596" s="9"/>
    </row>
    <row r="597" spans="3:11" ht="13" x14ac:dyDescent="0.15">
      <c r="C597" s="24"/>
      <c r="D597" s="20"/>
      <c r="I597" s="20"/>
      <c r="K597" s="9"/>
    </row>
    <row r="598" spans="3:11" ht="13" x14ac:dyDescent="0.15">
      <c r="C598" s="24"/>
      <c r="D598" s="20"/>
      <c r="I598" s="20"/>
      <c r="K598" s="9"/>
    </row>
    <row r="599" spans="3:11" ht="13" x14ac:dyDescent="0.15">
      <c r="C599" s="24"/>
      <c r="D599" s="20"/>
      <c r="I599" s="20"/>
      <c r="K599" s="9"/>
    </row>
    <row r="600" spans="3:11" ht="13" x14ac:dyDescent="0.15">
      <c r="C600" s="24"/>
      <c r="D600" s="20"/>
      <c r="I600" s="20"/>
      <c r="K600" s="9"/>
    </row>
    <row r="601" spans="3:11" ht="13" x14ac:dyDescent="0.15">
      <c r="C601" s="24"/>
      <c r="D601" s="20"/>
      <c r="I601" s="20"/>
      <c r="K601" s="9"/>
    </row>
    <row r="602" spans="3:11" ht="13" x14ac:dyDescent="0.15">
      <c r="C602" s="24"/>
      <c r="D602" s="20"/>
      <c r="I602" s="20"/>
      <c r="K602" s="9"/>
    </row>
    <row r="603" spans="3:11" ht="13" x14ac:dyDescent="0.15">
      <c r="C603" s="24"/>
      <c r="D603" s="20"/>
      <c r="I603" s="20"/>
      <c r="K603" s="9"/>
    </row>
    <row r="604" spans="3:11" ht="13" x14ac:dyDescent="0.15">
      <c r="C604" s="24"/>
      <c r="D604" s="20"/>
      <c r="I604" s="20"/>
      <c r="K604" s="9"/>
    </row>
    <row r="605" spans="3:11" ht="13" x14ac:dyDescent="0.15">
      <c r="C605" s="24"/>
      <c r="D605" s="20"/>
      <c r="I605" s="20"/>
      <c r="K605" s="9"/>
    </row>
    <row r="606" spans="3:11" ht="13" x14ac:dyDescent="0.15">
      <c r="C606" s="24"/>
      <c r="D606" s="20"/>
      <c r="I606" s="20"/>
      <c r="K606" s="9"/>
    </row>
    <row r="607" spans="3:11" ht="13" x14ac:dyDescent="0.15">
      <c r="C607" s="24"/>
      <c r="D607" s="20"/>
      <c r="I607" s="20"/>
      <c r="K607" s="9"/>
    </row>
    <row r="608" spans="3:11" ht="13" x14ac:dyDescent="0.15">
      <c r="C608" s="24"/>
      <c r="D608" s="20"/>
      <c r="I608" s="20"/>
      <c r="K608" s="9"/>
    </row>
    <row r="609" spans="3:11" ht="13" x14ac:dyDescent="0.15">
      <c r="C609" s="24"/>
      <c r="D609" s="20"/>
      <c r="I609" s="20"/>
      <c r="K609" s="9"/>
    </row>
    <row r="610" spans="3:11" ht="13" x14ac:dyDescent="0.15">
      <c r="C610" s="24"/>
      <c r="D610" s="20"/>
      <c r="I610" s="20"/>
      <c r="K610" s="9"/>
    </row>
    <row r="611" spans="3:11" ht="13" x14ac:dyDescent="0.15">
      <c r="C611" s="24"/>
      <c r="D611" s="20"/>
      <c r="I611" s="20"/>
      <c r="K611" s="9"/>
    </row>
    <row r="612" spans="3:11" ht="13" x14ac:dyDescent="0.15">
      <c r="C612" s="24"/>
      <c r="D612" s="20"/>
      <c r="I612" s="20"/>
      <c r="K612" s="9"/>
    </row>
    <row r="613" spans="3:11" ht="13" x14ac:dyDescent="0.15">
      <c r="C613" s="24"/>
      <c r="D613" s="20"/>
      <c r="I613" s="20"/>
      <c r="K613" s="9"/>
    </row>
    <row r="614" spans="3:11" ht="13" x14ac:dyDescent="0.15">
      <c r="C614" s="24"/>
      <c r="D614" s="20"/>
      <c r="I614" s="20"/>
      <c r="K614" s="9"/>
    </row>
    <row r="615" spans="3:11" ht="13" x14ac:dyDescent="0.15">
      <c r="C615" s="24"/>
      <c r="D615" s="20"/>
      <c r="I615" s="20"/>
      <c r="K615" s="9"/>
    </row>
    <row r="616" spans="3:11" ht="13" x14ac:dyDescent="0.15">
      <c r="C616" s="24"/>
      <c r="D616" s="20"/>
      <c r="I616" s="20"/>
      <c r="K616" s="9"/>
    </row>
    <row r="617" spans="3:11" ht="13" x14ac:dyDescent="0.15">
      <c r="C617" s="24"/>
      <c r="D617" s="20"/>
      <c r="I617" s="20"/>
      <c r="K617" s="9"/>
    </row>
    <row r="618" spans="3:11" ht="13" x14ac:dyDescent="0.15">
      <c r="C618" s="24"/>
      <c r="D618" s="20"/>
      <c r="I618" s="20"/>
      <c r="K618" s="9"/>
    </row>
    <row r="619" spans="3:11" ht="13" x14ac:dyDescent="0.15">
      <c r="C619" s="24"/>
      <c r="D619" s="20"/>
      <c r="I619" s="20"/>
      <c r="K619" s="9"/>
    </row>
    <row r="620" spans="3:11" ht="13" x14ac:dyDescent="0.15">
      <c r="C620" s="24"/>
      <c r="D620" s="20"/>
      <c r="I620" s="20"/>
      <c r="K620" s="9"/>
    </row>
    <row r="621" spans="3:11" ht="13" x14ac:dyDescent="0.15">
      <c r="C621" s="24"/>
      <c r="D621" s="20"/>
      <c r="I621" s="20"/>
      <c r="K621" s="9"/>
    </row>
    <row r="622" spans="3:11" ht="13" x14ac:dyDescent="0.15">
      <c r="C622" s="24"/>
      <c r="D622" s="20"/>
      <c r="I622" s="20"/>
      <c r="K622" s="9"/>
    </row>
    <row r="623" spans="3:11" ht="13" x14ac:dyDescent="0.15">
      <c r="C623" s="24"/>
      <c r="D623" s="20"/>
      <c r="I623" s="20"/>
      <c r="K623" s="9"/>
    </row>
    <row r="624" spans="3:11" ht="13" x14ac:dyDescent="0.15">
      <c r="C624" s="24"/>
      <c r="D624" s="20"/>
      <c r="I624" s="20"/>
      <c r="K624" s="9"/>
    </row>
    <row r="625" spans="3:11" ht="13" x14ac:dyDescent="0.15">
      <c r="C625" s="24"/>
      <c r="D625" s="20"/>
      <c r="I625" s="20"/>
      <c r="K625" s="9"/>
    </row>
    <row r="626" spans="3:11" ht="13" x14ac:dyDescent="0.15">
      <c r="C626" s="24"/>
      <c r="D626" s="20"/>
      <c r="I626" s="20"/>
      <c r="K626" s="9"/>
    </row>
    <row r="627" spans="3:11" ht="13" x14ac:dyDescent="0.15">
      <c r="C627" s="24"/>
      <c r="D627" s="20"/>
      <c r="I627" s="20"/>
      <c r="K627" s="9"/>
    </row>
    <row r="628" spans="3:11" ht="13" x14ac:dyDescent="0.15">
      <c r="C628" s="24"/>
      <c r="D628" s="20"/>
      <c r="I628" s="20"/>
      <c r="K628" s="9"/>
    </row>
    <row r="629" spans="3:11" ht="13" x14ac:dyDescent="0.15">
      <c r="C629" s="24"/>
      <c r="D629" s="20"/>
      <c r="I629" s="20"/>
      <c r="K629" s="9"/>
    </row>
    <row r="630" spans="3:11" ht="13" x14ac:dyDescent="0.15">
      <c r="C630" s="24"/>
      <c r="D630" s="20"/>
      <c r="I630" s="20"/>
      <c r="K630" s="9"/>
    </row>
    <row r="631" spans="3:11" ht="13" x14ac:dyDescent="0.15">
      <c r="C631" s="24"/>
      <c r="D631" s="20"/>
      <c r="I631" s="20"/>
      <c r="K631" s="9"/>
    </row>
    <row r="632" spans="3:11" ht="13" x14ac:dyDescent="0.15">
      <c r="C632" s="24"/>
      <c r="D632" s="20"/>
      <c r="I632" s="20"/>
      <c r="K632" s="9"/>
    </row>
    <row r="633" spans="3:11" ht="13" x14ac:dyDescent="0.15">
      <c r="C633" s="24"/>
      <c r="D633" s="20"/>
      <c r="I633" s="20"/>
      <c r="K633" s="9"/>
    </row>
    <row r="634" spans="3:11" ht="13" x14ac:dyDescent="0.15">
      <c r="C634" s="24"/>
      <c r="D634" s="20"/>
      <c r="I634" s="20"/>
      <c r="K634" s="9"/>
    </row>
    <row r="635" spans="3:11" ht="13" x14ac:dyDescent="0.15">
      <c r="C635" s="24"/>
      <c r="D635" s="20"/>
      <c r="I635" s="20"/>
      <c r="K635" s="9"/>
    </row>
    <row r="636" spans="3:11" ht="13" x14ac:dyDescent="0.15">
      <c r="C636" s="24"/>
      <c r="D636" s="20"/>
      <c r="I636" s="20"/>
      <c r="K636" s="9"/>
    </row>
    <row r="637" spans="3:11" ht="13" x14ac:dyDescent="0.15">
      <c r="C637" s="24"/>
      <c r="D637" s="20"/>
      <c r="I637" s="20"/>
      <c r="K637" s="9"/>
    </row>
    <row r="638" spans="3:11" ht="13" x14ac:dyDescent="0.15">
      <c r="C638" s="24"/>
      <c r="D638" s="20"/>
      <c r="I638" s="20"/>
      <c r="K638" s="9"/>
    </row>
    <row r="639" spans="3:11" ht="13" x14ac:dyDescent="0.15">
      <c r="C639" s="24"/>
      <c r="D639" s="20"/>
      <c r="I639" s="20"/>
      <c r="K639" s="9"/>
    </row>
    <row r="640" spans="3:11" ht="13" x14ac:dyDescent="0.15">
      <c r="C640" s="24"/>
      <c r="D640" s="20"/>
      <c r="I640" s="20"/>
      <c r="K640" s="9"/>
    </row>
    <row r="641" spans="3:11" ht="13" x14ac:dyDescent="0.15">
      <c r="C641" s="24"/>
      <c r="D641" s="20"/>
      <c r="I641" s="20"/>
      <c r="K641" s="9"/>
    </row>
    <row r="642" spans="3:11" ht="13" x14ac:dyDescent="0.15">
      <c r="C642" s="24"/>
      <c r="D642" s="20"/>
      <c r="I642" s="20"/>
      <c r="K642" s="9"/>
    </row>
    <row r="643" spans="3:11" ht="13" x14ac:dyDescent="0.15">
      <c r="C643" s="24"/>
      <c r="D643" s="20"/>
      <c r="I643" s="20"/>
      <c r="K643" s="9"/>
    </row>
    <row r="644" spans="3:11" ht="13" x14ac:dyDescent="0.15">
      <c r="C644" s="24"/>
      <c r="D644" s="20"/>
      <c r="I644" s="20"/>
      <c r="K644" s="9"/>
    </row>
    <row r="645" spans="3:11" ht="13" x14ac:dyDescent="0.15">
      <c r="C645" s="24"/>
      <c r="D645" s="20"/>
      <c r="I645" s="20"/>
      <c r="K645" s="9"/>
    </row>
    <row r="646" spans="3:11" ht="13" x14ac:dyDescent="0.15">
      <c r="C646" s="24"/>
      <c r="D646" s="20"/>
      <c r="I646" s="20"/>
      <c r="K646" s="9"/>
    </row>
    <row r="647" spans="3:11" ht="13" x14ac:dyDescent="0.15">
      <c r="C647" s="24"/>
      <c r="D647" s="20"/>
      <c r="I647" s="20"/>
      <c r="K647" s="9"/>
    </row>
    <row r="648" spans="3:11" ht="13" x14ac:dyDescent="0.15">
      <c r="C648" s="24"/>
      <c r="D648" s="20"/>
      <c r="I648" s="20"/>
      <c r="K648" s="9"/>
    </row>
    <row r="649" spans="3:11" ht="13" x14ac:dyDescent="0.15">
      <c r="C649" s="24"/>
      <c r="D649" s="20"/>
      <c r="I649" s="20"/>
      <c r="K649" s="9"/>
    </row>
    <row r="650" spans="3:11" ht="13" x14ac:dyDescent="0.15">
      <c r="C650" s="24"/>
      <c r="D650" s="20"/>
      <c r="I650" s="20"/>
      <c r="K650" s="9"/>
    </row>
    <row r="651" spans="3:11" ht="13" x14ac:dyDescent="0.15">
      <c r="C651" s="24"/>
      <c r="D651" s="20"/>
      <c r="I651" s="20"/>
      <c r="K651" s="9"/>
    </row>
    <row r="652" spans="3:11" ht="13" x14ac:dyDescent="0.15">
      <c r="C652" s="24"/>
      <c r="D652" s="20"/>
      <c r="I652" s="20"/>
      <c r="K652" s="9"/>
    </row>
    <row r="653" spans="3:11" ht="13" x14ac:dyDescent="0.15">
      <c r="C653" s="24"/>
      <c r="D653" s="20"/>
      <c r="I653" s="20"/>
      <c r="K653" s="9"/>
    </row>
    <row r="654" spans="3:11" ht="13" x14ac:dyDescent="0.15">
      <c r="C654" s="24"/>
      <c r="D654" s="20"/>
      <c r="I654" s="20"/>
      <c r="K654" s="9"/>
    </row>
    <row r="655" spans="3:11" ht="13" x14ac:dyDescent="0.15">
      <c r="C655" s="24"/>
      <c r="D655" s="20"/>
      <c r="I655" s="20"/>
      <c r="K655" s="9"/>
    </row>
    <row r="656" spans="3:11" ht="13" x14ac:dyDescent="0.15">
      <c r="C656" s="24"/>
      <c r="D656" s="20"/>
      <c r="I656" s="20"/>
      <c r="K656" s="9"/>
    </row>
    <row r="657" spans="3:11" ht="13" x14ac:dyDescent="0.15">
      <c r="C657" s="24"/>
      <c r="D657" s="20"/>
      <c r="I657" s="20"/>
      <c r="K657" s="9"/>
    </row>
    <row r="658" spans="3:11" ht="13" x14ac:dyDescent="0.15">
      <c r="C658" s="24"/>
      <c r="D658" s="20"/>
      <c r="I658" s="20"/>
      <c r="K658" s="9"/>
    </row>
    <row r="659" spans="3:11" ht="13" x14ac:dyDescent="0.15">
      <c r="C659" s="24"/>
      <c r="D659" s="20"/>
      <c r="I659" s="20"/>
      <c r="K659" s="9"/>
    </row>
    <row r="660" spans="3:11" ht="13" x14ac:dyDescent="0.15">
      <c r="C660" s="24"/>
      <c r="D660" s="20"/>
      <c r="I660" s="20"/>
      <c r="K660" s="9"/>
    </row>
    <row r="661" spans="3:11" ht="13" x14ac:dyDescent="0.15">
      <c r="C661" s="24"/>
      <c r="D661" s="20"/>
      <c r="I661" s="20"/>
      <c r="K661" s="9"/>
    </row>
    <row r="662" spans="3:11" ht="13" x14ac:dyDescent="0.15">
      <c r="C662" s="24"/>
      <c r="D662" s="20"/>
      <c r="I662" s="20"/>
      <c r="K662" s="9"/>
    </row>
    <row r="663" spans="3:11" ht="13" x14ac:dyDescent="0.15">
      <c r="C663" s="24"/>
      <c r="D663" s="20"/>
      <c r="I663" s="20"/>
      <c r="K663" s="9"/>
    </row>
    <row r="664" spans="3:11" ht="13" x14ac:dyDescent="0.15">
      <c r="C664" s="24"/>
      <c r="D664" s="20"/>
      <c r="I664" s="20"/>
      <c r="K664" s="9"/>
    </row>
    <row r="665" spans="3:11" ht="13" x14ac:dyDescent="0.15">
      <c r="C665" s="24"/>
      <c r="D665" s="20"/>
      <c r="I665" s="20"/>
      <c r="K665" s="9"/>
    </row>
    <row r="666" spans="3:11" ht="13" x14ac:dyDescent="0.15">
      <c r="C666" s="24"/>
      <c r="D666" s="20"/>
      <c r="I666" s="20"/>
      <c r="K666" s="9"/>
    </row>
    <row r="667" spans="3:11" ht="13" x14ac:dyDescent="0.15">
      <c r="C667" s="24"/>
      <c r="D667" s="20"/>
      <c r="I667" s="20"/>
      <c r="K667" s="9"/>
    </row>
    <row r="668" spans="3:11" ht="13" x14ac:dyDescent="0.15">
      <c r="C668" s="24"/>
      <c r="D668" s="20"/>
      <c r="I668" s="20"/>
      <c r="K668" s="9"/>
    </row>
    <row r="669" spans="3:11" ht="13" x14ac:dyDescent="0.15">
      <c r="C669" s="24"/>
      <c r="D669" s="20"/>
      <c r="I669" s="20"/>
      <c r="K669" s="9"/>
    </row>
    <row r="670" spans="3:11" ht="13" x14ac:dyDescent="0.15">
      <c r="C670" s="24"/>
      <c r="D670" s="20"/>
      <c r="I670" s="20"/>
      <c r="K670" s="9"/>
    </row>
    <row r="671" spans="3:11" ht="13" x14ac:dyDescent="0.15">
      <c r="C671" s="24"/>
      <c r="D671" s="20"/>
      <c r="I671" s="20"/>
      <c r="K671" s="9"/>
    </row>
    <row r="672" spans="3:11" ht="13" x14ac:dyDescent="0.15">
      <c r="C672" s="24"/>
      <c r="D672" s="20"/>
      <c r="I672" s="20"/>
      <c r="K672" s="9"/>
    </row>
    <row r="673" spans="3:11" ht="13" x14ac:dyDescent="0.15">
      <c r="C673" s="24"/>
      <c r="D673" s="20"/>
      <c r="I673" s="20"/>
      <c r="K673" s="9"/>
    </row>
    <row r="674" spans="3:11" ht="13" x14ac:dyDescent="0.15">
      <c r="C674" s="24"/>
      <c r="D674" s="20"/>
      <c r="I674" s="20"/>
      <c r="K674" s="9"/>
    </row>
    <row r="675" spans="3:11" ht="13" x14ac:dyDescent="0.15">
      <c r="C675" s="24"/>
      <c r="D675" s="20"/>
      <c r="I675" s="20"/>
      <c r="K675" s="9"/>
    </row>
    <row r="676" spans="3:11" ht="13" x14ac:dyDescent="0.15">
      <c r="C676" s="24"/>
      <c r="D676" s="20"/>
      <c r="I676" s="20"/>
      <c r="K676" s="9"/>
    </row>
    <row r="677" spans="3:11" ht="13" x14ac:dyDescent="0.15">
      <c r="C677" s="24"/>
      <c r="D677" s="20"/>
      <c r="I677" s="20"/>
      <c r="K677" s="9"/>
    </row>
    <row r="678" spans="3:11" ht="13" x14ac:dyDescent="0.15">
      <c r="C678" s="24"/>
      <c r="D678" s="20"/>
      <c r="I678" s="20"/>
      <c r="K678" s="9"/>
    </row>
    <row r="679" spans="3:11" ht="13" x14ac:dyDescent="0.15">
      <c r="C679" s="24"/>
      <c r="D679" s="20"/>
      <c r="I679" s="20"/>
      <c r="K679" s="9"/>
    </row>
    <row r="680" spans="3:11" ht="13" x14ac:dyDescent="0.15">
      <c r="C680" s="24"/>
      <c r="D680" s="20"/>
      <c r="I680" s="20"/>
      <c r="K680" s="9"/>
    </row>
    <row r="681" spans="3:11" ht="13" x14ac:dyDescent="0.15">
      <c r="C681" s="24"/>
      <c r="D681" s="20"/>
      <c r="I681" s="20"/>
      <c r="K681" s="9"/>
    </row>
    <row r="682" spans="3:11" ht="13" x14ac:dyDescent="0.15">
      <c r="C682" s="24"/>
      <c r="D682" s="20"/>
      <c r="I682" s="20"/>
      <c r="K682" s="9"/>
    </row>
    <row r="683" spans="3:11" ht="13" x14ac:dyDescent="0.15">
      <c r="C683" s="24"/>
      <c r="D683" s="20"/>
      <c r="I683" s="20"/>
      <c r="K683" s="9"/>
    </row>
    <row r="684" spans="3:11" ht="13" x14ac:dyDescent="0.15">
      <c r="C684" s="24"/>
      <c r="D684" s="20"/>
      <c r="I684" s="20"/>
      <c r="K684" s="9"/>
    </row>
    <row r="685" spans="3:11" ht="13" x14ac:dyDescent="0.15">
      <c r="C685" s="24"/>
      <c r="D685" s="20"/>
      <c r="I685" s="20"/>
      <c r="K685" s="9"/>
    </row>
    <row r="686" spans="3:11" ht="13" x14ac:dyDescent="0.15">
      <c r="C686" s="24"/>
      <c r="D686" s="20"/>
      <c r="I686" s="20"/>
      <c r="K686" s="9"/>
    </row>
    <row r="687" spans="3:11" ht="13" x14ac:dyDescent="0.15">
      <c r="C687" s="24"/>
      <c r="D687" s="20"/>
      <c r="I687" s="20"/>
      <c r="K687" s="9"/>
    </row>
    <row r="688" spans="3:11" ht="13" x14ac:dyDescent="0.15">
      <c r="C688" s="24"/>
      <c r="D688" s="20"/>
      <c r="I688" s="20"/>
      <c r="K688" s="9"/>
    </row>
    <row r="689" spans="3:11" ht="13" x14ac:dyDescent="0.15">
      <c r="C689" s="24"/>
      <c r="D689" s="20"/>
      <c r="I689" s="20"/>
      <c r="K689" s="9"/>
    </row>
    <row r="690" spans="3:11" ht="13" x14ac:dyDescent="0.15">
      <c r="C690" s="24"/>
      <c r="D690" s="20"/>
      <c r="I690" s="20"/>
      <c r="K690" s="9"/>
    </row>
    <row r="691" spans="3:11" ht="13" x14ac:dyDescent="0.15">
      <c r="C691" s="24"/>
      <c r="D691" s="20"/>
      <c r="I691" s="20"/>
      <c r="K691" s="9"/>
    </row>
    <row r="692" spans="3:11" ht="13" x14ac:dyDescent="0.15">
      <c r="C692" s="24"/>
      <c r="D692" s="20"/>
      <c r="I692" s="20"/>
      <c r="K692" s="9"/>
    </row>
    <row r="693" spans="3:11" ht="13" x14ac:dyDescent="0.15">
      <c r="C693" s="24"/>
      <c r="D693" s="20"/>
      <c r="I693" s="20"/>
      <c r="K693" s="9"/>
    </row>
    <row r="694" spans="3:11" ht="13" x14ac:dyDescent="0.15">
      <c r="C694" s="24"/>
      <c r="D694" s="20"/>
      <c r="I694" s="20"/>
      <c r="K694" s="9"/>
    </row>
    <row r="695" spans="3:11" ht="13" x14ac:dyDescent="0.15">
      <c r="C695" s="24"/>
      <c r="D695" s="20"/>
      <c r="I695" s="20"/>
      <c r="K695" s="9"/>
    </row>
    <row r="696" spans="3:11" ht="13" x14ac:dyDescent="0.15">
      <c r="C696" s="24"/>
      <c r="D696" s="20"/>
      <c r="I696" s="20"/>
      <c r="K696" s="9"/>
    </row>
    <row r="697" spans="3:11" ht="13" x14ac:dyDescent="0.15">
      <c r="C697" s="24"/>
      <c r="D697" s="20"/>
      <c r="I697" s="20"/>
      <c r="K697" s="9"/>
    </row>
    <row r="698" spans="3:11" ht="13" x14ac:dyDescent="0.15">
      <c r="C698" s="24"/>
      <c r="D698" s="20"/>
      <c r="I698" s="20"/>
      <c r="K698" s="9"/>
    </row>
    <row r="699" spans="3:11" ht="13" x14ac:dyDescent="0.15">
      <c r="C699" s="24"/>
      <c r="D699" s="20"/>
      <c r="I699" s="20"/>
      <c r="K699" s="9"/>
    </row>
    <row r="700" spans="3:11" ht="13" x14ac:dyDescent="0.15">
      <c r="C700" s="24"/>
      <c r="D700" s="20"/>
      <c r="I700" s="20"/>
      <c r="K700" s="9"/>
    </row>
    <row r="701" spans="3:11" ht="13" x14ac:dyDescent="0.15">
      <c r="C701" s="24"/>
      <c r="D701" s="20"/>
      <c r="I701" s="20"/>
      <c r="K701" s="9"/>
    </row>
    <row r="702" spans="3:11" ht="13" x14ac:dyDescent="0.15">
      <c r="C702" s="24"/>
      <c r="D702" s="20"/>
      <c r="I702" s="20"/>
      <c r="K702" s="9"/>
    </row>
    <row r="703" spans="3:11" ht="13" x14ac:dyDescent="0.15">
      <c r="C703" s="24"/>
      <c r="D703" s="20"/>
      <c r="I703" s="20"/>
      <c r="K703" s="9"/>
    </row>
    <row r="704" spans="3:11" ht="13" x14ac:dyDescent="0.15">
      <c r="C704" s="24"/>
      <c r="D704" s="20"/>
      <c r="I704" s="20"/>
      <c r="K704" s="9"/>
    </row>
    <row r="705" spans="3:11" ht="13" x14ac:dyDescent="0.15">
      <c r="C705" s="24"/>
      <c r="D705" s="20"/>
      <c r="I705" s="20"/>
      <c r="K705" s="9"/>
    </row>
    <row r="706" spans="3:11" ht="13" x14ac:dyDescent="0.15">
      <c r="C706" s="24"/>
      <c r="D706" s="20"/>
      <c r="I706" s="20"/>
      <c r="K706" s="9"/>
    </row>
    <row r="707" spans="3:11" ht="13" x14ac:dyDescent="0.15">
      <c r="C707" s="24"/>
      <c r="D707" s="20"/>
      <c r="I707" s="20"/>
      <c r="K707" s="9"/>
    </row>
    <row r="708" spans="3:11" ht="13" x14ac:dyDescent="0.15">
      <c r="C708" s="24"/>
      <c r="D708" s="20"/>
      <c r="I708" s="20"/>
      <c r="K708" s="9"/>
    </row>
    <row r="709" spans="3:11" ht="13" x14ac:dyDescent="0.15">
      <c r="C709" s="24"/>
      <c r="D709" s="20"/>
      <c r="I709" s="20"/>
      <c r="K709" s="9"/>
    </row>
    <row r="710" spans="3:11" ht="13" x14ac:dyDescent="0.15">
      <c r="C710" s="24"/>
      <c r="D710" s="20"/>
      <c r="I710" s="20"/>
      <c r="K710" s="9"/>
    </row>
    <row r="711" spans="3:11" ht="13" x14ac:dyDescent="0.15">
      <c r="C711" s="24"/>
      <c r="D711" s="20"/>
      <c r="I711" s="20"/>
      <c r="K711" s="9"/>
    </row>
    <row r="712" spans="3:11" ht="13" x14ac:dyDescent="0.15">
      <c r="C712" s="24"/>
      <c r="D712" s="20"/>
      <c r="I712" s="20"/>
      <c r="K712" s="9"/>
    </row>
    <row r="713" spans="3:11" ht="13" x14ac:dyDescent="0.15">
      <c r="C713" s="24"/>
      <c r="D713" s="20"/>
      <c r="I713" s="20"/>
      <c r="K713" s="9"/>
    </row>
    <row r="714" spans="3:11" ht="13" x14ac:dyDescent="0.15">
      <c r="C714" s="24"/>
      <c r="D714" s="20"/>
      <c r="I714" s="20"/>
      <c r="K714" s="9"/>
    </row>
    <row r="715" spans="3:11" ht="13" x14ac:dyDescent="0.15">
      <c r="C715" s="24"/>
      <c r="D715" s="20"/>
      <c r="I715" s="20"/>
      <c r="K715" s="9"/>
    </row>
    <row r="716" spans="3:11" ht="13" x14ac:dyDescent="0.15">
      <c r="C716" s="24"/>
      <c r="D716" s="20"/>
      <c r="I716" s="20"/>
      <c r="K716" s="9"/>
    </row>
    <row r="717" spans="3:11" ht="13" x14ac:dyDescent="0.15">
      <c r="C717" s="24"/>
      <c r="D717" s="20"/>
      <c r="I717" s="20"/>
      <c r="K717" s="9"/>
    </row>
    <row r="718" spans="3:11" ht="13" x14ac:dyDescent="0.15">
      <c r="C718" s="24"/>
      <c r="D718" s="20"/>
      <c r="I718" s="20"/>
      <c r="K718" s="9"/>
    </row>
    <row r="719" spans="3:11" ht="13" x14ac:dyDescent="0.15">
      <c r="C719" s="24"/>
      <c r="D719" s="20"/>
      <c r="I719" s="20"/>
      <c r="K719" s="9"/>
    </row>
    <row r="720" spans="3:11" ht="13" x14ac:dyDescent="0.15">
      <c r="C720" s="24"/>
      <c r="D720" s="20"/>
      <c r="I720" s="20"/>
      <c r="K720" s="9"/>
    </row>
    <row r="721" spans="3:11" ht="13" x14ac:dyDescent="0.15">
      <c r="C721" s="24"/>
      <c r="D721" s="20"/>
      <c r="I721" s="20"/>
      <c r="K721" s="9"/>
    </row>
    <row r="722" spans="3:11" ht="13" x14ac:dyDescent="0.15">
      <c r="C722" s="24"/>
      <c r="D722" s="20"/>
      <c r="I722" s="20"/>
      <c r="K722" s="9"/>
    </row>
    <row r="723" spans="3:11" ht="13" x14ac:dyDescent="0.15">
      <c r="C723" s="24"/>
      <c r="D723" s="20"/>
      <c r="I723" s="20"/>
      <c r="K723" s="9"/>
    </row>
    <row r="724" spans="3:11" ht="13" x14ac:dyDescent="0.15">
      <c r="C724" s="24"/>
      <c r="D724" s="20"/>
      <c r="I724" s="20"/>
      <c r="K724" s="9"/>
    </row>
    <row r="725" spans="3:11" ht="13" x14ac:dyDescent="0.15">
      <c r="C725" s="24"/>
      <c r="D725" s="20"/>
      <c r="I725" s="20"/>
      <c r="K725" s="9"/>
    </row>
    <row r="726" spans="3:11" ht="13" x14ac:dyDescent="0.15">
      <c r="C726" s="24"/>
      <c r="D726" s="20"/>
      <c r="I726" s="20"/>
      <c r="K726" s="9"/>
    </row>
    <row r="727" spans="3:11" ht="13" x14ac:dyDescent="0.15">
      <c r="C727" s="24"/>
      <c r="D727" s="20"/>
      <c r="I727" s="20"/>
      <c r="K727" s="9"/>
    </row>
    <row r="728" spans="3:11" ht="13" x14ac:dyDescent="0.15">
      <c r="C728" s="24"/>
      <c r="D728" s="20"/>
      <c r="I728" s="20"/>
      <c r="K728" s="9"/>
    </row>
    <row r="729" spans="3:11" ht="13" x14ac:dyDescent="0.15">
      <c r="C729" s="24"/>
      <c r="D729" s="20"/>
      <c r="I729" s="20"/>
      <c r="K729" s="9"/>
    </row>
    <row r="730" spans="3:11" ht="13" x14ac:dyDescent="0.15">
      <c r="C730" s="24"/>
      <c r="D730" s="20"/>
      <c r="I730" s="20"/>
      <c r="K730" s="9"/>
    </row>
    <row r="731" spans="3:11" ht="13" x14ac:dyDescent="0.15">
      <c r="C731" s="24"/>
      <c r="D731" s="20"/>
      <c r="I731" s="20"/>
      <c r="K731" s="9"/>
    </row>
    <row r="732" spans="3:11" ht="13" x14ac:dyDescent="0.15">
      <c r="C732" s="24"/>
      <c r="D732" s="20"/>
      <c r="I732" s="20"/>
      <c r="K732" s="9"/>
    </row>
    <row r="733" spans="3:11" ht="13" x14ac:dyDescent="0.15">
      <c r="C733" s="24"/>
      <c r="D733" s="20"/>
      <c r="I733" s="20"/>
      <c r="K733" s="9"/>
    </row>
    <row r="734" spans="3:11" ht="13" x14ac:dyDescent="0.15">
      <c r="C734" s="24"/>
      <c r="D734" s="20"/>
      <c r="I734" s="20"/>
      <c r="K734" s="9"/>
    </row>
    <row r="735" spans="3:11" ht="13" x14ac:dyDescent="0.15">
      <c r="C735" s="24"/>
      <c r="D735" s="20"/>
      <c r="I735" s="20"/>
      <c r="K735" s="9"/>
    </row>
    <row r="736" spans="3:11" ht="13" x14ac:dyDescent="0.15">
      <c r="C736" s="24"/>
      <c r="D736" s="20"/>
      <c r="I736" s="20"/>
      <c r="K736" s="9"/>
    </row>
    <row r="737" spans="3:11" ht="13" x14ac:dyDescent="0.15">
      <c r="C737" s="24"/>
      <c r="D737" s="20"/>
      <c r="I737" s="20"/>
      <c r="K737" s="9"/>
    </row>
    <row r="738" spans="3:11" ht="13" x14ac:dyDescent="0.15">
      <c r="C738" s="24"/>
      <c r="D738" s="20"/>
      <c r="I738" s="20"/>
      <c r="K738" s="9"/>
    </row>
    <row r="739" spans="3:11" ht="13" x14ac:dyDescent="0.15">
      <c r="C739" s="24"/>
      <c r="D739" s="20"/>
      <c r="I739" s="20"/>
      <c r="K739" s="9"/>
    </row>
    <row r="740" spans="3:11" ht="13" x14ac:dyDescent="0.15">
      <c r="C740" s="24"/>
      <c r="D740" s="20"/>
      <c r="I740" s="20"/>
      <c r="K740" s="9"/>
    </row>
    <row r="741" spans="3:11" ht="13" x14ac:dyDescent="0.15">
      <c r="C741" s="24"/>
      <c r="D741" s="20"/>
      <c r="I741" s="20"/>
      <c r="K741" s="9"/>
    </row>
    <row r="742" spans="3:11" ht="13" x14ac:dyDescent="0.15">
      <c r="C742" s="24"/>
      <c r="D742" s="20"/>
      <c r="I742" s="20"/>
      <c r="K742" s="9"/>
    </row>
    <row r="743" spans="3:11" ht="13" x14ac:dyDescent="0.15">
      <c r="C743" s="24"/>
      <c r="D743" s="20"/>
      <c r="I743" s="20"/>
      <c r="K743" s="9"/>
    </row>
    <row r="744" spans="3:11" ht="13" x14ac:dyDescent="0.15">
      <c r="C744" s="24"/>
      <c r="D744" s="20"/>
      <c r="I744" s="20"/>
      <c r="K744" s="9"/>
    </row>
    <row r="745" spans="3:11" ht="13" x14ac:dyDescent="0.15">
      <c r="C745" s="24"/>
      <c r="D745" s="20"/>
      <c r="I745" s="20"/>
      <c r="K745" s="9"/>
    </row>
    <row r="746" spans="3:11" ht="13" x14ac:dyDescent="0.15">
      <c r="C746" s="24"/>
      <c r="D746" s="20"/>
      <c r="I746" s="20"/>
      <c r="K746" s="9"/>
    </row>
    <row r="747" spans="3:11" ht="13" x14ac:dyDescent="0.15">
      <c r="C747" s="24"/>
      <c r="D747" s="20"/>
      <c r="I747" s="20"/>
      <c r="K747" s="9"/>
    </row>
    <row r="748" spans="3:11" ht="13" x14ac:dyDescent="0.15">
      <c r="C748" s="24"/>
      <c r="D748" s="20"/>
      <c r="I748" s="20"/>
      <c r="K748" s="9"/>
    </row>
    <row r="749" spans="3:11" ht="13" x14ac:dyDescent="0.15">
      <c r="C749" s="24"/>
      <c r="D749" s="20"/>
      <c r="I749" s="20"/>
      <c r="K749" s="9"/>
    </row>
    <row r="750" spans="3:11" ht="13" x14ac:dyDescent="0.15">
      <c r="C750" s="24"/>
      <c r="D750" s="20"/>
      <c r="I750" s="20"/>
      <c r="K750" s="9"/>
    </row>
    <row r="751" spans="3:11" ht="13" x14ac:dyDescent="0.15">
      <c r="C751" s="24"/>
      <c r="D751" s="20"/>
      <c r="I751" s="20"/>
      <c r="K751" s="9"/>
    </row>
    <row r="752" spans="3:11" ht="13" x14ac:dyDescent="0.15">
      <c r="C752" s="24"/>
      <c r="D752" s="20"/>
      <c r="I752" s="20"/>
      <c r="K752" s="9"/>
    </row>
    <row r="753" spans="3:11" ht="13" x14ac:dyDescent="0.15">
      <c r="C753" s="24"/>
      <c r="D753" s="20"/>
      <c r="I753" s="20"/>
      <c r="K753" s="9"/>
    </row>
    <row r="754" spans="3:11" ht="13" x14ac:dyDescent="0.15">
      <c r="C754" s="24"/>
      <c r="D754" s="20"/>
      <c r="I754" s="20"/>
      <c r="K754" s="9"/>
    </row>
    <row r="755" spans="3:11" ht="13" x14ac:dyDescent="0.15">
      <c r="C755" s="24"/>
      <c r="D755" s="20"/>
      <c r="I755" s="20"/>
      <c r="K755" s="9"/>
    </row>
    <row r="756" spans="3:11" ht="13" x14ac:dyDescent="0.15">
      <c r="C756" s="24"/>
      <c r="D756" s="20"/>
      <c r="I756" s="20"/>
      <c r="K756" s="9"/>
    </row>
    <row r="757" spans="3:11" ht="13" x14ac:dyDescent="0.15">
      <c r="C757" s="24"/>
      <c r="D757" s="20"/>
      <c r="I757" s="20"/>
      <c r="K757" s="9"/>
    </row>
    <row r="758" spans="3:11" ht="13" x14ac:dyDescent="0.15">
      <c r="C758" s="24"/>
      <c r="D758" s="20"/>
      <c r="I758" s="20"/>
      <c r="K758" s="9"/>
    </row>
    <row r="759" spans="3:11" ht="13" x14ac:dyDescent="0.15">
      <c r="C759" s="24"/>
      <c r="D759" s="20"/>
      <c r="I759" s="20"/>
      <c r="K759" s="9"/>
    </row>
    <row r="760" spans="3:11" ht="13" x14ac:dyDescent="0.15">
      <c r="C760" s="24"/>
      <c r="D760" s="20"/>
      <c r="I760" s="20"/>
      <c r="K760" s="9"/>
    </row>
    <row r="761" spans="3:11" ht="13" x14ac:dyDescent="0.15">
      <c r="C761" s="24"/>
      <c r="D761" s="20"/>
      <c r="I761" s="20"/>
      <c r="K761" s="9"/>
    </row>
    <row r="762" spans="3:11" ht="13" x14ac:dyDescent="0.15">
      <c r="C762" s="24"/>
      <c r="D762" s="20"/>
      <c r="I762" s="20"/>
      <c r="K762" s="9"/>
    </row>
    <row r="763" spans="3:11" ht="13" x14ac:dyDescent="0.15">
      <c r="C763" s="24"/>
      <c r="D763" s="20"/>
      <c r="I763" s="20"/>
      <c r="K763" s="9"/>
    </row>
    <row r="764" spans="3:11" ht="13" x14ac:dyDescent="0.15">
      <c r="C764" s="24"/>
      <c r="D764" s="20"/>
      <c r="I764" s="20"/>
      <c r="K764" s="9"/>
    </row>
    <row r="765" spans="3:11" ht="13" x14ac:dyDescent="0.15">
      <c r="C765" s="24"/>
      <c r="D765" s="20"/>
      <c r="I765" s="20"/>
      <c r="K765" s="9"/>
    </row>
    <row r="766" spans="3:11" ht="13" x14ac:dyDescent="0.15">
      <c r="C766" s="24"/>
      <c r="D766" s="20"/>
      <c r="I766" s="20"/>
      <c r="K766" s="9"/>
    </row>
    <row r="767" spans="3:11" ht="13" x14ac:dyDescent="0.15">
      <c r="C767" s="24"/>
      <c r="D767" s="20"/>
      <c r="I767" s="20"/>
      <c r="K767" s="9"/>
    </row>
    <row r="768" spans="3:11" ht="13" x14ac:dyDescent="0.15">
      <c r="C768" s="24"/>
      <c r="D768" s="20"/>
      <c r="I768" s="20"/>
      <c r="K768" s="9"/>
    </row>
    <row r="769" spans="3:11" ht="13" x14ac:dyDescent="0.15">
      <c r="C769" s="24"/>
      <c r="D769" s="20"/>
      <c r="I769" s="20"/>
      <c r="K769" s="9"/>
    </row>
    <row r="770" spans="3:11" ht="13" x14ac:dyDescent="0.15">
      <c r="C770" s="24"/>
      <c r="D770" s="20"/>
      <c r="I770" s="20"/>
      <c r="K770" s="9"/>
    </row>
    <row r="771" spans="3:11" ht="13" x14ac:dyDescent="0.15">
      <c r="C771" s="24"/>
      <c r="D771" s="20"/>
      <c r="I771" s="20"/>
      <c r="K771" s="9"/>
    </row>
    <row r="772" spans="3:11" ht="13" x14ac:dyDescent="0.15">
      <c r="C772" s="24"/>
      <c r="D772" s="20"/>
      <c r="I772" s="20"/>
      <c r="K772" s="9"/>
    </row>
    <row r="773" spans="3:11" ht="13" x14ac:dyDescent="0.15">
      <c r="C773" s="24"/>
      <c r="D773" s="20"/>
      <c r="I773" s="20"/>
      <c r="K773" s="9"/>
    </row>
    <row r="774" spans="3:11" ht="13" x14ac:dyDescent="0.15">
      <c r="C774" s="24"/>
      <c r="D774" s="20"/>
      <c r="I774" s="20"/>
      <c r="K774" s="9"/>
    </row>
    <row r="775" spans="3:11" ht="13" x14ac:dyDescent="0.15">
      <c r="C775" s="24"/>
      <c r="D775" s="20"/>
      <c r="I775" s="20"/>
      <c r="K775" s="9"/>
    </row>
    <row r="776" spans="3:11" ht="13" x14ac:dyDescent="0.15">
      <c r="C776" s="24"/>
      <c r="D776" s="20"/>
      <c r="I776" s="20"/>
      <c r="K776" s="9"/>
    </row>
    <row r="777" spans="3:11" ht="13" x14ac:dyDescent="0.15">
      <c r="C777" s="24"/>
      <c r="D777" s="20"/>
      <c r="I777" s="20"/>
      <c r="K777" s="9"/>
    </row>
    <row r="778" spans="3:11" ht="13" x14ac:dyDescent="0.15">
      <c r="C778" s="24"/>
      <c r="D778" s="20"/>
      <c r="I778" s="20"/>
      <c r="K778" s="9"/>
    </row>
    <row r="779" spans="3:11" ht="13" x14ac:dyDescent="0.15">
      <c r="C779" s="24"/>
      <c r="D779" s="20"/>
      <c r="I779" s="20"/>
      <c r="K779" s="9"/>
    </row>
    <row r="780" spans="3:11" ht="13" x14ac:dyDescent="0.15">
      <c r="C780" s="24"/>
      <c r="D780" s="20"/>
      <c r="I780" s="20"/>
      <c r="K780" s="9"/>
    </row>
    <row r="781" spans="3:11" ht="13" x14ac:dyDescent="0.15">
      <c r="C781" s="24"/>
      <c r="D781" s="20"/>
      <c r="I781" s="20"/>
      <c r="K781" s="9"/>
    </row>
    <row r="782" spans="3:11" ht="13" x14ac:dyDescent="0.15">
      <c r="C782" s="24"/>
      <c r="D782" s="20"/>
      <c r="I782" s="20"/>
      <c r="K782" s="9"/>
    </row>
    <row r="783" spans="3:11" ht="13" x14ac:dyDescent="0.15">
      <c r="C783" s="24"/>
      <c r="D783" s="20"/>
      <c r="I783" s="20"/>
      <c r="K783" s="9"/>
    </row>
    <row r="784" spans="3:11" ht="13" x14ac:dyDescent="0.15">
      <c r="C784" s="24"/>
      <c r="D784" s="20"/>
      <c r="I784" s="20"/>
      <c r="K784" s="9"/>
    </row>
    <row r="785" spans="3:11" ht="13" x14ac:dyDescent="0.15">
      <c r="C785" s="24"/>
      <c r="D785" s="20"/>
      <c r="I785" s="20"/>
      <c r="K785" s="9"/>
    </row>
    <row r="786" spans="3:11" ht="13" x14ac:dyDescent="0.15">
      <c r="C786" s="24"/>
      <c r="D786" s="20"/>
      <c r="I786" s="20"/>
      <c r="K786" s="9"/>
    </row>
    <row r="787" spans="3:11" ht="13" x14ac:dyDescent="0.15">
      <c r="C787" s="24"/>
      <c r="D787" s="20"/>
      <c r="I787" s="20"/>
      <c r="K787" s="9"/>
    </row>
    <row r="788" spans="3:11" ht="13" x14ac:dyDescent="0.15">
      <c r="C788" s="24"/>
      <c r="D788" s="20"/>
      <c r="I788" s="20"/>
      <c r="K788" s="9"/>
    </row>
    <row r="789" spans="3:11" ht="13" x14ac:dyDescent="0.15">
      <c r="C789" s="24"/>
      <c r="D789" s="20"/>
      <c r="I789" s="20"/>
      <c r="K789" s="9"/>
    </row>
    <row r="790" spans="3:11" ht="13" x14ac:dyDescent="0.15">
      <c r="C790" s="24"/>
      <c r="D790" s="20"/>
      <c r="I790" s="20"/>
      <c r="K790" s="9"/>
    </row>
    <row r="791" spans="3:11" ht="13" x14ac:dyDescent="0.15">
      <c r="C791" s="24"/>
      <c r="D791" s="20"/>
      <c r="I791" s="20"/>
      <c r="K791" s="9"/>
    </row>
    <row r="792" spans="3:11" ht="13" x14ac:dyDescent="0.15">
      <c r="C792" s="24"/>
      <c r="D792" s="20"/>
      <c r="I792" s="20"/>
      <c r="K792" s="9"/>
    </row>
    <row r="793" spans="3:11" ht="13" x14ac:dyDescent="0.15">
      <c r="C793" s="24"/>
      <c r="D793" s="20"/>
      <c r="I793" s="20"/>
      <c r="K793" s="9"/>
    </row>
    <row r="794" spans="3:11" ht="13" x14ac:dyDescent="0.15">
      <c r="C794" s="24"/>
      <c r="D794" s="20"/>
      <c r="I794" s="20"/>
      <c r="K794" s="9"/>
    </row>
    <row r="795" spans="3:11" ht="13" x14ac:dyDescent="0.15">
      <c r="C795" s="24"/>
      <c r="D795" s="20"/>
      <c r="I795" s="20"/>
      <c r="K795" s="9"/>
    </row>
    <row r="796" spans="3:11" ht="13" x14ac:dyDescent="0.15">
      <c r="C796" s="24"/>
      <c r="D796" s="20"/>
      <c r="I796" s="20"/>
      <c r="K796" s="9"/>
    </row>
    <row r="797" spans="3:11" ht="13" x14ac:dyDescent="0.15">
      <c r="C797" s="24"/>
      <c r="D797" s="20"/>
      <c r="I797" s="20"/>
      <c r="K797" s="9"/>
    </row>
    <row r="798" spans="3:11" ht="13" x14ac:dyDescent="0.15">
      <c r="C798" s="24"/>
      <c r="D798" s="20"/>
      <c r="I798" s="20"/>
      <c r="K798" s="9"/>
    </row>
    <row r="799" spans="3:11" ht="13" x14ac:dyDescent="0.15">
      <c r="C799" s="24"/>
      <c r="D799" s="20"/>
      <c r="I799" s="20"/>
      <c r="K799" s="9"/>
    </row>
    <row r="800" spans="3:11" ht="13" x14ac:dyDescent="0.15">
      <c r="C800" s="24"/>
      <c r="D800" s="20"/>
      <c r="I800" s="20"/>
      <c r="K800" s="9"/>
    </row>
    <row r="801" spans="3:11" ht="13" x14ac:dyDescent="0.15">
      <c r="C801" s="24"/>
      <c r="D801" s="20"/>
      <c r="I801" s="20"/>
      <c r="K801" s="9"/>
    </row>
    <row r="802" spans="3:11" ht="13" x14ac:dyDescent="0.15">
      <c r="C802" s="24"/>
      <c r="D802" s="20"/>
      <c r="I802" s="20"/>
      <c r="K802" s="9"/>
    </row>
    <row r="803" spans="3:11" ht="13" x14ac:dyDescent="0.15">
      <c r="C803" s="24"/>
      <c r="D803" s="20"/>
      <c r="I803" s="20"/>
      <c r="K803" s="9"/>
    </row>
    <row r="804" spans="3:11" ht="13" x14ac:dyDescent="0.15">
      <c r="C804" s="24"/>
      <c r="D804" s="20"/>
      <c r="I804" s="20"/>
      <c r="K804" s="9"/>
    </row>
    <row r="805" spans="3:11" ht="13" x14ac:dyDescent="0.15">
      <c r="C805" s="24"/>
      <c r="D805" s="20"/>
      <c r="I805" s="20"/>
      <c r="K805" s="9"/>
    </row>
    <row r="806" spans="3:11" ht="13" x14ac:dyDescent="0.15">
      <c r="C806" s="24"/>
      <c r="D806" s="20"/>
      <c r="I806" s="20"/>
      <c r="K806" s="9"/>
    </row>
    <row r="807" spans="3:11" ht="13" x14ac:dyDescent="0.15">
      <c r="C807" s="24"/>
      <c r="D807" s="20"/>
      <c r="I807" s="20"/>
      <c r="K807" s="9"/>
    </row>
    <row r="808" spans="3:11" ht="13" x14ac:dyDescent="0.15">
      <c r="C808" s="24"/>
      <c r="D808" s="20"/>
      <c r="I808" s="20"/>
      <c r="K808" s="9"/>
    </row>
    <row r="809" spans="3:11" ht="13" x14ac:dyDescent="0.15">
      <c r="C809" s="24"/>
      <c r="D809" s="20"/>
      <c r="I809" s="20"/>
      <c r="K809" s="9"/>
    </row>
    <row r="810" spans="3:11" ht="13" x14ac:dyDescent="0.15">
      <c r="C810" s="24"/>
      <c r="D810" s="20"/>
      <c r="I810" s="20"/>
      <c r="K810" s="9"/>
    </row>
    <row r="811" spans="3:11" ht="13" x14ac:dyDescent="0.15">
      <c r="C811" s="24"/>
      <c r="D811" s="20"/>
      <c r="I811" s="20"/>
      <c r="K811" s="9"/>
    </row>
    <row r="812" spans="3:11" ht="13" x14ac:dyDescent="0.15">
      <c r="C812" s="24"/>
      <c r="D812" s="20"/>
      <c r="I812" s="20"/>
      <c r="K812" s="9"/>
    </row>
    <row r="813" spans="3:11" ht="13" x14ac:dyDescent="0.15">
      <c r="C813" s="24"/>
      <c r="D813" s="20"/>
      <c r="I813" s="20"/>
      <c r="K813" s="9"/>
    </row>
    <row r="814" spans="3:11" ht="13" x14ac:dyDescent="0.15">
      <c r="C814" s="24"/>
      <c r="D814" s="20"/>
      <c r="I814" s="20"/>
      <c r="K814" s="9"/>
    </row>
    <row r="815" spans="3:11" ht="13" x14ac:dyDescent="0.15">
      <c r="C815" s="24"/>
      <c r="D815" s="20"/>
      <c r="I815" s="20"/>
      <c r="K815" s="9"/>
    </row>
    <row r="816" spans="3:11" ht="13" x14ac:dyDescent="0.15">
      <c r="C816" s="24"/>
      <c r="D816" s="20"/>
      <c r="I816" s="20"/>
      <c r="K816" s="9"/>
    </row>
    <row r="817" spans="3:11" ht="13" x14ac:dyDescent="0.15">
      <c r="C817" s="24"/>
      <c r="D817" s="20"/>
      <c r="I817" s="20"/>
      <c r="K817" s="9"/>
    </row>
    <row r="818" spans="3:11" ht="13" x14ac:dyDescent="0.15">
      <c r="C818" s="24"/>
      <c r="D818" s="20"/>
      <c r="I818" s="20"/>
      <c r="K818" s="9"/>
    </row>
    <row r="819" spans="3:11" ht="13" x14ac:dyDescent="0.15">
      <c r="C819" s="24"/>
      <c r="D819" s="20"/>
      <c r="I819" s="20"/>
      <c r="K819" s="9"/>
    </row>
    <row r="820" spans="3:11" ht="13" x14ac:dyDescent="0.15">
      <c r="C820" s="24"/>
      <c r="D820" s="20"/>
      <c r="I820" s="20"/>
      <c r="K820" s="9"/>
    </row>
    <row r="821" spans="3:11" ht="13" x14ac:dyDescent="0.15">
      <c r="C821" s="24"/>
      <c r="D821" s="20"/>
      <c r="I821" s="20"/>
      <c r="K821" s="9"/>
    </row>
    <row r="822" spans="3:11" ht="13" x14ac:dyDescent="0.15">
      <c r="C822" s="24"/>
      <c r="D822" s="20"/>
      <c r="I822" s="20"/>
      <c r="K822" s="9"/>
    </row>
    <row r="823" spans="3:11" ht="13" x14ac:dyDescent="0.15">
      <c r="C823" s="24"/>
      <c r="D823" s="20"/>
      <c r="I823" s="20"/>
      <c r="K823" s="9"/>
    </row>
    <row r="824" spans="3:11" ht="13" x14ac:dyDescent="0.15">
      <c r="C824" s="24"/>
      <c r="D824" s="20"/>
      <c r="I824" s="20"/>
      <c r="K824" s="9"/>
    </row>
    <row r="825" spans="3:11" ht="13" x14ac:dyDescent="0.15">
      <c r="C825" s="24"/>
      <c r="D825" s="20"/>
      <c r="I825" s="20"/>
      <c r="K825" s="9"/>
    </row>
    <row r="826" spans="3:11" ht="13" x14ac:dyDescent="0.15">
      <c r="C826" s="24"/>
      <c r="D826" s="20"/>
      <c r="I826" s="20"/>
      <c r="K826" s="9"/>
    </row>
    <row r="827" spans="3:11" ht="13" x14ac:dyDescent="0.15">
      <c r="C827" s="24"/>
      <c r="D827" s="20"/>
      <c r="I827" s="20"/>
      <c r="K827" s="9"/>
    </row>
    <row r="828" spans="3:11" ht="13" x14ac:dyDescent="0.15">
      <c r="C828" s="24"/>
      <c r="D828" s="20"/>
      <c r="I828" s="20"/>
      <c r="K828" s="9"/>
    </row>
    <row r="829" spans="3:11" ht="13" x14ac:dyDescent="0.15">
      <c r="C829" s="24"/>
      <c r="D829" s="20"/>
      <c r="I829" s="20"/>
      <c r="K829" s="9"/>
    </row>
    <row r="830" spans="3:11" ht="13" x14ac:dyDescent="0.15">
      <c r="C830" s="24"/>
      <c r="D830" s="20"/>
      <c r="I830" s="20"/>
      <c r="K830" s="9"/>
    </row>
    <row r="831" spans="3:11" ht="13" x14ac:dyDescent="0.15">
      <c r="C831" s="24"/>
      <c r="D831" s="20"/>
      <c r="I831" s="20"/>
      <c r="K831" s="9"/>
    </row>
    <row r="832" spans="3:11" ht="13" x14ac:dyDescent="0.15">
      <c r="C832" s="24"/>
      <c r="D832" s="20"/>
      <c r="I832" s="20"/>
      <c r="K832" s="9"/>
    </row>
    <row r="833" spans="3:11" ht="13" x14ac:dyDescent="0.15">
      <c r="C833" s="24"/>
      <c r="D833" s="20"/>
      <c r="I833" s="20"/>
      <c r="K833" s="9"/>
    </row>
    <row r="834" spans="3:11" ht="13" x14ac:dyDescent="0.15">
      <c r="C834" s="24"/>
      <c r="D834" s="20"/>
      <c r="I834" s="20"/>
      <c r="K834" s="9"/>
    </row>
    <row r="835" spans="3:11" ht="13" x14ac:dyDescent="0.15">
      <c r="C835" s="24"/>
      <c r="D835" s="20"/>
      <c r="I835" s="20"/>
      <c r="K835" s="9"/>
    </row>
    <row r="836" spans="3:11" ht="13" x14ac:dyDescent="0.15">
      <c r="C836" s="24"/>
      <c r="D836" s="20"/>
      <c r="I836" s="20"/>
      <c r="K836" s="9"/>
    </row>
    <row r="837" spans="3:11" ht="13" x14ac:dyDescent="0.15">
      <c r="C837" s="24"/>
      <c r="D837" s="20"/>
      <c r="I837" s="20"/>
      <c r="K837" s="9"/>
    </row>
    <row r="838" spans="3:11" ht="13" x14ac:dyDescent="0.15">
      <c r="C838" s="24"/>
      <c r="D838" s="20"/>
      <c r="I838" s="20"/>
      <c r="K838" s="9"/>
    </row>
    <row r="839" spans="3:11" ht="13" x14ac:dyDescent="0.15">
      <c r="C839" s="24"/>
      <c r="D839" s="20"/>
      <c r="I839" s="20"/>
      <c r="K839" s="9"/>
    </row>
    <row r="840" spans="3:11" ht="13" x14ac:dyDescent="0.15">
      <c r="C840" s="24"/>
      <c r="D840" s="20"/>
      <c r="I840" s="20"/>
      <c r="K840" s="9"/>
    </row>
    <row r="841" spans="3:11" ht="13" x14ac:dyDescent="0.15">
      <c r="C841" s="24"/>
      <c r="D841" s="20"/>
      <c r="I841" s="20"/>
      <c r="K841" s="9"/>
    </row>
    <row r="842" spans="3:11" ht="13" x14ac:dyDescent="0.15">
      <c r="C842" s="24"/>
      <c r="D842" s="20"/>
      <c r="I842" s="20"/>
      <c r="K842" s="9"/>
    </row>
    <row r="843" spans="3:11" ht="13" x14ac:dyDescent="0.15">
      <c r="C843" s="24"/>
      <c r="D843" s="20"/>
      <c r="I843" s="20"/>
      <c r="K843" s="9"/>
    </row>
    <row r="844" spans="3:11" ht="13" x14ac:dyDescent="0.15">
      <c r="C844" s="24"/>
      <c r="D844" s="20"/>
      <c r="I844" s="20"/>
      <c r="K844" s="9"/>
    </row>
    <row r="845" spans="3:11" ht="13" x14ac:dyDescent="0.15">
      <c r="C845" s="24"/>
      <c r="D845" s="20"/>
      <c r="I845" s="20"/>
      <c r="K845" s="9"/>
    </row>
    <row r="846" spans="3:11" ht="13" x14ac:dyDescent="0.15">
      <c r="C846" s="24"/>
      <c r="D846" s="20"/>
      <c r="I846" s="20"/>
      <c r="K846" s="9"/>
    </row>
    <row r="847" spans="3:11" ht="13" x14ac:dyDescent="0.15">
      <c r="C847" s="24"/>
      <c r="D847" s="20"/>
      <c r="I847" s="20"/>
      <c r="K847" s="9"/>
    </row>
    <row r="848" spans="3:11" ht="13" x14ac:dyDescent="0.15">
      <c r="C848" s="24"/>
      <c r="D848" s="20"/>
      <c r="I848" s="20"/>
      <c r="K848" s="9"/>
    </row>
    <row r="849" spans="3:11" ht="13" x14ac:dyDescent="0.15">
      <c r="C849" s="24"/>
      <c r="D849" s="20"/>
      <c r="I849" s="20"/>
      <c r="K849" s="9"/>
    </row>
    <row r="850" spans="3:11" ht="13" x14ac:dyDescent="0.15">
      <c r="C850" s="24"/>
      <c r="D850" s="20"/>
      <c r="I850" s="20"/>
      <c r="K850" s="9"/>
    </row>
    <row r="851" spans="3:11" ht="13" x14ac:dyDescent="0.15">
      <c r="C851" s="24"/>
      <c r="D851" s="20"/>
      <c r="I851" s="20"/>
      <c r="K851" s="9"/>
    </row>
    <row r="852" spans="3:11" ht="13" x14ac:dyDescent="0.15">
      <c r="C852" s="24"/>
      <c r="D852" s="20"/>
      <c r="I852" s="20"/>
      <c r="K852" s="9"/>
    </row>
    <row r="853" spans="3:11" ht="13" x14ac:dyDescent="0.15">
      <c r="C853" s="24"/>
      <c r="D853" s="20"/>
      <c r="I853" s="20"/>
      <c r="K853" s="9"/>
    </row>
    <row r="854" spans="3:11" ht="13" x14ac:dyDescent="0.15">
      <c r="C854" s="24"/>
      <c r="D854" s="20"/>
      <c r="I854" s="20"/>
      <c r="K854" s="9"/>
    </row>
    <row r="855" spans="3:11" ht="13" x14ac:dyDescent="0.15">
      <c r="C855" s="24"/>
      <c r="D855" s="20"/>
      <c r="I855" s="20"/>
      <c r="K855" s="9"/>
    </row>
    <row r="856" spans="3:11" ht="13" x14ac:dyDescent="0.15">
      <c r="C856" s="24"/>
      <c r="D856" s="20"/>
      <c r="I856" s="20"/>
      <c r="K856" s="9"/>
    </row>
    <row r="857" spans="3:11" ht="13" x14ac:dyDescent="0.15">
      <c r="C857" s="24"/>
      <c r="D857" s="20"/>
      <c r="I857" s="20"/>
      <c r="K857" s="9"/>
    </row>
    <row r="858" spans="3:11" ht="13" x14ac:dyDescent="0.15">
      <c r="C858" s="24"/>
      <c r="D858" s="20"/>
      <c r="I858" s="20"/>
      <c r="K858" s="9"/>
    </row>
    <row r="859" spans="3:11" ht="13" x14ac:dyDescent="0.15">
      <c r="C859" s="24"/>
      <c r="D859" s="20"/>
      <c r="I859" s="20"/>
      <c r="K859" s="9"/>
    </row>
    <row r="860" spans="3:11" ht="13" x14ac:dyDescent="0.15">
      <c r="C860" s="24"/>
      <c r="D860" s="20"/>
      <c r="I860" s="20"/>
      <c r="K860" s="9"/>
    </row>
    <row r="861" spans="3:11" ht="13" x14ac:dyDescent="0.15">
      <c r="C861" s="24"/>
      <c r="D861" s="20"/>
      <c r="I861" s="20"/>
      <c r="K861" s="9"/>
    </row>
    <row r="862" spans="3:11" ht="13" x14ac:dyDescent="0.15">
      <c r="C862" s="24"/>
      <c r="D862" s="20"/>
      <c r="I862" s="20"/>
      <c r="K862" s="9"/>
    </row>
    <row r="863" spans="3:11" ht="13" x14ac:dyDescent="0.15">
      <c r="C863" s="24"/>
      <c r="D863" s="20"/>
      <c r="I863" s="20"/>
      <c r="K863" s="9"/>
    </row>
    <row r="864" spans="3:11" ht="13" x14ac:dyDescent="0.15">
      <c r="C864" s="24"/>
      <c r="D864" s="20"/>
      <c r="I864" s="20"/>
      <c r="K864" s="9"/>
    </row>
    <row r="865" spans="3:11" ht="13" x14ac:dyDescent="0.15">
      <c r="C865" s="24"/>
      <c r="D865" s="20"/>
      <c r="I865" s="20"/>
      <c r="K865" s="9"/>
    </row>
    <row r="866" spans="3:11" ht="13" x14ac:dyDescent="0.15">
      <c r="C866" s="24"/>
      <c r="D866" s="20"/>
      <c r="I866" s="20"/>
      <c r="K866" s="9"/>
    </row>
    <row r="867" spans="3:11" ht="13" x14ac:dyDescent="0.15">
      <c r="C867" s="24"/>
      <c r="D867" s="20"/>
      <c r="I867" s="20"/>
      <c r="K867" s="9"/>
    </row>
    <row r="868" spans="3:11" ht="13" x14ac:dyDescent="0.15">
      <c r="C868" s="24"/>
      <c r="D868" s="20"/>
      <c r="I868" s="20"/>
      <c r="K868" s="9"/>
    </row>
    <row r="869" spans="3:11" ht="13" x14ac:dyDescent="0.15">
      <c r="C869" s="24"/>
      <c r="D869" s="20"/>
      <c r="I869" s="20"/>
      <c r="K869" s="9"/>
    </row>
    <row r="870" spans="3:11" ht="13" x14ac:dyDescent="0.15">
      <c r="C870" s="24"/>
      <c r="D870" s="20"/>
      <c r="I870" s="20"/>
      <c r="K870" s="9"/>
    </row>
    <row r="871" spans="3:11" ht="13" x14ac:dyDescent="0.15">
      <c r="C871" s="24"/>
      <c r="D871" s="20"/>
      <c r="I871" s="20"/>
      <c r="K871" s="9"/>
    </row>
    <row r="872" spans="3:11" ht="13" x14ac:dyDescent="0.15">
      <c r="C872" s="24"/>
      <c r="D872" s="20"/>
      <c r="I872" s="20"/>
      <c r="K872" s="9"/>
    </row>
    <row r="873" spans="3:11" ht="13" x14ac:dyDescent="0.15">
      <c r="C873" s="24"/>
      <c r="D873" s="20"/>
      <c r="I873" s="20"/>
      <c r="K873" s="9"/>
    </row>
    <row r="874" spans="3:11" ht="13" x14ac:dyDescent="0.15">
      <c r="C874" s="24"/>
      <c r="D874" s="20"/>
      <c r="I874" s="20"/>
      <c r="K874" s="9"/>
    </row>
    <row r="875" spans="3:11" ht="13" x14ac:dyDescent="0.15">
      <c r="C875" s="24"/>
      <c r="D875" s="20"/>
      <c r="I875" s="20"/>
      <c r="K875" s="9"/>
    </row>
    <row r="876" spans="3:11" ht="13" x14ac:dyDescent="0.15">
      <c r="C876" s="24"/>
      <c r="D876" s="20"/>
      <c r="I876" s="20"/>
      <c r="K876" s="9"/>
    </row>
    <row r="877" spans="3:11" ht="13" x14ac:dyDescent="0.15">
      <c r="C877" s="24"/>
      <c r="D877" s="20"/>
      <c r="I877" s="20"/>
      <c r="K877" s="9"/>
    </row>
    <row r="878" spans="3:11" ht="13" x14ac:dyDescent="0.15">
      <c r="C878" s="24"/>
      <c r="D878" s="20"/>
      <c r="I878" s="20"/>
      <c r="K878" s="9"/>
    </row>
    <row r="879" spans="3:11" ht="13" x14ac:dyDescent="0.15">
      <c r="C879" s="24"/>
      <c r="D879" s="20"/>
      <c r="I879" s="20"/>
      <c r="K879" s="9"/>
    </row>
    <row r="880" spans="3:11" ht="13" x14ac:dyDescent="0.15">
      <c r="C880" s="24"/>
      <c r="D880" s="20"/>
      <c r="I880" s="20"/>
      <c r="K880" s="9"/>
    </row>
    <row r="881" spans="3:11" ht="13" x14ac:dyDescent="0.15">
      <c r="C881" s="24"/>
      <c r="D881" s="20"/>
      <c r="I881" s="20"/>
      <c r="K881" s="9"/>
    </row>
    <row r="882" spans="3:11" ht="13" x14ac:dyDescent="0.15">
      <c r="C882" s="24"/>
      <c r="D882" s="20"/>
      <c r="I882" s="20"/>
      <c r="K882" s="9"/>
    </row>
    <row r="883" spans="3:11" ht="13" x14ac:dyDescent="0.15">
      <c r="C883" s="24"/>
      <c r="D883" s="20"/>
      <c r="I883" s="20"/>
      <c r="K883" s="9"/>
    </row>
    <row r="884" spans="3:11" ht="13" x14ac:dyDescent="0.15">
      <c r="C884" s="24"/>
      <c r="D884" s="20"/>
      <c r="I884" s="20"/>
      <c r="K884" s="9"/>
    </row>
    <row r="885" spans="3:11" ht="13" x14ac:dyDescent="0.15">
      <c r="C885" s="24"/>
      <c r="D885" s="20"/>
      <c r="I885" s="20"/>
      <c r="K885" s="9"/>
    </row>
    <row r="886" spans="3:11" ht="13" x14ac:dyDescent="0.15">
      <c r="C886" s="24"/>
      <c r="D886" s="20"/>
      <c r="I886" s="20"/>
      <c r="K886" s="9"/>
    </row>
    <row r="887" spans="3:11" ht="13" x14ac:dyDescent="0.15">
      <c r="C887" s="24"/>
      <c r="D887" s="20"/>
      <c r="I887" s="20"/>
      <c r="K887" s="9"/>
    </row>
    <row r="888" spans="3:11" ht="13" x14ac:dyDescent="0.15">
      <c r="C888" s="24"/>
      <c r="D888" s="20"/>
      <c r="I888" s="20"/>
      <c r="K888" s="9"/>
    </row>
    <row r="889" spans="3:11" ht="13" x14ac:dyDescent="0.15">
      <c r="C889" s="24"/>
      <c r="D889" s="20"/>
      <c r="I889" s="20"/>
      <c r="K889" s="9"/>
    </row>
    <row r="890" spans="3:11" ht="13" x14ac:dyDescent="0.15">
      <c r="C890" s="24"/>
      <c r="D890" s="20"/>
      <c r="I890" s="20"/>
      <c r="K890" s="9"/>
    </row>
    <row r="891" spans="3:11" ht="13" x14ac:dyDescent="0.15">
      <c r="C891" s="24"/>
      <c r="D891" s="20"/>
      <c r="I891" s="20"/>
      <c r="K891" s="9"/>
    </row>
    <row r="892" spans="3:11" ht="13" x14ac:dyDescent="0.15">
      <c r="C892" s="24"/>
      <c r="D892" s="20"/>
      <c r="I892" s="20"/>
      <c r="K892" s="9"/>
    </row>
    <row r="893" spans="3:11" ht="13" x14ac:dyDescent="0.15">
      <c r="C893" s="24"/>
      <c r="D893" s="20"/>
      <c r="I893" s="20"/>
      <c r="K893" s="9"/>
    </row>
    <row r="894" spans="3:11" ht="13" x14ac:dyDescent="0.15">
      <c r="C894" s="24"/>
      <c r="D894" s="20"/>
      <c r="I894" s="20"/>
      <c r="K894" s="9"/>
    </row>
    <row r="895" spans="3:11" ht="13" x14ac:dyDescent="0.15">
      <c r="C895" s="24"/>
      <c r="D895" s="20"/>
      <c r="I895" s="20"/>
      <c r="K895" s="9"/>
    </row>
    <row r="896" spans="3:11" ht="13" x14ac:dyDescent="0.15">
      <c r="C896" s="24"/>
      <c r="D896" s="20"/>
      <c r="I896" s="20"/>
      <c r="K896" s="9"/>
    </row>
    <row r="897" spans="3:11" ht="13" x14ac:dyDescent="0.15">
      <c r="C897" s="24"/>
      <c r="D897" s="20"/>
      <c r="I897" s="20"/>
      <c r="K897" s="9"/>
    </row>
    <row r="898" spans="3:11" ht="13" x14ac:dyDescent="0.15">
      <c r="C898" s="24"/>
      <c r="D898" s="20"/>
      <c r="I898" s="20"/>
      <c r="K898" s="9"/>
    </row>
    <row r="899" spans="3:11" ht="13" x14ac:dyDescent="0.15">
      <c r="C899" s="24"/>
      <c r="D899" s="20"/>
      <c r="I899" s="20"/>
      <c r="K899" s="9"/>
    </row>
    <row r="900" spans="3:11" ht="13" x14ac:dyDescent="0.15">
      <c r="C900" s="24"/>
      <c r="D900" s="20"/>
      <c r="I900" s="20"/>
      <c r="K900" s="9"/>
    </row>
    <row r="901" spans="3:11" ht="13" x14ac:dyDescent="0.15">
      <c r="C901" s="24"/>
      <c r="D901" s="20"/>
      <c r="I901" s="20"/>
      <c r="K901" s="9"/>
    </row>
    <row r="902" spans="3:11" ht="13" x14ac:dyDescent="0.15">
      <c r="C902" s="24"/>
      <c r="D902" s="20"/>
      <c r="I902" s="20"/>
      <c r="K902" s="9"/>
    </row>
    <row r="903" spans="3:11" ht="13" x14ac:dyDescent="0.15">
      <c r="C903" s="24"/>
      <c r="D903" s="20"/>
      <c r="I903" s="20"/>
      <c r="K903" s="9"/>
    </row>
    <row r="904" spans="3:11" ht="13" x14ac:dyDescent="0.15">
      <c r="C904" s="24"/>
      <c r="D904" s="20"/>
      <c r="I904" s="20"/>
      <c r="K904" s="9"/>
    </row>
    <row r="905" spans="3:11" ht="13" x14ac:dyDescent="0.15">
      <c r="C905" s="24"/>
      <c r="D905" s="20"/>
      <c r="I905" s="20"/>
      <c r="K905" s="9"/>
    </row>
    <row r="906" spans="3:11" ht="13" x14ac:dyDescent="0.15">
      <c r="C906" s="24"/>
      <c r="D906" s="20"/>
      <c r="I906" s="20"/>
      <c r="K906" s="9"/>
    </row>
    <row r="907" spans="3:11" ht="13" x14ac:dyDescent="0.15">
      <c r="C907" s="24"/>
      <c r="D907" s="20"/>
      <c r="I907" s="20"/>
      <c r="K907" s="9"/>
    </row>
    <row r="908" spans="3:11" ht="13" x14ac:dyDescent="0.15">
      <c r="C908" s="24"/>
      <c r="D908" s="20"/>
      <c r="I908" s="20"/>
      <c r="K908" s="9"/>
    </row>
    <row r="909" spans="3:11" ht="13" x14ac:dyDescent="0.15">
      <c r="C909" s="24"/>
      <c r="D909" s="20"/>
      <c r="I909" s="20"/>
      <c r="K909" s="9"/>
    </row>
    <row r="910" spans="3:11" ht="13" x14ac:dyDescent="0.15">
      <c r="C910" s="24"/>
      <c r="D910" s="20"/>
      <c r="I910" s="20"/>
      <c r="K910" s="9"/>
    </row>
    <row r="911" spans="3:11" ht="13" x14ac:dyDescent="0.15">
      <c r="C911" s="24"/>
      <c r="D911" s="20"/>
      <c r="I911" s="20"/>
      <c r="K911" s="9"/>
    </row>
    <row r="912" spans="3:11" ht="13" x14ac:dyDescent="0.15">
      <c r="C912" s="24"/>
      <c r="D912" s="20"/>
      <c r="I912" s="20"/>
      <c r="K912" s="9"/>
    </row>
    <row r="913" spans="3:11" ht="13" x14ac:dyDescent="0.15">
      <c r="C913" s="24"/>
      <c r="D913" s="20"/>
      <c r="I913" s="20"/>
      <c r="K913" s="9"/>
    </row>
    <row r="914" spans="3:11" ht="13" x14ac:dyDescent="0.15">
      <c r="C914" s="24"/>
      <c r="D914" s="20"/>
      <c r="I914" s="20"/>
      <c r="K914" s="9"/>
    </row>
    <row r="915" spans="3:11" ht="13" x14ac:dyDescent="0.15">
      <c r="C915" s="24"/>
      <c r="D915" s="20"/>
      <c r="I915" s="20"/>
      <c r="K915" s="9"/>
    </row>
    <row r="916" spans="3:11" ht="13" x14ac:dyDescent="0.15">
      <c r="C916" s="24"/>
      <c r="D916" s="20"/>
      <c r="I916" s="20"/>
      <c r="K916" s="9"/>
    </row>
    <row r="917" spans="3:11" ht="13" x14ac:dyDescent="0.15">
      <c r="C917" s="24"/>
      <c r="D917" s="20"/>
      <c r="I917" s="20"/>
      <c r="K917" s="9"/>
    </row>
    <row r="918" spans="3:11" ht="13" x14ac:dyDescent="0.15">
      <c r="C918" s="24"/>
      <c r="D918" s="20"/>
      <c r="I918" s="20"/>
      <c r="K918" s="9"/>
    </row>
    <row r="919" spans="3:11" ht="13" x14ac:dyDescent="0.15">
      <c r="C919" s="24"/>
      <c r="D919" s="20"/>
      <c r="I919" s="20"/>
      <c r="K919" s="9"/>
    </row>
    <row r="920" spans="3:11" ht="13" x14ac:dyDescent="0.15">
      <c r="C920" s="24"/>
      <c r="D920" s="20"/>
      <c r="I920" s="20"/>
      <c r="K920" s="9"/>
    </row>
    <row r="921" spans="3:11" ht="13" x14ac:dyDescent="0.15">
      <c r="C921" s="24"/>
      <c r="D921" s="20"/>
      <c r="I921" s="20"/>
      <c r="K921" s="9"/>
    </row>
    <row r="922" spans="3:11" ht="13" x14ac:dyDescent="0.15">
      <c r="C922" s="24"/>
      <c r="D922" s="20"/>
      <c r="I922" s="20"/>
      <c r="K922" s="9"/>
    </row>
    <row r="923" spans="3:11" ht="13" x14ac:dyDescent="0.15">
      <c r="C923" s="24"/>
      <c r="D923" s="20"/>
      <c r="I923" s="20"/>
      <c r="K923" s="9"/>
    </row>
    <row r="924" spans="3:11" ht="13" x14ac:dyDescent="0.15">
      <c r="C924" s="24"/>
      <c r="D924" s="20"/>
      <c r="I924" s="20"/>
      <c r="K924" s="9"/>
    </row>
    <row r="925" spans="3:11" ht="13" x14ac:dyDescent="0.15">
      <c r="C925" s="24"/>
      <c r="D925" s="20"/>
      <c r="I925" s="20"/>
      <c r="K925" s="9"/>
    </row>
    <row r="926" spans="3:11" ht="13" x14ac:dyDescent="0.15">
      <c r="C926" s="24"/>
      <c r="D926" s="20"/>
      <c r="I926" s="20"/>
      <c r="K926" s="9"/>
    </row>
    <row r="927" spans="3:11" ht="13" x14ac:dyDescent="0.15">
      <c r="C927" s="24"/>
      <c r="D927" s="20"/>
      <c r="I927" s="20"/>
      <c r="K927" s="9"/>
    </row>
    <row r="928" spans="3:11" ht="13" x14ac:dyDescent="0.15">
      <c r="C928" s="24"/>
      <c r="D928" s="20"/>
      <c r="I928" s="20"/>
      <c r="K928" s="9"/>
    </row>
    <row r="929" spans="3:11" ht="13" x14ac:dyDescent="0.15">
      <c r="C929" s="24"/>
      <c r="D929" s="20"/>
      <c r="I929" s="20"/>
      <c r="K929" s="9"/>
    </row>
    <row r="930" spans="3:11" ht="13" x14ac:dyDescent="0.15">
      <c r="C930" s="24"/>
      <c r="D930" s="20"/>
      <c r="I930" s="20"/>
      <c r="K930" s="9"/>
    </row>
    <row r="931" spans="3:11" ht="13" x14ac:dyDescent="0.15">
      <c r="C931" s="24"/>
      <c r="D931" s="20"/>
      <c r="I931" s="20"/>
      <c r="K931" s="9"/>
    </row>
    <row r="932" spans="3:11" ht="13" x14ac:dyDescent="0.15">
      <c r="C932" s="24"/>
      <c r="D932" s="20"/>
      <c r="I932" s="20"/>
      <c r="K932" s="9"/>
    </row>
    <row r="933" spans="3:11" ht="13" x14ac:dyDescent="0.15">
      <c r="C933" s="24"/>
      <c r="D933" s="20"/>
      <c r="I933" s="20"/>
      <c r="K933" s="9"/>
    </row>
    <row r="934" spans="3:11" ht="13" x14ac:dyDescent="0.15">
      <c r="C934" s="24"/>
      <c r="D934" s="20"/>
      <c r="I934" s="20"/>
      <c r="K934" s="9"/>
    </row>
    <row r="935" spans="3:11" ht="13" x14ac:dyDescent="0.15">
      <c r="C935" s="24"/>
      <c r="D935" s="20"/>
      <c r="I935" s="20"/>
      <c r="K935" s="9"/>
    </row>
    <row r="936" spans="3:11" ht="13" x14ac:dyDescent="0.15">
      <c r="C936" s="24"/>
      <c r="D936" s="20"/>
      <c r="I936" s="20"/>
      <c r="K936" s="9"/>
    </row>
    <row r="937" spans="3:11" ht="13" x14ac:dyDescent="0.15">
      <c r="C937" s="24"/>
      <c r="D937" s="20"/>
      <c r="I937" s="20"/>
      <c r="K937" s="9"/>
    </row>
    <row r="938" spans="3:11" ht="13" x14ac:dyDescent="0.15">
      <c r="C938" s="24"/>
      <c r="D938" s="20"/>
      <c r="I938" s="20"/>
      <c r="K938" s="9"/>
    </row>
    <row r="939" spans="3:11" ht="13" x14ac:dyDescent="0.15">
      <c r="C939" s="24"/>
      <c r="D939" s="20"/>
      <c r="I939" s="20"/>
      <c r="K939" s="9"/>
    </row>
    <row r="940" spans="3:11" ht="13" x14ac:dyDescent="0.15">
      <c r="C940" s="24"/>
      <c r="D940" s="20"/>
      <c r="I940" s="20"/>
      <c r="K940" s="9"/>
    </row>
    <row r="941" spans="3:11" ht="13" x14ac:dyDescent="0.15">
      <c r="C941" s="24"/>
      <c r="D941" s="20"/>
      <c r="I941" s="20"/>
      <c r="K941" s="9"/>
    </row>
    <row r="942" spans="3:11" ht="13" x14ac:dyDescent="0.15">
      <c r="C942" s="24"/>
      <c r="D942" s="20"/>
      <c r="I942" s="20"/>
      <c r="K942" s="9"/>
    </row>
    <row r="943" spans="3:11" ht="13" x14ac:dyDescent="0.15">
      <c r="C943" s="24"/>
      <c r="D943" s="20"/>
      <c r="I943" s="20"/>
      <c r="K943" s="9"/>
    </row>
    <row r="944" spans="3:11" ht="13" x14ac:dyDescent="0.15">
      <c r="C944" s="24"/>
      <c r="D944" s="20"/>
      <c r="I944" s="20"/>
      <c r="K944" s="9"/>
    </row>
    <row r="945" spans="3:11" ht="13" x14ac:dyDescent="0.15">
      <c r="C945" s="24"/>
      <c r="D945" s="20"/>
      <c r="I945" s="20"/>
      <c r="K945" s="9"/>
    </row>
    <row r="946" spans="3:11" ht="13" x14ac:dyDescent="0.15">
      <c r="C946" s="24"/>
      <c r="D946" s="20"/>
      <c r="I946" s="20"/>
      <c r="K946" s="9"/>
    </row>
    <row r="947" spans="3:11" ht="13" x14ac:dyDescent="0.15">
      <c r="C947" s="24"/>
      <c r="D947" s="20"/>
      <c r="I947" s="20"/>
      <c r="K947" s="9"/>
    </row>
    <row r="948" spans="3:11" ht="13" x14ac:dyDescent="0.15">
      <c r="C948" s="24"/>
      <c r="D948" s="20"/>
      <c r="I948" s="20"/>
      <c r="K948" s="9"/>
    </row>
    <row r="949" spans="3:11" ht="13" x14ac:dyDescent="0.15">
      <c r="C949" s="24"/>
      <c r="D949" s="20"/>
      <c r="I949" s="20"/>
      <c r="K949" s="9"/>
    </row>
    <row r="950" spans="3:11" ht="13" x14ac:dyDescent="0.15">
      <c r="C950" s="24"/>
      <c r="D950" s="20"/>
      <c r="I950" s="20"/>
      <c r="K950" s="9"/>
    </row>
    <row r="951" spans="3:11" ht="13" x14ac:dyDescent="0.15">
      <c r="C951" s="24"/>
      <c r="D951" s="20"/>
      <c r="I951" s="20"/>
      <c r="K951" s="9"/>
    </row>
    <row r="952" spans="3:11" ht="13" x14ac:dyDescent="0.15">
      <c r="C952" s="24"/>
      <c r="D952" s="20"/>
      <c r="I952" s="20"/>
      <c r="K952" s="9"/>
    </row>
    <row r="953" spans="3:11" ht="13" x14ac:dyDescent="0.15">
      <c r="C953" s="24"/>
      <c r="D953" s="20"/>
      <c r="I953" s="20"/>
      <c r="K953" s="9"/>
    </row>
    <row r="954" spans="3:11" ht="13" x14ac:dyDescent="0.15">
      <c r="C954" s="24"/>
      <c r="D954" s="20"/>
      <c r="I954" s="20"/>
      <c r="K954" s="9"/>
    </row>
    <row r="955" spans="3:11" ht="13" x14ac:dyDescent="0.15">
      <c r="C955" s="24"/>
      <c r="D955" s="20"/>
      <c r="I955" s="20"/>
      <c r="K955" s="9"/>
    </row>
    <row r="956" spans="3:11" ht="13" x14ac:dyDescent="0.15">
      <c r="C956" s="24"/>
      <c r="D956" s="20"/>
      <c r="I956" s="20"/>
      <c r="K956" s="9"/>
    </row>
    <row r="957" spans="3:11" ht="13" x14ac:dyDescent="0.15">
      <c r="C957" s="24"/>
      <c r="D957" s="20"/>
      <c r="I957" s="20"/>
      <c r="K957" s="9"/>
    </row>
    <row r="958" spans="3:11" ht="13" x14ac:dyDescent="0.15">
      <c r="C958" s="24"/>
      <c r="D958" s="20"/>
      <c r="I958" s="20"/>
      <c r="K958" s="9"/>
    </row>
    <row r="959" spans="3:11" ht="13" x14ac:dyDescent="0.15">
      <c r="C959" s="24"/>
      <c r="D959" s="20"/>
      <c r="I959" s="20"/>
      <c r="K959" s="9"/>
    </row>
    <row r="960" spans="3:11" ht="13" x14ac:dyDescent="0.15">
      <c r="C960" s="24"/>
      <c r="D960" s="20"/>
      <c r="I960" s="20"/>
      <c r="K960" s="9"/>
    </row>
    <row r="961" spans="3:11" ht="13" x14ac:dyDescent="0.15">
      <c r="C961" s="24"/>
      <c r="D961" s="20"/>
      <c r="I961" s="20"/>
      <c r="K961" s="9"/>
    </row>
    <row r="962" spans="3:11" ht="13" x14ac:dyDescent="0.15">
      <c r="C962" s="24"/>
      <c r="D962" s="20"/>
      <c r="I962" s="20"/>
      <c r="K962" s="9"/>
    </row>
    <row r="963" spans="3:11" ht="13" x14ac:dyDescent="0.15">
      <c r="C963" s="24"/>
      <c r="D963" s="20"/>
      <c r="I963" s="20"/>
      <c r="K963" s="9"/>
    </row>
    <row r="964" spans="3:11" ht="13" x14ac:dyDescent="0.15">
      <c r="C964" s="24"/>
      <c r="D964" s="20"/>
      <c r="I964" s="20"/>
      <c r="K964" s="9"/>
    </row>
    <row r="965" spans="3:11" ht="13" x14ac:dyDescent="0.15">
      <c r="C965" s="24"/>
      <c r="D965" s="20"/>
      <c r="I965" s="20"/>
      <c r="K965" s="9"/>
    </row>
    <row r="966" spans="3:11" ht="13" x14ac:dyDescent="0.15">
      <c r="C966" s="24"/>
      <c r="D966" s="20"/>
      <c r="I966" s="20"/>
      <c r="K966" s="9"/>
    </row>
    <row r="967" spans="3:11" ht="13" x14ac:dyDescent="0.15">
      <c r="C967" s="24"/>
      <c r="D967" s="20"/>
      <c r="I967" s="20"/>
      <c r="K967" s="9"/>
    </row>
    <row r="968" spans="3:11" ht="13" x14ac:dyDescent="0.15">
      <c r="C968" s="24"/>
      <c r="D968" s="20"/>
      <c r="I968" s="20"/>
      <c r="K968" s="9"/>
    </row>
    <row r="969" spans="3:11" ht="13" x14ac:dyDescent="0.15">
      <c r="C969" s="24"/>
      <c r="D969" s="20"/>
      <c r="I969" s="20"/>
      <c r="K969" s="9"/>
    </row>
    <row r="970" spans="3:11" ht="13" x14ac:dyDescent="0.15">
      <c r="C970" s="24"/>
      <c r="D970" s="20"/>
      <c r="I970" s="20"/>
      <c r="K970" s="9"/>
    </row>
    <row r="971" spans="3:11" ht="13" x14ac:dyDescent="0.15">
      <c r="C971" s="24"/>
      <c r="D971" s="20"/>
      <c r="I971" s="20"/>
      <c r="K971" s="9"/>
    </row>
    <row r="972" spans="3:11" ht="13" x14ac:dyDescent="0.15">
      <c r="C972" s="24"/>
      <c r="D972" s="20"/>
      <c r="I972" s="20"/>
      <c r="K972" s="9"/>
    </row>
    <row r="973" spans="3:11" ht="13" x14ac:dyDescent="0.15">
      <c r="C973" s="24"/>
      <c r="D973" s="20"/>
      <c r="I973" s="20"/>
      <c r="K973" s="9"/>
    </row>
    <row r="974" spans="3:11" ht="13" x14ac:dyDescent="0.15">
      <c r="C974" s="24"/>
      <c r="D974" s="20"/>
      <c r="I974" s="20"/>
      <c r="K974" s="9"/>
    </row>
    <row r="975" spans="3:11" ht="13" x14ac:dyDescent="0.15">
      <c r="C975" s="24"/>
      <c r="D975" s="20"/>
      <c r="I975" s="20"/>
      <c r="K975" s="9"/>
    </row>
    <row r="976" spans="3:11" ht="13" x14ac:dyDescent="0.15">
      <c r="C976" s="24"/>
      <c r="D976" s="20"/>
      <c r="I976" s="20"/>
      <c r="K976" s="9"/>
    </row>
    <row r="977" spans="3:11" ht="13" x14ac:dyDescent="0.15">
      <c r="C977" s="24"/>
      <c r="D977" s="20"/>
      <c r="I977" s="20"/>
      <c r="K977" s="9"/>
    </row>
    <row r="978" spans="3:11" ht="13" x14ac:dyDescent="0.15">
      <c r="C978" s="24"/>
      <c r="D978" s="20"/>
      <c r="I978" s="20"/>
      <c r="K978" s="9"/>
    </row>
    <row r="979" spans="3:11" ht="13" x14ac:dyDescent="0.15">
      <c r="C979" s="24"/>
      <c r="D979" s="20"/>
      <c r="I979" s="20"/>
      <c r="K979" s="9"/>
    </row>
    <row r="980" spans="3:11" ht="13" x14ac:dyDescent="0.15">
      <c r="C980" s="24"/>
      <c r="D980" s="20"/>
      <c r="I980" s="20"/>
      <c r="K980" s="9"/>
    </row>
    <row r="981" spans="3:11" ht="13" x14ac:dyDescent="0.15">
      <c r="C981" s="24"/>
      <c r="D981" s="20"/>
      <c r="I981" s="20"/>
      <c r="K981" s="9"/>
    </row>
    <row r="982" spans="3:11" ht="13" x14ac:dyDescent="0.15">
      <c r="C982" s="24"/>
      <c r="D982" s="20"/>
      <c r="I982" s="20"/>
      <c r="K982" s="9"/>
    </row>
    <row r="983" spans="3:11" ht="13" x14ac:dyDescent="0.15">
      <c r="C983" s="24"/>
      <c r="D983" s="20"/>
      <c r="I983" s="20"/>
      <c r="K983" s="9"/>
    </row>
    <row r="984" spans="3:11" ht="13" x14ac:dyDescent="0.15">
      <c r="C984" s="24"/>
      <c r="D984" s="20"/>
      <c r="I984" s="20"/>
      <c r="K984" s="9"/>
    </row>
    <row r="985" spans="3:11" ht="13" x14ac:dyDescent="0.15">
      <c r="C985" s="24"/>
      <c r="D985" s="20"/>
      <c r="I985" s="20"/>
      <c r="K985" s="9"/>
    </row>
    <row r="986" spans="3:11" ht="13" x14ac:dyDescent="0.15">
      <c r="C986" s="24"/>
      <c r="D986" s="20"/>
      <c r="I986" s="20"/>
      <c r="K986" s="9"/>
    </row>
    <row r="987" spans="3:11" ht="13" x14ac:dyDescent="0.15">
      <c r="C987" s="24"/>
      <c r="D987" s="20"/>
      <c r="I987" s="20"/>
      <c r="K987" s="9"/>
    </row>
    <row r="988" spans="3:11" ht="13" x14ac:dyDescent="0.15">
      <c r="C988" s="24"/>
      <c r="D988" s="20"/>
      <c r="I988" s="20"/>
      <c r="K988" s="9"/>
    </row>
    <row r="989" spans="3:11" ht="13" x14ac:dyDescent="0.15">
      <c r="C989" s="24"/>
      <c r="D989" s="20"/>
      <c r="I989" s="20"/>
      <c r="K989" s="9"/>
    </row>
    <row r="990" spans="3:11" ht="13" x14ac:dyDescent="0.15">
      <c r="C990" s="24"/>
      <c r="D990" s="20"/>
      <c r="I990" s="20"/>
      <c r="K990" s="9"/>
    </row>
    <row r="991" spans="3:11" ht="13" x14ac:dyDescent="0.15">
      <c r="C991" s="24"/>
      <c r="D991" s="20"/>
      <c r="I991" s="20"/>
      <c r="K991" s="9"/>
    </row>
    <row r="992" spans="3:11" ht="13" x14ac:dyDescent="0.15">
      <c r="C992" s="24"/>
      <c r="D992" s="20"/>
      <c r="I992" s="20"/>
      <c r="K992" s="9"/>
    </row>
    <row r="993" spans="3:11" ht="13" x14ac:dyDescent="0.15">
      <c r="C993" s="24"/>
      <c r="D993" s="20"/>
      <c r="I993" s="20"/>
      <c r="K993" s="9"/>
    </row>
    <row r="994" spans="3:11" ht="13" x14ac:dyDescent="0.15">
      <c r="C994" s="24"/>
      <c r="D994" s="20"/>
      <c r="I994" s="20"/>
      <c r="K994" s="9"/>
    </row>
    <row r="995" spans="3:11" ht="13" x14ac:dyDescent="0.15">
      <c r="C995" s="24"/>
      <c r="D995" s="20"/>
      <c r="I995" s="20"/>
      <c r="K995" s="9"/>
    </row>
    <row r="996" spans="3:11" ht="13" x14ac:dyDescent="0.15">
      <c r="C996" s="24"/>
      <c r="D996" s="20"/>
      <c r="I996" s="20"/>
      <c r="K996" s="9"/>
    </row>
    <row r="997" spans="3:11" ht="13" x14ac:dyDescent="0.15">
      <c r="C997" s="24"/>
      <c r="D997" s="20"/>
      <c r="I997" s="20"/>
      <c r="K997" s="9"/>
    </row>
    <row r="998" spans="3:11" ht="13" x14ac:dyDescent="0.15">
      <c r="C998" s="24"/>
      <c r="D998" s="20"/>
      <c r="I998" s="20"/>
      <c r="K998" s="9"/>
    </row>
    <row r="999" spans="3:11" ht="13" x14ac:dyDescent="0.15">
      <c r="C999" s="24"/>
      <c r="D999" s="20"/>
      <c r="I999" s="20"/>
      <c r="K999" s="9"/>
    </row>
    <row r="1000" spans="3:11" ht="13" x14ac:dyDescent="0.15">
      <c r="C1000" s="24"/>
      <c r="D1000" s="20"/>
      <c r="I1000" s="20"/>
      <c r="K100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workbookViewId="0"/>
  </sheetViews>
  <sheetFormatPr baseColWidth="10" defaultColWidth="12.6640625" defaultRowHeight="15.75" customHeight="1" x14ac:dyDescent="0.15"/>
  <cols>
    <col min="7" max="7" width="20.33203125" customWidth="1"/>
  </cols>
  <sheetData>
    <row r="1" spans="1:11" ht="15.75" customHeight="1" x14ac:dyDescent="0.15">
      <c r="A1" s="23" t="s">
        <v>6</v>
      </c>
      <c r="B1" s="23" t="s">
        <v>1</v>
      </c>
      <c r="C1" s="23" t="s">
        <v>2</v>
      </c>
      <c r="D1" s="26" t="s">
        <v>10</v>
      </c>
      <c r="E1" s="23" t="s">
        <v>4</v>
      </c>
      <c r="F1" s="26" t="s">
        <v>13</v>
      </c>
      <c r="G1" s="23" t="s">
        <v>16</v>
      </c>
      <c r="H1" s="27" t="s">
        <v>14</v>
      </c>
      <c r="I1" s="28" t="s">
        <v>8</v>
      </c>
      <c r="J1" s="6" t="s">
        <v>9</v>
      </c>
      <c r="K1" s="8" t="s">
        <v>15</v>
      </c>
    </row>
    <row r="2" spans="1:11" ht="15.75" customHeight="1" x14ac:dyDescent="0.15">
      <c r="A2" s="3">
        <v>1</v>
      </c>
      <c r="B2" s="8">
        <f ca="1">SUMIF('Tiktok Ads Performance Metrics'!B:B,A2,'Tiktok Ads Performance Metrics'!C:C)</f>
        <v>2112620</v>
      </c>
      <c r="C2" s="8">
        <f ca="1">SUMIF('Tiktok Ads Performance Metrics'!B:B,A2,'Tiktok Ads Performance Metrics'!E:E)</f>
        <v>41019</v>
      </c>
      <c r="D2" s="9">
        <f ca="1">SUMIF('Tiktok Ads Performance Metrics'!B:B,A2,'Tiktok Ads Performance Metrics'!H:H)</f>
        <v>40140</v>
      </c>
      <c r="E2" s="8">
        <f ca="1">SUMIF('Tiktok Ads Performance Metrics'!B:B,A2,'Tiktok Ads Performance Metrics'!J:J)</f>
        <v>739</v>
      </c>
      <c r="F2" s="9">
        <f ca="1">SUMIF('Tiktok Ads Performance Metrics'!B:B,A2,'Tiktok Ads Performance Metrics'!L:L)</f>
        <v>124409</v>
      </c>
      <c r="G2" s="9">
        <f t="shared" ref="G2:G13" ca="1" si="0">F2/E2</f>
        <v>168.34776725304465</v>
      </c>
      <c r="H2" s="25">
        <f t="shared" ref="H2:H13" ca="1" si="1">F2/D2</f>
        <v>3.0993771798704532</v>
      </c>
      <c r="I2" s="9">
        <f t="shared" ref="I2:I13" ca="1" si="2">D2/C2</f>
        <v>0.97857090616543552</v>
      </c>
      <c r="J2" s="9">
        <f t="shared" ref="J2:J13" ca="1" si="3">D2/(B2/1000)</f>
        <v>19.000104136096411</v>
      </c>
      <c r="K2" s="9">
        <f t="shared" ref="K2:K13" ca="1" si="4">D2/E2</f>
        <v>54.316644113667117</v>
      </c>
    </row>
    <row r="3" spans="1:11" ht="15.75" customHeight="1" x14ac:dyDescent="0.15">
      <c r="A3" s="3">
        <v>2</v>
      </c>
      <c r="B3" s="8">
        <f ca="1">SUMIF('Tiktok Ads Performance Metrics'!B:B,A3,'Tiktok Ads Performance Metrics'!C:C)</f>
        <v>1949003</v>
      </c>
      <c r="C3" s="8">
        <f ca="1">SUMIF('Tiktok Ads Performance Metrics'!B:B,A3,'Tiktok Ads Performance Metrics'!E:E)</f>
        <v>39714</v>
      </c>
      <c r="D3" s="9">
        <f ca="1">SUMIF('Tiktok Ads Performance Metrics'!B:B,A3,'Tiktok Ads Performance Metrics'!H:H)</f>
        <v>37924</v>
      </c>
      <c r="E3" s="8">
        <f ca="1">SUMIF('Tiktok Ads Performance Metrics'!B:B,A3,'Tiktok Ads Performance Metrics'!J:J)</f>
        <v>675</v>
      </c>
      <c r="F3" s="9">
        <f ca="1">SUMIF('Tiktok Ads Performance Metrics'!B:B,A3,'Tiktok Ads Performance Metrics'!L:L)</f>
        <v>113330</v>
      </c>
      <c r="G3" s="9">
        <f t="shared" ca="1" si="0"/>
        <v>167.8962962962963</v>
      </c>
      <c r="H3" s="25">
        <f t="shared" ca="1" si="1"/>
        <v>2.9883451112751818</v>
      </c>
      <c r="I3" s="9">
        <f t="shared" ca="1" si="2"/>
        <v>0.95492773329304526</v>
      </c>
      <c r="J3" s="9">
        <f t="shared" ca="1" si="3"/>
        <v>19.458153732959879</v>
      </c>
      <c r="K3" s="9">
        <f t="shared" ca="1" si="4"/>
        <v>56.183703703703706</v>
      </c>
    </row>
    <row r="4" spans="1:11" ht="15.75" customHeight="1" x14ac:dyDescent="0.15">
      <c r="A4" s="3">
        <v>3</v>
      </c>
      <c r="B4" s="8">
        <f ca="1">SUMIF('Tiktok Ads Performance Metrics'!B:B,A4,'Tiktok Ads Performance Metrics'!C:C)</f>
        <v>1893765</v>
      </c>
      <c r="C4" s="8">
        <f ca="1">SUMIF('Tiktok Ads Performance Metrics'!B:B,A4,'Tiktok Ads Performance Metrics'!E:E)</f>
        <v>39636</v>
      </c>
      <c r="D4" s="9">
        <f ca="1">SUMIF('Tiktok Ads Performance Metrics'!B:B,A4,'Tiktok Ads Performance Metrics'!H:H)</f>
        <v>37093</v>
      </c>
      <c r="E4" s="8">
        <f ca="1">SUMIF('Tiktok Ads Performance Metrics'!B:B,A4,'Tiktok Ads Performance Metrics'!J:J)</f>
        <v>745</v>
      </c>
      <c r="F4" s="9">
        <f ca="1">SUMIF('Tiktok Ads Performance Metrics'!B:B,A4,'Tiktok Ads Performance Metrics'!L:L)</f>
        <v>116041</v>
      </c>
      <c r="G4" s="9">
        <f t="shared" ca="1" si="0"/>
        <v>155.75973154362416</v>
      </c>
      <c r="H4" s="25">
        <f t="shared" ca="1" si="1"/>
        <v>3.1283800177931145</v>
      </c>
      <c r="I4" s="9">
        <f t="shared" ca="1" si="2"/>
        <v>0.93584115450600469</v>
      </c>
      <c r="J4" s="9">
        <f t="shared" ca="1" si="3"/>
        <v>19.586907562448349</v>
      </c>
      <c r="K4" s="9">
        <f t="shared" ca="1" si="4"/>
        <v>49.789261744966446</v>
      </c>
    </row>
    <row r="5" spans="1:11" ht="15.75" customHeight="1" x14ac:dyDescent="0.15">
      <c r="A5" s="3">
        <v>4</v>
      </c>
      <c r="B5" s="8">
        <f ca="1">SUMIF('Tiktok Ads Performance Metrics'!B:B,A5,'Tiktok Ads Performance Metrics'!C:C)</f>
        <v>2282519</v>
      </c>
      <c r="C5" s="8">
        <f ca="1">SUMIF('Tiktok Ads Performance Metrics'!B:B,A5,'Tiktok Ads Performance Metrics'!E:E)</f>
        <v>47400</v>
      </c>
      <c r="D5" s="9">
        <f ca="1">SUMIF('Tiktok Ads Performance Metrics'!B:B,A5,'Tiktok Ads Performance Metrics'!H:H)</f>
        <v>47533</v>
      </c>
      <c r="E5" s="8">
        <f ca="1">SUMIF('Tiktok Ads Performance Metrics'!B:B,A5,'Tiktok Ads Performance Metrics'!J:J)</f>
        <v>887</v>
      </c>
      <c r="F5" s="9">
        <f ca="1">SUMIF('Tiktok Ads Performance Metrics'!B:B,A5,'Tiktok Ads Performance Metrics'!L:L)</f>
        <v>138187</v>
      </c>
      <c r="G5" s="9">
        <f t="shared" ca="1" si="0"/>
        <v>155.79143179255919</v>
      </c>
      <c r="H5" s="25">
        <f t="shared" ca="1" si="1"/>
        <v>2.907180274756485</v>
      </c>
      <c r="I5" s="9">
        <f t="shared" ca="1" si="2"/>
        <v>1.0028059071729958</v>
      </c>
      <c r="J5" s="9">
        <f t="shared" ca="1" si="3"/>
        <v>20.824799267826471</v>
      </c>
      <c r="K5" s="9">
        <f t="shared" ca="1" si="4"/>
        <v>53.588500563697856</v>
      </c>
    </row>
    <row r="6" spans="1:11" ht="15.75" customHeight="1" x14ac:dyDescent="0.15">
      <c r="A6" s="3">
        <v>5</v>
      </c>
      <c r="B6" s="8">
        <f ca="1">SUMIF('Tiktok Ads Performance Metrics'!B:B,A6,'Tiktok Ads Performance Metrics'!C:C)</f>
        <v>2165819</v>
      </c>
      <c r="C6" s="8">
        <f ca="1">SUMIF('Tiktok Ads Performance Metrics'!B:B,A6,'Tiktok Ads Performance Metrics'!E:E)</f>
        <v>44964</v>
      </c>
      <c r="D6" s="9">
        <f ca="1">SUMIF('Tiktok Ads Performance Metrics'!B:B,A6,'Tiktok Ads Performance Metrics'!H:H)</f>
        <v>46113</v>
      </c>
      <c r="E6" s="8">
        <f ca="1">SUMIF('Tiktok Ads Performance Metrics'!B:B,A6,'Tiktok Ads Performance Metrics'!J:J)</f>
        <v>868</v>
      </c>
      <c r="F6" s="9">
        <f ca="1">SUMIF('Tiktok Ads Performance Metrics'!B:B,A6,'Tiktok Ads Performance Metrics'!L:L)</f>
        <v>131777</v>
      </c>
      <c r="G6" s="9">
        <f t="shared" ca="1" si="0"/>
        <v>151.81682027649771</v>
      </c>
      <c r="H6" s="25">
        <f t="shared" ca="1" si="1"/>
        <v>2.8576973955283758</v>
      </c>
      <c r="I6" s="9">
        <f t="shared" ca="1" si="2"/>
        <v>1.0255537763544169</v>
      </c>
      <c r="J6" s="9">
        <f t="shared" ca="1" si="3"/>
        <v>21.291252870161358</v>
      </c>
      <c r="K6" s="9">
        <f t="shared" ca="1" si="4"/>
        <v>53.125576036866363</v>
      </c>
    </row>
    <row r="7" spans="1:11" ht="15.75" customHeight="1" x14ac:dyDescent="0.15">
      <c r="A7" s="3">
        <v>6</v>
      </c>
      <c r="B7" s="8">
        <f ca="1">SUMIF('Tiktok Ads Performance Metrics'!B:B,A7,'Tiktok Ads Performance Metrics'!C:C)</f>
        <v>2051995</v>
      </c>
      <c r="C7" s="8">
        <f ca="1">SUMIF('Tiktok Ads Performance Metrics'!B:B,A7,'Tiktok Ads Performance Metrics'!E:E)</f>
        <v>46469</v>
      </c>
      <c r="D7" s="9">
        <f ca="1">SUMIF('Tiktok Ads Performance Metrics'!B:B,A7,'Tiktok Ads Performance Metrics'!H:H)</f>
        <v>45535</v>
      </c>
      <c r="E7" s="8">
        <f ca="1">SUMIF('Tiktok Ads Performance Metrics'!B:B,A7,'Tiktok Ads Performance Metrics'!J:J)</f>
        <v>867</v>
      </c>
      <c r="F7" s="9">
        <f ca="1">SUMIF('Tiktok Ads Performance Metrics'!B:B,A7,'Tiktok Ads Performance Metrics'!L:L)</f>
        <v>136097</v>
      </c>
      <c r="G7" s="9">
        <f t="shared" ca="1" si="0"/>
        <v>156.97462514417532</v>
      </c>
      <c r="H7" s="25">
        <f t="shared" ca="1" si="1"/>
        <v>2.9888437465685738</v>
      </c>
      <c r="I7" s="9">
        <f t="shared" ca="1" si="2"/>
        <v>0.97990057888054405</v>
      </c>
      <c r="J7" s="9">
        <f t="shared" ca="1" si="3"/>
        <v>22.190599879629339</v>
      </c>
      <c r="K7" s="9">
        <f t="shared" ca="1" si="4"/>
        <v>52.520184544406</v>
      </c>
    </row>
    <row r="8" spans="1:11" ht="15.75" customHeight="1" x14ac:dyDescent="0.15">
      <c r="A8" s="3">
        <v>7</v>
      </c>
      <c r="B8" s="8">
        <f ca="1">SUMIF('Tiktok Ads Performance Metrics'!B:B,A8,'Tiktok Ads Performance Metrics'!C:C)</f>
        <v>2321236</v>
      </c>
      <c r="C8" s="8">
        <f ca="1">SUMIF('Tiktok Ads Performance Metrics'!B:B,A8,'Tiktok Ads Performance Metrics'!E:E)</f>
        <v>52304</v>
      </c>
      <c r="D8" s="9">
        <f ca="1">SUMIF('Tiktok Ads Performance Metrics'!B:B,A8,'Tiktok Ads Performance Metrics'!H:H)</f>
        <v>45540</v>
      </c>
      <c r="E8" s="8">
        <f ca="1">SUMIF('Tiktok Ads Performance Metrics'!B:B,A8,'Tiktok Ads Performance Metrics'!J:J)</f>
        <v>909</v>
      </c>
      <c r="F8" s="9">
        <f ca="1">SUMIF('Tiktok Ads Performance Metrics'!B:B,A8,'Tiktok Ads Performance Metrics'!L:L)</f>
        <v>142209</v>
      </c>
      <c r="G8" s="9">
        <f t="shared" ca="1" si="0"/>
        <v>156.44554455445544</v>
      </c>
      <c r="H8" s="25">
        <f t="shared" ca="1" si="1"/>
        <v>3.1227272727272726</v>
      </c>
      <c r="I8" s="9">
        <f t="shared" ca="1" si="2"/>
        <v>0.87067910676047722</v>
      </c>
      <c r="J8" s="9">
        <f t="shared" ca="1" si="3"/>
        <v>19.618858228978009</v>
      </c>
      <c r="K8" s="9">
        <f t="shared" ca="1" si="4"/>
        <v>50.099009900990097</v>
      </c>
    </row>
    <row r="9" spans="1:11" ht="15.75" customHeight="1" x14ac:dyDescent="0.15">
      <c r="A9" s="3">
        <v>8</v>
      </c>
      <c r="B9" s="8">
        <f ca="1">SUMIF('Tiktok Ads Performance Metrics'!B:B,A9,'Tiktok Ads Performance Metrics'!C:C)</f>
        <v>2515056</v>
      </c>
      <c r="C9" s="8">
        <f ca="1">SUMIF('Tiktok Ads Performance Metrics'!B:B,A9,'Tiktok Ads Performance Metrics'!E:E)</f>
        <v>51908</v>
      </c>
      <c r="D9" s="9">
        <f ca="1">SUMIF('Tiktok Ads Performance Metrics'!B:B,A9,'Tiktok Ads Performance Metrics'!H:H)</f>
        <v>44106</v>
      </c>
      <c r="E9" s="8">
        <f ca="1">SUMIF('Tiktok Ads Performance Metrics'!B:B,A9,'Tiktok Ads Performance Metrics'!J:J)</f>
        <v>916</v>
      </c>
      <c r="F9" s="9">
        <f ca="1">SUMIF('Tiktok Ads Performance Metrics'!B:B,A9,'Tiktok Ads Performance Metrics'!L:L)</f>
        <v>140844</v>
      </c>
      <c r="G9" s="9">
        <f t="shared" ca="1" si="0"/>
        <v>153.75982532751092</v>
      </c>
      <c r="H9" s="25">
        <f t="shared" ca="1" si="1"/>
        <v>3.193307033056727</v>
      </c>
      <c r="I9" s="9">
        <f t="shared" ca="1" si="2"/>
        <v>0.84969561531941129</v>
      </c>
      <c r="J9" s="9">
        <f t="shared" ca="1" si="3"/>
        <v>17.536786457239916</v>
      </c>
      <c r="K9" s="9">
        <f t="shared" ca="1" si="4"/>
        <v>48.150655021834062</v>
      </c>
    </row>
    <row r="10" spans="1:11" ht="15.75" customHeight="1" x14ac:dyDescent="0.15">
      <c r="A10" s="3">
        <v>9</v>
      </c>
      <c r="B10" s="8">
        <f ca="1">SUMIF('Tiktok Ads Performance Metrics'!B:B,A10,'Tiktok Ads Performance Metrics'!C:C)</f>
        <v>1846314</v>
      </c>
      <c r="C10" s="8">
        <f ca="1">SUMIF('Tiktok Ads Performance Metrics'!B:B,A10,'Tiktok Ads Performance Metrics'!E:E)</f>
        <v>36520</v>
      </c>
      <c r="D10" s="9">
        <f ca="1">SUMIF('Tiktok Ads Performance Metrics'!B:B,A10,'Tiktok Ads Performance Metrics'!H:H)</f>
        <v>35760</v>
      </c>
      <c r="E10" s="8">
        <f ca="1">SUMIF('Tiktok Ads Performance Metrics'!B:B,A10,'Tiktok Ads Performance Metrics'!J:J)</f>
        <v>682</v>
      </c>
      <c r="F10" s="9">
        <f ca="1">SUMIF('Tiktok Ads Performance Metrics'!B:B,A10,'Tiktok Ads Performance Metrics'!L:L)</f>
        <v>107590</v>
      </c>
      <c r="G10" s="9">
        <f t="shared" ca="1" si="0"/>
        <v>157.7565982404692</v>
      </c>
      <c r="H10" s="25">
        <f t="shared" ca="1" si="1"/>
        <v>3.008668903803132</v>
      </c>
      <c r="I10" s="9">
        <f t="shared" ca="1" si="2"/>
        <v>0.97918948521358162</v>
      </c>
      <c r="J10" s="9">
        <f t="shared" ca="1" si="3"/>
        <v>19.368319798257499</v>
      </c>
      <c r="K10" s="9">
        <f t="shared" ca="1" si="4"/>
        <v>52.434017595307921</v>
      </c>
    </row>
    <row r="11" spans="1:11" ht="15.75" customHeight="1" x14ac:dyDescent="0.15">
      <c r="A11" s="3">
        <v>10</v>
      </c>
      <c r="B11" s="8">
        <f ca="1">SUMIF('Tiktok Ads Performance Metrics'!B:B,A11,'Tiktok Ads Performance Metrics'!C:C)</f>
        <v>2115203</v>
      </c>
      <c r="C11" s="8">
        <f ca="1">SUMIF('Tiktok Ads Performance Metrics'!B:B,A11,'Tiktok Ads Performance Metrics'!E:E)</f>
        <v>45029</v>
      </c>
      <c r="D11" s="9">
        <f ca="1">SUMIF('Tiktok Ads Performance Metrics'!B:B,A11,'Tiktok Ads Performance Metrics'!H:H)</f>
        <v>39690</v>
      </c>
      <c r="E11" s="8">
        <f ca="1">SUMIF('Tiktok Ads Performance Metrics'!B:B,A11,'Tiktok Ads Performance Metrics'!J:J)</f>
        <v>858</v>
      </c>
      <c r="F11" s="9">
        <f ca="1">SUMIF('Tiktok Ads Performance Metrics'!B:B,A11,'Tiktok Ads Performance Metrics'!L:L)</f>
        <v>127829</v>
      </c>
      <c r="G11" s="9">
        <f t="shared" ca="1" si="0"/>
        <v>148.9848484848485</v>
      </c>
      <c r="H11" s="25">
        <f t="shared" ca="1" si="1"/>
        <v>3.2206853111615015</v>
      </c>
      <c r="I11" s="9">
        <f t="shared" ca="1" si="2"/>
        <v>0.8814319660663128</v>
      </c>
      <c r="J11" s="9">
        <f t="shared" ca="1" si="3"/>
        <v>18.764156442667677</v>
      </c>
      <c r="K11" s="9">
        <f t="shared" ca="1" si="4"/>
        <v>46.25874125874126</v>
      </c>
    </row>
    <row r="12" spans="1:11" ht="15.75" customHeight="1" x14ac:dyDescent="0.15">
      <c r="A12" s="3">
        <v>11</v>
      </c>
      <c r="B12" s="8">
        <f ca="1">SUMIF('Tiktok Ads Performance Metrics'!B:B,A12,'Tiktok Ads Performance Metrics'!C:C)</f>
        <v>1882573</v>
      </c>
      <c r="C12" s="8">
        <f ca="1">SUMIF('Tiktok Ads Performance Metrics'!B:B,A12,'Tiktok Ads Performance Metrics'!E:E)</f>
        <v>39000</v>
      </c>
      <c r="D12" s="9">
        <f ca="1">SUMIF('Tiktok Ads Performance Metrics'!B:B,A12,'Tiktok Ads Performance Metrics'!H:H)</f>
        <v>34809</v>
      </c>
      <c r="E12" s="8">
        <f ca="1">SUMIF('Tiktok Ads Performance Metrics'!B:B,A12,'Tiktok Ads Performance Metrics'!J:J)</f>
        <v>690</v>
      </c>
      <c r="F12" s="9">
        <f ca="1">SUMIF('Tiktok Ads Performance Metrics'!B:B,A12,'Tiktok Ads Performance Metrics'!L:L)</f>
        <v>111719</v>
      </c>
      <c r="G12" s="9">
        <f t="shared" ca="1" si="0"/>
        <v>161.91159420289856</v>
      </c>
      <c r="H12" s="25">
        <f t="shared" ca="1" si="1"/>
        <v>3.2094860524576978</v>
      </c>
      <c r="I12" s="9">
        <f t="shared" ca="1" si="2"/>
        <v>0.8925384615384615</v>
      </c>
      <c r="J12" s="9">
        <f t="shared" ca="1" si="3"/>
        <v>18.490119639450899</v>
      </c>
      <c r="K12" s="9">
        <f t="shared" ca="1" si="4"/>
        <v>50.447826086956525</v>
      </c>
    </row>
    <row r="13" spans="1:11" ht="15.75" customHeight="1" x14ac:dyDescent="0.15">
      <c r="A13" s="3">
        <v>12</v>
      </c>
      <c r="B13" s="8">
        <f ca="1">SUMIF('Tiktok Ads Performance Metrics'!B:B,A13,'Tiktok Ads Performance Metrics'!C:C)</f>
        <v>1990299</v>
      </c>
      <c r="C13" s="8">
        <f ca="1">SUMIF('Tiktok Ads Performance Metrics'!B:B,A13,'Tiktok Ads Performance Metrics'!E:E)</f>
        <v>44011</v>
      </c>
      <c r="D13" s="9">
        <f ca="1">SUMIF('Tiktok Ads Performance Metrics'!B:B,A13,'Tiktok Ads Performance Metrics'!H:H)</f>
        <v>56662</v>
      </c>
      <c r="E13" s="8">
        <f ca="1">SUMIF('Tiktok Ads Performance Metrics'!B:B,A13,'Tiktok Ads Performance Metrics'!J:J)</f>
        <v>1034</v>
      </c>
      <c r="F13" s="9">
        <f ca="1">SUMIF('Tiktok Ads Performance Metrics'!B:B,A13,'Tiktok Ads Performance Metrics'!L:L)</f>
        <v>132858</v>
      </c>
      <c r="G13" s="9">
        <f t="shared" ca="1" si="0"/>
        <v>128.48936170212767</v>
      </c>
      <c r="H13" s="25">
        <f t="shared" ca="1" si="1"/>
        <v>2.3447460379090042</v>
      </c>
      <c r="I13" s="9">
        <f t="shared" ca="1" si="2"/>
        <v>1.2874508645565881</v>
      </c>
      <c r="J13" s="9">
        <f t="shared" ca="1" si="3"/>
        <v>28.469089317735676</v>
      </c>
      <c r="K13" s="9">
        <f t="shared" ca="1" si="4"/>
        <v>54.79883945841393</v>
      </c>
    </row>
    <row r="14" spans="1:11" ht="15.75" customHeight="1" x14ac:dyDescent="0.15">
      <c r="D14" s="9"/>
      <c r="F14" s="9"/>
      <c r="H14" s="25"/>
    </row>
    <row r="15" spans="1:11" ht="15.75" customHeight="1" x14ac:dyDescent="0.15">
      <c r="D15" s="9"/>
      <c r="F15" s="9"/>
      <c r="H15" s="25"/>
    </row>
    <row r="16" spans="1:11" ht="15.75" customHeight="1" x14ac:dyDescent="0.15">
      <c r="D16" s="9"/>
      <c r="F16" s="9"/>
      <c r="H16" s="25"/>
    </row>
    <row r="17" spans="4:8" ht="15.75" customHeight="1" x14ac:dyDescent="0.15">
      <c r="D17" s="9"/>
      <c r="F17" s="9"/>
      <c r="H17" s="25"/>
    </row>
    <row r="18" spans="4:8" ht="15.75" customHeight="1" x14ac:dyDescent="0.15">
      <c r="D18" s="9"/>
      <c r="F18" s="9"/>
      <c r="H18" s="25"/>
    </row>
    <row r="19" spans="4:8" ht="15.75" customHeight="1" x14ac:dyDescent="0.15">
      <c r="D19" s="9"/>
      <c r="F19" s="9"/>
      <c r="H19" s="25"/>
    </row>
    <row r="20" spans="4:8" ht="15.75" customHeight="1" x14ac:dyDescent="0.15">
      <c r="D20" s="9"/>
      <c r="F20" s="9"/>
      <c r="H20" s="25"/>
    </row>
    <row r="21" spans="4:8" ht="15.75" customHeight="1" x14ac:dyDescent="0.15">
      <c r="D21" s="9"/>
      <c r="F21" s="9"/>
      <c r="H21" s="25"/>
    </row>
    <row r="22" spans="4:8" ht="15.75" customHeight="1" x14ac:dyDescent="0.15">
      <c r="D22" s="9"/>
      <c r="F22" s="9"/>
      <c r="H22" s="25"/>
    </row>
    <row r="23" spans="4:8" ht="15.75" customHeight="1" x14ac:dyDescent="0.15">
      <c r="D23" s="9"/>
      <c r="F23" s="9"/>
      <c r="H23" s="25"/>
    </row>
    <row r="24" spans="4:8" ht="15.75" customHeight="1" x14ac:dyDescent="0.15">
      <c r="D24" s="9"/>
      <c r="F24" s="9"/>
      <c r="H24" s="25"/>
    </row>
    <row r="25" spans="4:8" ht="15.75" customHeight="1" x14ac:dyDescent="0.15">
      <c r="D25" s="9"/>
      <c r="F25" s="9"/>
      <c r="H25" s="25"/>
    </row>
    <row r="26" spans="4:8" ht="15.75" customHeight="1" x14ac:dyDescent="0.15">
      <c r="D26" s="9"/>
      <c r="F26" s="9"/>
      <c r="H26" s="25"/>
    </row>
    <row r="27" spans="4:8" ht="15.75" customHeight="1" x14ac:dyDescent="0.15">
      <c r="D27" s="9"/>
      <c r="F27" s="9"/>
      <c r="H27" s="25"/>
    </row>
    <row r="28" spans="4:8" ht="15.75" customHeight="1" x14ac:dyDescent="0.15">
      <c r="D28" s="9"/>
      <c r="F28" s="9"/>
      <c r="H28" s="25"/>
    </row>
    <row r="29" spans="4:8" ht="15.75" customHeight="1" x14ac:dyDescent="0.15">
      <c r="D29" s="9"/>
      <c r="F29" s="9"/>
      <c r="H29" s="25"/>
    </row>
    <row r="30" spans="4:8" ht="15.75" customHeight="1" x14ac:dyDescent="0.15">
      <c r="D30" s="9"/>
      <c r="F30" s="9"/>
      <c r="H30" s="25"/>
    </row>
    <row r="31" spans="4:8" ht="15.75" customHeight="1" x14ac:dyDescent="0.15">
      <c r="D31" s="9"/>
      <c r="F31" s="9"/>
      <c r="H31" s="25"/>
    </row>
    <row r="32" spans="4:8" ht="15.75" customHeight="1" x14ac:dyDescent="0.15">
      <c r="D32" s="9"/>
      <c r="F32" s="9"/>
      <c r="H32" s="25"/>
    </row>
    <row r="33" spans="4:8" ht="15.75" customHeight="1" x14ac:dyDescent="0.15">
      <c r="D33" s="9"/>
      <c r="F33" s="9"/>
      <c r="H33" s="25"/>
    </row>
    <row r="34" spans="4:8" ht="15.75" customHeight="1" x14ac:dyDescent="0.15">
      <c r="D34" s="9"/>
      <c r="F34" s="9"/>
      <c r="H34" s="25"/>
    </row>
    <row r="35" spans="4:8" ht="15.75" customHeight="1" x14ac:dyDescent="0.15">
      <c r="D35" s="9"/>
      <c r="F35" s="9"/>
      <c r="H35" s="25"/>
    </row>
    <row r="36" spans="4:8" ht="15.75" customHeight="1" x14ac:dyDescent="0.15">
      <c r="D36" s="9"/>
      <c r="F36" s="9"/>
      <c r="H36" s="25"/>
    </row>
    <row r="37" spans="4:8" ht="15.75" customHeight="1" x14ac:dyDescent="0.15">
      <c r="D37" s="9"/>
      <c r="F37" s="9"/>
      <c r="H37" s="25"/>
    </row>
    <row r="38" spans="4:8" ht="15.75" customHeight="1" x14ac:dyDescent="0.15">
      <c r="D38" s="9"/>
      <c r="F38" s="9"/>
      <c r="H38" s="25"/>
    </row>
    <row r="39" spans="4:8" ht="15.75" customHeight="1" x14ac:dyDescent="0.15">
      <c r="D39" s="9"/>
      <c r="F39" s="9"/>
      <c r="H39" s="25"/>
    </row>
    <row r="40" spans="4:8" ht="15.75" customHeight="1" x14ac:dyDescent="0.15">
      <c r="D40" s="9"/>
      <c r="F40" s="9"/>
      <c r="H40" s="25"/>
    </row>
    <row r="41" spans="4:8" ht="15.75" customHeight="1" x14ac:dyDescent="0.15">
      <c r="D41" s="9"/>
      <c r="F41" s="9"/>
      <c r="H41" s="25"/>
    </row>
    <row r="42" spans="4:8" ht="15.75" customHeight="1" x14ac:dyDescent="0.15">
      <c r="D42" s="9"/>
      <c r="F42" s="9"/>
      <c r="H42" s="25"/>
    </row>
    <row r="43" spans="4:8" ht="15.75" customHeight="1" x14ac:dyDescent="0.15">
      <c r="D43" s="9"/>
      <c r="F43" s="9"/>
      <c r="H43" s="25"/>
    </row>
    <row r="44" spans="4:8" ht="15.75" customHeight="1" x14ac:dyDescent="0.15">
      <c r="D44" s="9"/>
      <c r="F44" s="9"/>
      <c r="H44" s="25"/>
    </row>
    <row r="45" spans="4:8" ht="13" x14ac:dyDescent="0.15">
      <c r="D45" s="9"/>
      <c r="F45" s="9"/>
      <c r="H45" s="25"/>
    </row>
    <row r="46" spans="4:8" ht="13" x14ac:dyDescent="0.15">
      <c r="D46" s="9"/>
      <c r="F46" s="9"/>
      <c r="H46" s="25"/>
    </row>
    <row r="47" spans="4:8" ht="13" x14ac:dyDescent="0.15">
      <c r="D47" s="9"/>
      <c r="F47" s="9"/>
      <c r="H47" s="25"/>
    </row>
    <row r="48" spans="4:8" ht="13" x14ac:dyDescent="0.15">
      <c r="D48" s="9"/>
      <c r="F48" s="9"/>
      <c r="H48" s="25"/>
    </row>
    <row r="49" spans="4:8" ht="13" x14ac:dyDescent="0.15">
      <c r="D49" s="9"/>
      <c r="F49" s="9"/>
      <c r="H49" s="25"/>
    </row>
    <row r="50" spans="4:8" ht="13" x14ac:dyDescent="0.15">
      <c r="D50" s="9"/>
      <c r="F50" s="9"/>
      <c r="H50" s="25"/>
    </row>
    <row r="51" spans="4:8" ht="13" x14ac:dyDescent="0.15">
      <c r="D51" s="9"/>
      <c r="F51" s="9"/>
      <c r="H51" s="25"/>
    </row>
    <row r="52" spans="4:8" ht="13" x14ac:dyDescent="0.15">
      <c r="D52" s="9"/>
      <c r="F52" s="9"/>
      <c r="H52" s="25"/>
    </row>
    <row r="53" spans="4:8" ht="13" x14ac:dyDescent="0.15">
      <c r="D53" s="9"/>
      <c r="F53" s="9"/>
      <c r="H53" s="25"/>
    </row>
    <row r="54" spans="4:8" ht="13" x14ac:dyDescent="0.15">
      <c r="D54" s="9"/>
      <c r="F54" s="9"/>
      <c r="H54" s="25"/>
    </row>
    <row r="55" spans="4:8" ht="13" x14ac:dyDescent="0.15">
      <c r="D55" s="9"/>
      <c r="F55" s="9"/>
      <c r="H55" s="25"/>
    </row>
    <row r="56" spans="4:8" ht="13" x14ac:dyDescent="0.15">
      <c r="D56" s="9"/>
      <c r="F56" s="9"/>
      <c r="H56" s="25"/>
    </row>
    <row r="57" spans="4:8" ht="13" x14ac:dyDescent="0.15">
      <c r="D57" s="9"/>
      <c r="F57" s="9"/>
      <c r="H57" s="25"/>
    </row>
    <row r="58" spans="4:8" ht="13" x14ac:dyDescent="0.15">
      <c r="D58" s="9"/>
      <c r="F58" s="9"/>
      <c r="H58" s="25"/>
    </row>
    <row r="59" spans="4:8" ht="13" x14ac:dyDescent="0.15">
      <c r="D59" s="9"/>
      <c r="F59" s="9"/>
      <c r="H59" s="25"/>
    </row>
    <row r="60" spans="4:8" ht="13" x14ac:dyDescent="0.15">
      <c r="D60" s="9"/>
      <c r="F60" s="9"/>
      <c r="H60" s="25"/>
    </row>
    <row r="61" spans="4:8" ht="13" x14ac:dyDescent="0.15">
      <c r="D61" s="9"/>
      <c r="F61" s="9"/>
      <c r="H61" s="25"/>
    </row>
    <row r="62" spans="4:8" ht="13" x14ac:dyDescent="0.15">
      <c r="D62" s="9"/>
      <c r="F62" s="9"/>
      <c r="H62" s="25"/>
    </row>
    <row r="63" spans="4:8" ht="13" x14ac:dyDescent="0.15">
      <c r="D63" s="9"/>
      <c r="F63" s="9"/>
      <c r="H63" s="25"/>
    </row>
    <row r="64" spans="4:8" ht="13" x14ac:dyDescent="0.15">
      <c r="D64" s="9"/>
      <c r="F64" s="9"/>
      <c r="H64" s="25"/>
    </row>
    <row r="65" spans="4:8" ht="13" x14ac:dyDescent="0.15">
      <c r="D65" s="9"/>
      <c r="F65" s="9"/>
      <c r="H65" s="25"/>
    </row>
    <row r="66" spans="4:8" ht="13" x14ac:dyDescent="0.15">
      <c r="D66" s="9"/>
      <c r="F66" s="9"/>
      <c r="H66" s="25"/>
    </row>
    <row r="67" spans="4:8" ht="13" x14ac:dyDescent="0.15">
      <c r="D67" s="9"/>
      <c r="F67" s="9"/>
      <c r="H67" s="25"/>
    </row>
    <row r="68" spans="4:8" ht="13" x14ac:dyDescent="0.15">
      <c r="D68" s="9"/>
      <c r="F68" s="9"/>
      <c r="H68" s="25"/>
    </row>
    <row r="69" spans="4:8" ht="13" x14ac:dyDescent="0.15">
      <c r="D69" s="9"/>
      <c r="F69" s="9"/>
      <c r="H69" s="25"/>
    </row>
    <row r="70" spans="4:8" ht="13" x14ac:dyDescent="0.15">
      <c r="D70" s="9"/>
      <c r="F70" s="9"/>
      <c r="H70" s="25"/>
    </row>
    <row r="71" spans="4:8" ht="13" x14ac:dyDescent="0.15">
      <c r="D71" s="9"/>
      <c r="F71" s="9"/>
      <c r="H71" s="25"/>
    </row>
    <row r="72" spans="4:8" ht="13" x14ac:dyDescent="0.15">
      <c r="D72" s="9"/>
      <c r="F72" s="9"/>
      <c r="H72" s="25"/>
    </row>
    <row r="73" spans="4:8" ht="13" x14ac:dyDescent="0.15">
      <c r="D73" s="9"/>
      <c r="F73" s="9"/>
      <c r="H73" s="25"/>
    </row>
    <row r="74" spans="4:8" ht="13" x14ac:dyDescent="0.15">
      <c r="D74" s="9"/>
      <c r="F74" s="9"/>
      <c r="H74" s="25"/>
    </row>
    <row r="75" spans="4:8" ht="13" x14ac:dyDescent="0.15">
      <c r="D75" s="9"/>
      <c r="F75" s="9"/>
      <c r="H75" s="25"/>
    </row>
    <row r="76" spans="4:8" ht="13" x14ac:dyDescent="0.15">
      <c r="D76" s="9"/>
      <c r="F76" s="9"/>
      <c r="H76" s="25"/>
    </row>
    <row r="77" spans="4:8" ht="13" x14ac:dyDescent="0.15">
      <c r="D77" s="9"/>
      <c r="F77" s="9"/>
      <c r="H77" s="25"/>
    </row>
    <row r="78" spans="4:8" ht="13" x14ac:dyDescent="0.15">
      <c r="D78" s="9"/>
      <c r="F78" s="9"/>
      <c r="H78" s="25"/>
    </row>
    <row r="79" spans="4:8" ht="13" x14ac:dyDescent="0.15">
      <c r="D79" s="9"/>
      <c r="F79" s="9"/>
      <c r="H79" s="25"/>
    </row>
    <row r="80" spans="4:8" ht="13" x14ac:dyDescent="0.15">
      <c r="D80" s="9"/>
      <c r="F80" s="9"/>
      <c r="H80" s="25"/>
    </row>
    <row r="81" spans="4:8" ht="13" x14ac:dyDescent="0.15">
      <c r="D81" s="9"/>
      <c r="F81" s="9"/>
      <c r="H81" s="25"/>
    </row>
    <row r="82" spans="4:8" ht="13" x14ac:dyDescent="0.15">
      <c r="D82" s="9"/>
      <c r="F82" s="9"/>
      <c r="H82" s="25"/>
    </row>
    <row r="83" spans="4:8" ht="13" x14ac:dyDescent="0.15">
      <c r="D83" s="9"/>
      <c r="F83" s="9"/>
      <c r="H83" s="25"/>
    </row>
    <row r="84" spans="4:8" ht="13" x14ac:dyDescent="0.15">
      <c r="D84" s="9"/>
      <c r="F84" s="9"/>
      <c r="H84" s="25"/>
    </row>
    <row r="85" spans="4:8" ht="13" x14ac:dyDescent="0.15">
      <c r="D85" s="9"/>
      <c r="F85" s="9"/>
      <c r="H85" s="25"/>
    </row>
    <row r="86" spans="4:8" ht="13" x14ac:dyDescent="0.15">
      <c r="D86" s="9"/>
      <c r="F86" s="9"/>
      <c r="H86" s="25"/>
    </row>
    <row r="87" spans="4:8" ht="13" x14ac:dyDescent="0.15">
      <c r="D87" s="9"/>
      <c r="F87" s="9"/>
      <c r="H87" s="25"/>
    </row>
    <row r="88" spans="4:8" ht="13" x14ac:dyDescent="0.15">
      <c r="D88" s="9"/>
      <c r="F88" s="9"/>
      <c r="H88" s="25"/>
    </row>
    <row r="89" spans="4:8" ht="13" x14ac:dyDescent="0.15">
      <c r="D89" s="9"/>
      <c r="F89" s="9"/>
      <c r="H89" s="25"/>
    </row>
    <row r="90" spans="4:8" ht="13" x14ac:dyDescent="0.15">
      <c r="D90" s="9"/>
      <c r="F90" s="9"/>
      <c r="H90" s="25"/>
    </row>
    <row r="91" spans="4:8" ht="13" x14ac:dyDescent="0.15">
      <c r="D91" s="9"/>
      <c r="F91" s="9"/>
      <c r="H91" s="25"/>
    </row>
    <row r="92" spans="4:8" ht="13" x14ac:dyDescent="0.15">
      <c r="D92" s="9"/>
      <c r="F92" s="9"/>
      <c r="H92" s="25"/>
    </row>
    <row r="93" spans="4:8" ht="13" x14ac:dyDescent="0.15">
      <c r="D93" s="9"/>
      <c r="F93" s="9"/>
      <c r="H93" s="25"/>
    </row>
    <row r="94" spans="4:8" ht="13" x14ac:dyDescent="0.15">
      <c r="D94" s="9"/>
      <c r="F94" s="9"/>
      <c r="H94" s="25"/>
    </row>
    <row r="95" spans="4:8" ht="13" x14ac:dyDescent="0.15">
      <c r="D95" s="9"/>
      <c r="F95" s="9"/>
      <c r="H95" s="25"/>
    </row>
    <row r="96" spans="4:8" ht="13" x14ac:dyDescent="0.15">
      <c r="D96" s="9"/>
      <c r="F96" s="9"/>
      <c r="H96" s="25"/>
    </row>
    <row r="97" spans="4:8" ht="13" x14ac:dyDescent="0.15">
      <c r="D97" s="9"/>
      <c r="F97" s="9"/>
      <c r="H97" s="25"/>
    </row>
    <row r="98" spans="4:8" ht="13" x14ac:dyDescent="0.15">
      <c r="D98" s="9"/>
      <c r="F98" s="9"/>
      <c r="H98" s="25"/>
    </row>
    <row r="99" spans="4:8" ht="13" x14ac:dyDescent="0.15">
      <c r="D99" s="9"/>
      <c r="F99" s="9"/>
      <c r="H99" s="25"/>
    </row>
    <row r="100" spans="4:8" ht="13" x14ac:dyDescent="0.15">
      <c r="D100" s="9"/>
      <c r="F100" s="9"/>
      <c r="H100" s="25"/>
    </row>
    <row r="101" spans="4:8" ht="13" x14ac:dyDescent="0.15">
      <c r="D101" s="9"/>
      <c r="F101" s="9"/>
      <c r="H101" s="25"/>
    </row>
    <row r="102" spans="4:8" ht="13" x14ac:dyDescent="0.15">
      <c r="D102" s="9"/>
      <c r="F102" s="9"/>
      <c r="H102" s="25"/>
    </row>
    <row r="103" spans="4:8" ht="13" x14ac:dyDescent="0.15">
      <c r="D103" s="9"/>
      <c r="F103" s="9"/>
      <c r="H103" s="25"/>
    </row>
    <row r="104" spans="4:8" ht="13" x14ac:dyDescent="0.15">
      <c r="D104" s="9"/>
      <c r="F104" s="9"/>
      <c r="H104" s="25"/>
    </row>
    <row r="105" spans="4:8" ht="13" x14ac:dyDescent="0.15">
      <c r="D105" s="9"/>
      <c r="F105" s="9"/>
      <c r="H105" s="25"/>
    </row>
    <row r="106" spans="4:8" ht="13" x14ac:dyDescent="0.15">
      <c r="D106" s="9"/>
      <c r="F106" s="9"/>
      <c r="H106" s="25"/>
    </row>
    <row r="107" spans="4:8" ht="13" x14ac:dyDescent="0.15">
      <c r="D107" s="9"/>
      <c r="F107" s="9"/>
      <c r="H107" s="25"/>
    </row>
    <row r="108" spans="4:8" ht="13" x14ac:dyDescent="0.15">
      <c r="D108" s="9"/>
      <c r="F108" s="9"/>
      <c r="H108" s="25"/>
    </row>
    <row r="109" spans="4:8" ht="13" x14ac:dyDescent="0.15">
      <c r="D109" s="9"/>
      <c r="F109" s="9"/>
      <c r="H109" s="25"/>
    </row>
    <row r="110" spans="4:8" ht="13" x14ac:dyDescent="0.15">
      <c r="D110" s="9"/>
      <c r="F110" s="9"/>
      <c r="H110" s="25"/>
    </row>
    <row r="111" spans="4:8" ht="13" x14ac:dyDescent="0.15">
      <c r="D111" s="9"/>
      <c r="F111" s="9"/>
      <c r="H111" s="25"/>
    </row>
    <row r="112" spans="4:8" ht="13" x14ac:dyDescent="0.15">
      <c r="D112" s="9"/>
      <c r="F112" s="9"/>
      <c r="H112" s="25"/>
    </row>
    <row r="113" spans="4:8" ht="13" x14ac:dyDescent="0.15">
      <c r="D113" s="9"/>
      <c r="F113" s="9"/>
      <c r="H113" s="25"/>
    </row>
    <row r="114" spans="4:8" ht="13" x14ac:dyDescent="0.15">
      <c r="D114" s="9"/>
      <c r="F114" s="9"/>
      <c r="H114" s="25"/>
    </row>
    <row r="115" spans="4:8" ht="13" x14ac:dyDescent="0.15">
      <c r="D115" s="9"/>
      <c r="F115" s="9"/>
      <c r="H115" s="25"/>
    </row>
    <row r="116" spans="4:8" ht="13" x14ac:dyDescent="0.15">
      <c r="D116" s="9"/>
      <c r="F116" s="9"/>
      <c r="H116" s="25"/>
    </row>
    <row r="117" spans="4:8" ht="13" x14ac:dyDescent="0.15">
      <c r="D117" s="9"/>
      <c r="F117" s="9"/>
      <c r="H117" s="25"/>
    </row>
    <row r="118" spans="4:8" ht="13" x14ac:dyDescent="0.15">
      <c r="D118" s="9"/>
      <c r="F118" s="9"/>
      <c r="H118" s="25"/>
    </row>
    <row r="119" spans="4:8" ht="13" x14ac:dyDescent="0.15">
      <c r="D119" s="9"/>
      <c r="F119" s="9"/>
      <c r="H119" s="25"/>
    </row>
    <row r="120" spans="4:8" ht="13" x14ac:dyDescent="0.15">
      <c r="D120" s="9"/>
      <c r="F120" s="9"/>
      <c r="H120" s="25"/>
    </row>
    <row r="121" spans="4:8" ht="13" x14ac:dyDescent="0.15">
      <c r="D121" s="9"/>
      <c r="F121" s="9"/>
      <c r="H121" s="25"/>
    </row>
    <row r="122" spans="4:8" ht="13" x14ac:dyDescent="0.15">
      <c r="D122" s="9"/>
      <c r="F122" s="9"/>
      <c r="H122" s="25"/>
    </row>
    <row r="123" spans="4:8" ht="13" x14ac:dyDescent="0.15">
      <c r="D123" s="9"/>
      <c r="F123" s="9"/>
      <c r="H123" s="25"/>
    </row>
    <row r="124" spans="4:8" ht="13" x14ac:dyDescent="0.15">
      <c r="D124" s="9"/>
      <c r="F124" s="9"/>
      <c r="H124" s="25"/>
    </row>
    <row r="125" spans="4:8" ht="13" x14ac:dyDescent="0.15">
      <c r="D125" s="9"/>
      <c r="F125" s="9"/>
      <c r="H125" s="25"/>
    </row>
    <row r="126" spans="4:8" ht="13" x14ac:dyDescent="0.15">
      <c r="D126" s="9"/>
      <c r="F126" s="9"/>
      <c r="H126" s="25"/>
    </row>
    <row r="127" spans="4:8" ht="13" x14ac:dyDescent="0.15">
      <c r="D127" s="9"/>
      <c r="F127" s="9"/>
      <c r="H127" s="25"/>
    </row>
    <row r="128" spans="4:8" ht="13" x14ac:dyDescent="0.15">
      <c r="D128" s="9"/>
      <c r="F128" s="9"/>
      <c r="H128" s="25"/>
    </row>
    <row r="129" spans="4:8" ht="13" x14ac:dyDescent="0.15">
      <c r="D129" s="9"/>
      <c r="F129" s="9"/>
      <c r="H129" s="25"/>
    </row>
    <row r="130" spans="4:8" ht="13" x14ac:dyDescent="0.15">
      <c r="D130" s="9"/>
      <c r="F130" s="9"/>
      <c r="H130" s="25"/>
    </row>
    <row r="131" spans="4:8" ht="13" x14ac:dyDescent="0.15">
      <c r="D131" s="9"/>
      <c r="F131" s="9"/>
      <c r="H131" s="25"/>
    </row>
    <row r="132" spans="4:8" ht="13" x14ac:dyDescent="0.15">
      <c r="D132" s="9"/>
      <c r="F132" s="9"/>
      <c r="H132" s="25"/>
    </row>
    <row r="133" spans="4:8" ht="13" x14ac:dyDescent="0.15">
      <c r="D133" s="9"/>
      <c r="F133" s="9"/>
      <c r="H133" s="25"/>
    </row>
    <row r="134" spans="4:8" ht="13" x14ac:dyDescent="0.15">
      <c r="D134" s="9"/>
      <c r="F134" s="9"/>
      <c r="H134" s="25"/>
    </row>
    <row r="135" spans="4:8" ht="13" x14ac:dyDescent="0.15">
      <c r="D135" s="9"/>
      <c r="F135" s="9"/>
      <c r="H135" s="25"/>
    </row>
    <row r="136" spans="4:8" ht="13" x14ac:dyDescent="0.15">
      <c r="D136" s="9"/>
      <c r="F136" s="9"/>
      <c r="H136" s="25"/>
    </row>
    <row r="137" spans="4:8" ht="13" x14ac:dyDescent="0.15">
      <c r="D137" s="9"/>
      <c r="F137" s="9"/>
      <c r="H137" s="25"/>
    </row>
    <row r="138" spans="4:8" ht="13" x14ac:dyDescent="0.15">
      <c r="D138" s="9"/>
      <c r="F138" s="9"/>
      <c r="H138" s="25"/>
    </row>
    <row r="139" spans="4:8" ht="13" x14ac:dyDescent="0.15">
      <c r="D139" s="9"/>
      <c r="F139" s="9"/>
      <c r="H139" s="25"/>
    </row>
    <row r="140" spans="4:8" ht="13" x14ac:dyDescent="0.15">
      <c r="D140" s="9"/>
      <c r="F140" s="9"/>
      <c r="H140" s="25"/>
    </row>
    <row r="141" spans="4:8" ht="13" x14ac:dyDescent="0.15">
      <c r="D141" s="9"/>
      <c r="F141" s="9"/>
      <c r="H141" s="25"/>
    </row>
    <row r="142" spans="4:8" ht="13" x14ac:dyDescent="0.15">
      <c r="D142" s="9"/>
      <c r="F142" s="9"/>
      <c r="H142" s="25"/>
    </row>
    <row r="143" spans="4:8" ht="13" x14ac:dyDescent="0.15">
      <c r="D143" s="9"/>
      <c r="F143" s="9"/>
      <c r="H143" s="25"/>
    </row>
    <row r="144" spans="4:8" ht="13" x14ac:dyDescent="0.15">
      <c r="D144" s="9"/>
      <c r="F144" s="9"/>
      <c r="H144" s="25"/>
    </row>
    <row r="145" spans="4:8" ht="13" x14ac:dyDescent="0.15">
      <c r="D145" s="9"/>
      <c r="F145" s="9"/>
      <c r="H145" s="25"/>
    </row>
    <row r="146" spans="4:8" ht="13" x14ac:dyDescent="0.15">
      <c r="D146" s="9"/>
      <c r="F146" s="9"/>
      <c r="H146" s="25"/>
    </row>
    <row r="147" spans="4:8" ht="13" x14ac:dyDescent="0.15">
      <c r="D147" s="9"/>
      <c r="F147" s="9"/>
      <c r="H147" s="25"/>
    </row>
    <row r="148" spans="4:8" ht="13" x14ac:dyDescent="0.15">
      <c r="D148" s="9"/>
      <c r="F148" s="9"/>
      <c r="H148" s="25"/>
    </row>
    <row r="149" spans="4:8" ht="13" x14ac:dyDescent="0.15">
      <c r="D149" s="9"/>
      <c r="F149" s="9"/>
      <c r="H149" s="25"/>
    </row>
    <row r="150" spans="4:8" ht="13" x14ac:dyDescent="0.15">
      <c r="D150" s="9"/>
      <c r="F150" s="9"/>
      <c r="H150" s="25"/>
    </row>
    <row r="151" spans="4:8" ht="13" x14ac:dyDescent="0.15">
      <c r="D151" s="9"/>
      <c r="F151" s="9"/>
      <c r="H151" s="25"/>
    </row>
    <row r="152" spans="4:8" ht="13" x14ac:dyDescent="0.15">
      <c r="D152" s="9"/>
      <c r="F152" s="9"/>
      <c r="H152" s="25"/>
    </row>
    <row r="153" spans="4:8" ht="13" x14ac:dyDescent="0.15">
      <c r="D153" s="9"/>
      <c r="F153" s="9"/>
      <c r="H153" s="25"/>
    </row>
    <row r="154" spans="4:8" ht="13" x14ac:dyDescent="0.15">
      <c r="D154" s="9"/>
      <c r="F154" s="9"/>
      <c r="H154" s="25"/>
    </row>
    <row r="155" spans="4:8" ht="13" x14ac:dyDescent="0.15">
      <c r="D155" s="9"/>
      <c r="F155" s="9"/>
      <c r="H155" s="25"/>
    </row>
    <row r="156" spans="4:8" ht="13" x14ac:dyDescent="0.15">
      <c r="D156" s="9"/>
      <c r="F156" s="9"/>
      <c r="H156" s="25"/>
    </row>
    <row r="157" spans="4:8" ht="13" x14ac:dyDescent="0.15">
      <c r="D157" s="9"/>
      <c r="F157" s="9"/>
      <c r="H157" s="25"/>
    </row>
    <row r="158" spans="4:8" ht="13" x14ac:dyDescent="0.15">
      <c r="D158" s="9"/>
      <c r="F158" s="9"/>
      <c r="H158" s="25"/>
    </row>
    <row r="159" spans="4:8" ht="13" x14ac:dyDescent="0.15">
      <c r="D159" s="9"/>
      <c r="F159" s="9"/>
      <c r="H159" s="25"/>
    </row>
    <row r="160" spans="4:8" ht="13" x14ac:dyDescent="0.15">
      <c r="D160" s="9"/>
      <c r="F160" s="9"/>
      <c r="H160" s="25"/>
    </row>
    <row r="161" spans="4:8" ht="13" x14ac:dyDescent="0.15">
      <c r="D161" s="9"/>
      <c r="F161" s="9"/>
      <c r="H161" s="25"/>
    </row>
    <row r="162" spans="4:8" ht="13" x14ac:dyDescent="0.15">
      <c r="D162" s="9"/>
      <c r="F162" s="9"/>
      <c r="H162" s="25"/>
    </row>
    <row r="163" spans="4:8" ht="13" x14ac:dyDescent="0.15">
      <c r="D163" s="9"/>
      <c r="F163" s="9"/>
      <c r="H163" s="25"/>
    </row>
    <row r="164" spans="4:8" ht="13" x14ac:dyDescent="0.15">
      <c r="D164" s="9"/>
      <c r="F164" s="9"/>
      <c r="H164" s="25"/>
    </row>
    <row r="165" spans="4:8" ht="13" x14ac:dyDescent="0.15">
      <c r="D165" s="9"/>
      <c r="F165" s="9"/>
      <c r="H165" s="25"/>
    </row>
    <row r="166" spans="4:8" ht="13" x14ac:dyDescent="0.15">
      <c r="D166" s="9"/>
      <c r="F166" s="9"/>
      <c r="H166" s="25"/>
    </row>
    <row r="167" spans="4:8" ht="13" x14ac:dyDescent="0.15">
      <c r="D167" s="9"/>
      <c r="F167" s="9"/>
      <c r="H167" s="25"/>
    </row>
    <row r="168" spans="4:8" ht="13" x14ac:dyDescent="0.15">
      <c r="D168" s="9"/>
      <c r="F168" s="9"/>
      <c r="H168" s="25"/>
    </row>
    <row r="169" spans="4:8" ht="13" x14ac:dyDescent="0.15">
      <c r="D169" s="9"/>
      <c r="F169" s="9"/>
      <c r="H169" s="25"/>
    </row>
    <row r="170" spans="4:8" ht="13" x14ac:dyDescent="0.15">
      <c r="D170" s="9"/>
      <c r="F170" s="9"/>
      <c r="H170" s="25"/>
    </row>
    <row r="171" spans="4:8" ht="13" x14ac:dyDescent="0.15">
      <c r="D171" s="9"/>
      <c r="F171" s="9"/>
      <c r="H171" s="25"/>
    </row>
    <row r="172" spans="4:8" ht="13" x14ac:dyDescent="0.15">
      <c r="D172" s="9"/>
      <c r="F172" s="9"/>
      <c r="H172" s="25"/>
    </row>
    <row r="173" spans="4:8" ht="13" x14ac:dyDescent="0.15">
      <c r="D173" s="9"/>
      <c r="F173" s="9"/>
      <c r="H173" s="25"/>
    </row>
    <row r="174" spans="4:8" ht="13" x14ac:dyDescent="0.15">
      <c r="D174" s="9"/>
      <c r="F174" s="9"/>
      <c r="H174" s="25"/>
    </row>
    <row r="175" spans="4:8" ht="13" x14ac:dyDescent="0.15">
      <c r="D175" s="9"/>
      <c r="F175" s="9"/>
      <c r="H175" s="25"/>
    </row>
    <row r="176" spans="4:8" ht="13" x14ac:dyDescent="0.15">
      <c r="D176" s="9"/>
      <c r="F176" s="9"/>
      <c r="H176" s="25"/>
    </row>
    <row r="177" spans="4:8" ht="13" x14ac:dyDescent="0.15">
      <c r="D177" s="9"/>
      <c r="F177" s="9"/>
      <c r="H177" s="25"/>
    </row>
    <row r="178" spans="4:8" ht="13" x14ac:dyDescent="0.15">
      <c r="D178" s="9"/>
      <c r="F178" s="9"/>
      <c r="H178" s="25"/>
    </row>
    <row r="179" spans="4:8" ht="13" x14ac:dyDescent="0.15">
      <c r="D179" s="9"/>
      <c r="F179" s="9"/>
      <c r="H179" s="25"/>
    </row>
    <row r="180" spans="4:8" ht="13" x14ac:dyDescent="0.15">
      <c r="D180" s="9"/>
      <c r="F180" s="9"/>
      <c r="H180" s="25"/>
    </row>
    <row r="181" spans="4:8" ht="13" x14ac:dyDescent="0.15">
      <c r="D181" s="9"/>
      <c r="F181" s="9"/>
      <c r="H181" s="25"/>
    </row>
    <row r="182" spans="4:8" ht="13" x14ac:dyDescent="0.15">
      <c r="D182" s="9"/>
      <c r="F182" s="9"/>
      <c r="H182" s="25"/>
    </row>
    <row r="183" spans="4:8" ht="13" x14ac:dyDescent="0.15">
      <c r="D183" s="9"/>
      <c r="F183" s="9"/>
      <c r="H183" s="25"/>
    </row>
    <row r="184" spans="4:8" ht="13" x14ac:dyDescent="0.15">
      <c r="D184" s="9"/>
      <c r="F184" s="9"/>
      <c r="H184" s="25"/>
    </row>
    <row r="185" spans="4:8" ht="13" x14ac:dyDescent="0.15">
      <c r="D185" s="9"/>
      <c r="F185" s="9"/>
      <c r="H185" s="25"/>
    </row>
    <row r="186" spans="4:8" ht="13" x14ac:dyDescent="0.15">
      <c r="D186" s="9"/>
      <c r="F186" s="9"/>
      <c r="H186" s="25"/>
    </row>
    <row r="187" spans="4:8" ht="13" x14ac:dyDescent="0.15">
      <c r="D187" s="9"/>
      <c r="F187" s="9"/>
      <c r="H187" s="25"/>
    </row>
    <row r="188" spans="4:8" ht="13" x14ac:dyDescent="0.15">
      <c r="D188" s="9"/>
      <c r="F188" s="9"/>
      <c r="H188" s="25"/>
    </row>
    <row r="189" spans="4:8" ht="13" x14ac:dyDescent="0.15">
      <c r="D189" s="9"/>
      <c r="F189" s="9"/>
      <c r="H189" s="25"/>
    </row>
    <row r="190" spans="4:8" ht="13" x14ac:dyDescent="0.15">
      <c r="D190" s="9"/>
      <c r="F190" s="9"/>
      <c r="H190" s="25"/>
    </row>
    <row r="191" spans="4:8" ht="13" x14ac:dyDescent="0.15">
      <c r="D191" s="9"/>
      <c r="F191" s="9"/>
      <c r="H191" s="25"/>
    </row>
    <row r="192" spans="4:8" ht="13" x14ac:dyDescent="0.15">
      <c r="D192" s="9"/>
      <c r="F192" s="9"/>
      <c r="H192" s="25"/>
    </row>
    <row r="193" spans="4:8" ht="13" x14ac:dyDescent="0.15">
      <c r="D193" s="9"/>
      <c r="F193" s="9"/>
      <c r="H193" s="25"/>
    </row>
    <row r="194" spans="4:8" ht="13" x14ac:dyDescent="0.15">
      <c r="D194" s="9"/>
      <c r="F194" s="9"/>
      <c r="H194" s="25"/>
    </row>
    <row r="195" spans="4:8" ht="13" x14ac:dyDescent="0.15">
      <c r="D195" s="9"/>
      <c r="F195" s="9"/>
      <c r="H195" s="25"/>
    </row>
    <row r="196" spans="4:8" ht="13" x14ac:dyDescent="0.15">
      <c r="D196" s="9"/>
      <c r="F196" s="9"/>
      <c r="H196" s="25"/>
    </row>
    <row r="197" spans="4:8" ht="13" x14ac:dyDescent="0.15">
      <c r="D197" s="9"/>
      <c r="F197" s="9"/>
      <c r="H197" s="25"/>
    </row>
    <row r="198" spans="4:8" ht="13" x14ac:dyDescent="0.15">
      <c r="D198" s="9"/>
      <c r="F198" s="9"/>
      <c r="H198" s="25"/>
    </row>
    <row r="199" spans="4:8" ht="13" x14ac:dyDescent="0.15">
      <c r="D199" s="9"/>
      <c r="F199" s="9"/>
      <c r="H199" s="25"/>
    </row>
    <row r="200" spans="4:8" ht="13" x14ac:dyDescent="0.15">
      <c r="D200" s="9"/>
      <c r="F200" s="9"/>
      <c r="H200" s="25"/>
    </row>
    <row r="201" spans="4:8" ht="13" x14ac:dyDescent="0.15">
      <c r="D201" s="9"/>
      <c r="F201" s="9"/>
      <c r="H201" s="25"/>
    </row>
    <row r="202" spans="4:8" ht="13" x14ac:dyDescent="0.15">
      <c r="D202" s="9"/>
      <c r="F202" s="9"/>
      <c r="H202" s="25"/>
    </row>
    <row r="203" spans="4:8" ht="13" x14ac:dyDescent="0.15">
      <c r="D203" s="9"/>
      <c r="F203" s="9"/>
      <c r="H203" s="25"/>
    </row>
    <row r="204" spans="4:8" ht="13" x14ac:dyDescent="0.15">
      <c r="D204" s="9"/>
      <c r="F204" s="9"/>
      <c r="H204" s="25"/>
    </row>
    <row r="205" spans="4:8" ht="13" x14ac:dyDescent="0.15">
      <c r="D205" s="9"/>
      <c r="F205" s="9"/>
      <c r="H205" s="25"/>
    </row>
    <row r="206" spans="4:8" ht="13" x14ac:dyDescent="0.15">
      <c r="D206" s="9"/>
      <c r="F206" s="9"/>
      <c r="H206" s="25"/>
    </row>
    <row r="207" spans="4:8" ht="13" x14ac:dyDescent="0.15">
      <c r="D207" s="9"/>
      <c r="F207" s="9"/>
      <c r="H207" s="25"/>
    </row>
    <row r="208" spans="4:8" ht="13" x14ac:dyDescent="0.15">
      <c r="D208" s="9"/>
      <c r="F208" s="9"/>
      <c r="H208" s="25"/>
    </row>
    <row r="209" spans="4:8" ht="13" x14ac:dyDescent="0.15">
      <c r="D209" s="9"/>
      <c r="F209" s="9"/>
      <c r="H209" s="25"/>
    </row>
    <row r="210" spans="4:8" ht="13" x14ac:dyDescent="0.15">
      <c r="D210" s="9"/>
      <c r="F210" s="9"/>
      <c r="H210" s="25"/>
    </row>
    <row r="211" spans="4:8" ht="13" x14ac:dyDescent="0.15">
      <c r="D211" s="9"/>
      <c r="F211" s="9"/>
      <c r="H211" s="25"/>
    </row>
    <row r="212" spans="4:8" ht="13" x14ac:dyDescent="0.15">
      <c r="D212" s="9"/>
      <c r="F212" s="9"/>
      <c r="H212" s="25"/>
    </row>
    <row r="213" spans="4:8" ht="13" x14ac:dyDescent="0.15">
      <c r="D213" s="9"/>
      <c r="F213" s="9"/>
      <c r="H213" s="25"/>
    </row>
    <row r="214" spans="4:8" ht="13" x14ac:dyDescent="0.15">
      <c r="D214" s="9"/>
      <c r="F214" s="9"/>
      <c r="H214" s="25"/>
    </row>
    <row r="215" spans="4:8" ht="13" x14ac:dyDescent="0.15">
      <c r="D215" s="9"/>
      <c r="F215" s="9"/>
      <c r="H215" s="25"/>
    </row>
    <row r="216" spans="4:8" ht="13" x14ac:dyDescent="0.15">
      <c r="D216" s="9"/>
      <c r="F216" s="9"/>
      <c r="H216" s="25"/>
    </row>
    <row r="217" spans="4:8" ht="13" x14ac:dyDescent="0.15">
      <c r="D217" s="9"/>
      <c r="F217" s="9"/>
      <c r="H217" s="25"/>
    </row>
    <row r="218" spans="4:8" ht="13" x14ac:dyDescent="0.15">
      <c r="D218" s="9"/>
      <c r="F218" s="9"/>
      <c r="H218" s="25"/>
    </row>
    <row r="219" spans="4:8" ht="13" x14ac:dyDescent="0.15">
      <c r="D219" s="9"/>
      <c r="F219" s="9"/>
      <c r="H219" s="25"/>
    </row>
    <row r="220" spans="4:8" ht="13" x14ac:dyDescent="0.15">
      <c r="D220" s="9"/>
      <c r="F220" s="9"/>
      <c r="H220" s="25"/>
    </row>
    <row r="221" spans="4:8" ht="13" x14ac:dyDescent="0.15">
      <c r="D221" s="9"/>
      <c r="F221" s="9"/>
      <c r="H221" s="25"/>
    </row>
    <row r="222" spans="4:8" ht="13" x14ac:dyDescent="0.15">
      <c r="D222" s="9"/>
      <c r="F222" s="9"/>
      <c r="H222" s="25"/>
    </row>
    <row r="223" spans="4:8" ht="13" x14ac:dyDescent="0.15">
      <c r="D223" s="9"/>
      <c r="F223" s="9"/>
      <c r="H223" s="25"/>
    </row>
    <row r="224" spans="4:8" ht="13" x14ac:dyDescent="0.15">
      <c r="D224" s="9"/>
      <c r="F224" s="9"/>
      <c r="H224" s="25"/>
    </row>
    <row r="225" spans="4:8" ht="13" x14ac:dyDescent="0.15">
      <c r="D225" s="9"/>
      <c r="F225" s="9"/>
      <c r="H225" s="25"/>
    </row>
    <row r="226" spans="4:8" ht="13" x14ac:dyDescent="0.15">
      <c r="D226" s="9"/>
      <c r="F226" s="9"/>
      <c r="H226" s="25"/>
    </row>
    <row r="227" spans="4:8" ht="13" x14ac:dyDescent="0.15">
      <c r="D227" s="9"/>
      <c r="F227" s="9"/>
      <c r="H227" s="25"/>
    </row>
    <row r="228" spans="4:8" ht="13" x14ac:dyDescent="0.15">
      <c r="D228" s="9"/>
      <c r="F228" s="9"/>
      <c r="H228" s="25"/>
    </row>
    <row r="229" spans="4:8" ht="13" x14ac:dyDescent="0.15">
      <c r="D229" s="9"/>
      <c r="F229" s="9"/>
      <c r="H229" s="25"/>
    </row>
    <row r="230" spans="4:8" ht="13" x14ac:dyDescent="0.15">
      <c r="D230" s="9"/>
      <c r="F230" s="9"/>
      <c r="H230" s="25"/>
    </row>
    <row r="231" spans="4:8" ht="13" x14ac:dyDescent="0.15">
      <c r="D231" s="9"/>
      <c r="F231" s="9"/>
      <c r="H231" s="25"/>
    </row>
    <row r="232" spans="4:8" ht="13" x14ac:dyDescent="0.15">
      <c r="D232" s="9"/>
      <c r="F232" s="9"/>
      <c r="H232" s="25"/>
    </row>
    <row r="233" spans="4:8" ht="13" x14ac:dyDescent="0.15">
      <c r="D233" s="9"/>
      <c r="F233" s="9"/>
      <c r="H233" s="25"/>
    </row>
    <row r="234" spans="4:8" ht="13" x14ac:dyDescent="0.15">
      <c r="D234" s="9"/>
      <c r="F234" s="9"/>
      <c r="H234" s="25"/>
    </row>
    <row r="235" spans="4:8" ht="13" x14ac:dyDescent="0.15">
      <c r="D235" s="9"/>
      <c r="F235" s="9"/>
      <c r="H235" s="25"/>
    </row>
    <row r="236" spans="4:8" ht="13" x14ac:dyDescent="0.15">
      <c r="D236" s="9"/>
      <c r="F236" s="9"/>
      <c r="H236" s="25"/>
    </row>
    <row r="237" spans="4:8" ht="13" x14ac:dyDescent="0.15">
      <c r="D237" s="9"/>
      <c r="F237" s="9"/>
      <c r="H237" s="25"/>
    </row>
    <row r="238" spans="4:8" ht="13" x14ac:dyDescent="0.15">
      <c r="D238" s="9"/>
      <c r="F238" s="9"/>
      <c r="H238" s="25"/>
    </row>
    <row r="239" spans="4:8" ht="13" x14ac:dyDescent="0.15">
      <c r="D239" s="9"/>
      <c r="F239" s="9"/>
      <c r="H239" s="25"/>
    </row>
    <row r="240" spans="4:8" ht="13" x14ac:dyDescent="0.15">
      <c r="D240" s="9"/>
      <c r="F240" s="9"/>
      <c r="H240" s="25"/>
    </row>
    <row r="241" spans="4:8" ht="13" x14ac:dyDescent="0.15">
      <c r="D241" s="9"/>
      <c r="F241" s="9"/>
      <c r="H241" s="25"/>
    </row>
    <row r="242" spans="4:8" ht="13" x14ac:dyDescent="0.15">
      <c r="D242" s="9"/>
      <c r="F242" s="9"/>
      <c r="H242" s="25"/>
    </row>
    <row r="243" spans="4:8" ht="13" x14ac:dyDescent="0.15">
      <c r="D243" s="9"/>
      <c r="F243" s="9"/>
      <c r="H243" s="25"/>
    </row>
    <row r="244" spans="4:8" ht="13" x14ac:dyDescent="0.15">
      <c r="D244" s="9"/>
      <c r="F244" s="9"/>
      <c r="H244" s="25"/>
    </row>
    <row r="245" spans="4:8" ht="13" x14ac:dyDescent="0.15">
      <c r="D245" s="9"/>
      <c r="F245" s="9"/>
      <c r="H245" s="25"/>
    </row>
    <row r="246" spans="4:8" ht="13" x14ac:dyDescent="0.15">
      <c r="D246" s="9"/>
      <c r="F246" s="9"/>
      <c r="H246" s="25"/>
    </row>
    <row r="247" spans="4:8" ht="13" x14ac:dyDescent="0.15">
      <c r="D247" s="9"/>
      <c r="F247" s="9"/>
      <c r="H247" s="25"/>
    </row>
    <row r="248" spans="4:8" ht="13" x14ac:dyDescent="0.15">
      <c r="D248" s="9"/>
      <c r="F248" s="9"/>
      <c r="H248" s="25"/>
    </row>
    <row r="249" spans="4:8" ht="13" x14ac:dyDescent="0.15">
      <c r="D249" s="9"/>
      <c r="F249" s="9"/>
      <c r="H249" s="25"/>
    </row>
    <row r="250" spans="4:8" ht="13" x14ac:dyDescent="0.15">
      <c r="D250" s="9"/>
      <c r="F250" s="9"/>
      <c r="H250" s="25"/>
    </row>
    <row r="251" spans="4:8" ht="13" x14ac:dyDescent="0.15">
      <c r="D251" s="9"/>
      <c r="F251" s="9"/>
      <c r="H251" s="25"/>
    </row>
    <row r="252" spans="4:8" ht="13" x14ac:dyDescent="0.15">
      <c r="D252" s="9"/>
      <c r="F252" s="9"/>
      <c r="H252" s="25"/>
    </row>
    <row r="253" spans="4:8" ht="13" x14ac:dyDescent="0.15">
      <c r="D253" s="9"/>
      <c r="F253" s="9"/>
      <c r="H253" s="25"/>
    </row>
    <row r="254" spans="4:8" ht="13" x14ac:dyDescent="0.15">
      <c r="D254" s="9"/>
      <c r="F254" s="9"/>
      <c r="H254" s="25"/>
    </row>
    <row r="255" spans="4:8" ht="13" x14ac:dyDescent="0.15">
      <c r="D255" s="9"/>
      <c r="F255" s="9"/>
      <c r="H255" s="25"/>
    </row>
    <row r="256" spans="4:8" ht="13" x14ac:dyDescent="0.15">
      <c r="D256" s="9"/>
      <c r="F256" s="9"/>
      <c r="H256" s="25"/>
    </row>
    <row r="257" spans="4:8" ht="13" x14ac:dyDescent="0.15">
      <c r="D257" s="9"/>
      <c r="F257" s="9"/>
      <c r="H257" s="25"/>
    </row>
    <row r="258" spans="4:8" ht="13" x14ac:dyDescent="0.15">
      <c r="D258" s="9"/>
      <c r="F258" s="9"/>
      <c r="H258" s="25"/>
    </row>
    <row r="259" spans="4:8" ht="13" x14ac:dyDescent="0.15">
      <c r="D259" s="9"/>
      <c r="F259" s="9"/>
      <c r="H259" s="25"/>
    </row>
    <row r="260" spans="4:8" ht="13" x14ac:dyDescent="0.15">
      <c r="D260" s="9"/>
      <c r="F260" s="9"/>
      <c r="H260" s="25"/>
    </row>
    <row r="261" spans="4:8" ht="13" x14ac:dyDescent="0.15">
      <c r="D261" s="9"/>
      <c r="F261" s="9"/>
      <c r="H261" s="25"/>
    </row>
    <row r="262" spans="4:8" ht="13" x14ac:dyDescent="0.15">
      <c r="D262" s="9"/>
      <c r="F262" s="9"/>
      <c r="H262" s="25"/>
    </row>
    <row r="263" spans="4:8" ht="13" x14ac:dyDescent="0.15">
      <c r="D263" s="9"/>
      <c r="F263" s="9"/>
      <c r="H263" s="25"/>
    </row>
    <row r="264" spans="4:8" ht="13" x14ac:dyDescent="0.15">
      <c r="D264" s="9"/>
      <c r="F264" s="9"/>
      <c r="H264" s="25"/>
    </row>
    <row r="265" spans="4:8" ht="13" x14ac:dyDescent="0.15">
      <c r="D265" s="9"/>
      <c r="F265" s="9"/>
      <c r="H265" s="25"/>
    </row>
    <row r="266" spans="4:8" ht="13" x14ac:dyDescent="0.15">
      <c r="D266" s="9"/>
      <c r="F266" s="9"/>
      <c r="H266" s="25"/>
    </row>
    <row r="267" spans="4:8" ht="13" x14ac:dyDescent="0.15">
      <c r="D267" s="9"/>
      <c r="F267" s="9"/>
      <c r="H267" s="25"/>
    </row>
    <row r="268" spans="4:8" ht="13" x14ac:dyDescent="0.15">
      <c r="D268" s="9"/>
      <c r="F268" s="9"/>
      <c r="H268" s="25"/>
    </row>
    <row r="269" spans="4:8" ht="13" x14ac:dyDescent="0.15">
      <c r="D269" s="9"/>
      <c r="F269" s="9"/>
      <c r="H269" s="25"/>
    </row>
    <row r="270" spans="4:8" ht="13" x14ac:dyDescent="0.15">
      <c r="D270" s="9"/>
      <c r="F270" s="9"/>
      <c r="H270" s="25"/>
    </row>
    <row r="271" spans="4:8" ht="13" x14ac:dyDescent="0.15">
      <c r="D271" s="9"/>
      <c r="F271" s="9"/>
      <c r="H271" s="25"/>
    </row>
    <row r="272" spans="4:8" ht="13" x14ac:dyDescent="0.15">
      <c r="D272" s="9"/>
      <c r="F272" s="9"/>
      <c r="H272" s="25"/>
    </row>
    <row r="273" spans="4:8" ht="13" x14ac:dyDescent="0.15">
      <c r="D273" s="9"/>
      <c r="F273" s="9"/>
      <c r="H273" s="25"/>
    </row>
    <row r="274" spans="4:8" ht="13" x14ac:dyDescent="0.15">
      <c r="D274" s="9"/>
      <c r="F274" s="9"/>
      <c r="H274" s="25"/>
    </row>
    <row r="275" spans="4:8" ht="13" x14ac:dyDescent="0.15">
      <c r="D275" s="9"/>
      <c r="F275" s="9"/>
      <c r="H275" s="25"/>
    </row>
    <row r="276" spans="4:8" ht="13" x14ac:dyDescent="0.15">
      <c r="D276" s="9"/>
      <c r="F276" s="9"/>
      <c r="H276" s="25"/>
    </row>
    <row r="277" spans="4:8" ht="13" x14ac:dyDescent="0.15">
      <c r="D277" s="9"/>
      <c r="F277" s="9"/>
      <c r="H277" s="25"/>
    </row>
    <row r="278" spans="4:8" ht="13" x14ac:dyDescent="0.15">
      <c r="D278" s="9"/>
      <c r="F278" s="9"/>
      <c r="H278" s="25"/>
    </row>
    <row r="279" spans="4:8" ht="13" x14ac:dyDescent="0.15">
      <c r="D279" s="9"/>
      <c r="F279" s="9"/>
      <c r="H279" s="25"/>
    </row>
    <row r="280" spans="4:8" ht="13" x14ac:dyDescent="0.15">
      <c r="D280" s="9"/>
      <c r="F280" s="9"/>
      <c r="H280" s="25"/>
    </row>
    <row r="281" spans="4:8" ht="13" x14ac:dyDescent="0.15">
      <c r="D281" s="9"/>
      <c r="F281" s="9"/>
      <c r="H281" s="25"/>
    </row>
    <row r="282" spans="4:8" ht="13" x14ac:dyDescent="0.15">
      <c r="D282" s="9"/>
      <c r="F282" s="9"/>
      <c r="H282" s="25"/>
    </row>
    <row r="283" spans="4:8" ht="13" x14ac:dyDescent="0.15">
      <c r="D283" s="9"/>
      <c r="F283" s="9"/>
      <c r="H283" s="25"/>
    </row>
    <row r="284" spans="4:8" ht="13" x14ac:dyDescent="0.15">
      <c r="D284" s="9"/>
      <c r="F284" s="9"/>
      <c r="H284" s="25"/>
    </row>
    <row r="285" spans="4:8" ht="13" x14ac:dyDescent="0.15">
      <c r="D285" s="9"/>
      <c r="F285" s="9"/>
      <c r="H285" s="25"/>
    </row>
    <row r="286" spans="4:8" ht="13" x14ac:dyDescent="0.15">
      <c r="D286" s="9"/>
      <c r="F286" s="9"/>
      <c r="H286" s="25"/>
    </row>
    <row r="287" spans="4:8" ht="13" x14ac:dyDescent="0.15">
      <c r="D287" s="9"/>
      <c r="F287" s="9"/>
      <c r="H287" s="25"/>
    </row>
    <row r="288" spans="4:8" ht="13" x14ac:dyDescent="0.15">
      <c r="D288" s="9"/>
      <c r="F288" s="9"/>
      <c r="H288" s="25"/>
    </row>
    <row r="289" spans="4:8" ht="13" x14ac:dyDescent="0.15">
      <c r="D289" s="9"/>
      <c r="F289" s="9"/>
      <c r="H289" s="25"/>
    </row>
    <row r="290" spans="4:8" ht="13" x14ac:dyDescent="0.15">
      <c r="D290" s="9"/>
      <c r="F290" s="9"/>
      <c r="H290" s="25"/>
    </row>
    <row r="291" spans="4:8" ht="13" x14ac:dyDescent="0.15">
      <c r="D291" s="9"/>
      <c r="F291" s="9"/>
      <c r="H291" s="25"/>
    </row>
    <row r="292" spans="4:8" ht="13" x14ac:dyDescent="0.15">
      <c r="D292" s="9"/>
      <c r="F292" s="9"/>
      <c r="H292" s="25"/>
    </row>
    <row r="293" spans="4:8" ht="13" x14ac:dyDescent="0.15">
      <c r="D293" s="9"/>
      <c r="F293" s="9"/>
      <c r="H293" s="25"/>
    </row>
    <row r="294" spans="4:8" ht="13" x14ac:dyDescent="0.15">
      <c r="D294" s="9"/>
      <c r="F294" s="9"/>
      <c r="H294" s="25"/>
    </row>
    <row r="295" spans="4:8" ht="13" x14ac:dyDescent="0.15">
      <c r="D295" s="9"/>
      <c r="F295" s="9"/>
      <c r="H295" s="25"/>
    </row>
    <row r="296" spans="4:8" ht="13" x14ac:dyDescent="0.15">
      <c r="D296" s="9"/>
      <c r="F296" s="9"/>
      <c r="H296" s="25"/>
    </row>
    <row r="297" spans="4:8" ht="13" x14ac:dyDescent="0.15">
      <c r="D297" s="9"/>
      <c r="F297" s="9"/>
      <c r="H297" s="25"/>
    </row>
    <row r="298" spans="4:8" ht="13" x14ac:dyDescent="0.15">
      <c r="D298" s="9"/>
      <c r="F298" s="9"/>
      <c r="H298" s="25"/>
    </row>
    <row r="299" spans="4:8" ht="13" x14ac:dyDescent="0.15">
      <c r="D299" s="9"/>
      <c r="F299" s="9"/>
      <c r="H299" s="25"/>
    </row>
    <row r="300" spans="4:8" ht="13" x14ac:dyDescent="0.15">
      <c r="D300" s="9"/>
      <c r="F300" s="9"/>
      <c r="H300" s="25"/>
    </row>
    <row r="301" spans="4:8" ht="13" x14ac:dyDescent="0.15">
      <c r="D301" s="9"/>
      <c r="F301" s="9"/>
      <c r="H301" s="25"/>
    </row>
    <row r="302" spans="4:8" ht="13" x14ac:dyDescent="0.15">
      <c r="D302" s="9"/>
      <c r="F302" s="9"/>
      <c r="H302" s="25"/>
    </row>
    <row r="303" spans="4:8" ht="13" x14ac:dyDescent="0.15">
      <c r="D303" s="9"/>
      <c r="F303" s="9"/>
      <c r="H303" s="25"/>
    </row>
    <row r="304" spans="4:8" ht="13" x14ac:dyDescent="0.15">
      <c r="D304" s="9"/>
      <c r="F304" s="9"/>
      <c r="H304" s="25"/>
    </row>
    <row r="305" spans="4:8" ht="13" x14ac:dyDescent="0.15">
      <c r="D305" s="9"/>
      <c r="F305" s="9"/>
      <c r="H305" s="25"/>
    </row>
    <row r="306" spans="4:8" ht="13" x14ac:dyDescent="0.15">
      <c r="D306" s="9"/>
      <c r="F306" s="9"/>
      <c r="H306" s="25"/>
    </row>
    <row r="307" spans="4:8" ht="13" x14ac:dyDescent="0.15">
      <c r="D307" s="9"/>
      <c r="F307" s="9"/>
      <c r="H307" s="25"/>
    </row>
    <row r="308" spans="4:8" ht="13" x14ac:dyDescent="0.15">
      <c r="D308" s="9"/>
      <c r="F308" s="9"/>
      <c r="H308" s="25"/>
    </row>
    <row r="309" spans="4:8" ht="13" x14ac:dyDescent="0.15">
      <c r="D309" s="9"/>
      <c r="F309" s="9"/>
      <c r="H309" s="25"/>
    </row>
    <row r="310" spans="4:8" ht="13" x14ac:dyDescent="0.15">
      <c r="D310" s="9"/>
      <c r="F310" s="9"/>
      <c r="H310" s="25"/>
    </row>
    <row r="311" spans="4:8" ht="13" x14ac:dyDescent="0.15">
      <c r="D311" s="9"/>
      <c r="F311" s="9"/>
      <c r="H311" s="25"/>
    </row>
    <row r="312" spans="4:8" ht="13" x14ac:dyDescent="0.15">
      <c r="D312" s="9"/>
      <c r="F312" s="9"/>
      <c r="H312" s="25"/>
    </row>
    <row r="313" spans="4:8" ht="13" x14ac:dyDescent="0.15">
      <c r="D313" s="9"/>
      <c r="F313" s="9"/>
      <c r="H313" s="25"/>
    </row>
    <row r="314" spans="4:8" ht="13" x14ac:dyDescent="0.15">
      <c r="D314" s="9"/>
      <c r="F314" s="9"/>
      <c r="H314" s="25"/>
    </row>
    <row r="315" spans="4:8" ht="13" x14ac:dyDescent="0.15">
      <c r="D315" s="9"/>
      <c r="F315" s="9"/>
      <c r="H315" s="25"/>
    </row>
    <row r="316" spans="4:8" ht="13" x14ac:dyDescent="0.15">
      <c r="D316" s="9"/>
      <c r="F316" s="9"/>
      <c r="H316" s="25"/>
    </row>
    <row r="317" spans="4:8" ht="13" x14ac:dyDescent="0.15">
      <c r="D317" s="9"/>
      <c r="F317" s="9"/>
      <c r="H317" s="25"/>
    </row>
    <row r="318" spans="4:8" ht="13" x14ac:dyDescent="0.15">
      <c r="D318" s="9"/>
      <c r="F318" s="9"/>
      <c r="H318" s="25"/>
    </row>
    <row r="319" spans="4:8" ht="13" x14ac:dyDescent="0.15">
      <c r="D319" s="9"/>
      <c r="F319" s="9"/>
      <c r="H319" s="25"/>
    </row>
    <row r="320" spans="4:8" ht="13" x14ac:dyDescent="0.15">
      <c r="D320" s="9"/>
      <c r="F320" s="9"/>
      <c r="H320" s="25"/>
    </row>
    <row r="321" spans="4:8" ht="13" x14ac:dyDescent="0.15">
      <c r="D321" s="9"/>
      <c r="F321" s="9"/>
      <c r="H321" s="25"/>
    </row>
    <row r="322" spans="4:8" ht="13" x14ac:dyDescent="0.15">
      <c r="D322" s="9"/>
      <c r="F322" s="9"/>
      <c r="H322" s="25"/>
    </row>
    <row r="323" spans="4:8" ht="13" x14ac:dyDescent="0.15">
      <c r="D323" s="9"/>
      <c r="F323" s="9"/>
      <c r="H323" s="25"/>
    </row>
    <row r="324" spans="4:8" ht="13" x14ac:dyDescent="0.15">
      <c r="D324" s="9"/>
      <c r="F324" s="9"/>
      <c r="H324" s="25"/>
    </row>
    <row r="325" spans="4:8" ht="13" x14ac:dyDescent="0.15">
      <c r="D325" s="9"/>
      <c r="F325" s="9"/>
      <c r="H325" s="25"/>
    </row>
    <row r="326" spans="4:8" ht="13" x14ac:dyDescent="0.15">
      <c r="D326" s="9"/>
      <c r="F326" s="9"/>
      <c r="H326" s="25"/>
    </row>
    <row r="327" spans="4:8" ht="13" x14ac:dyDescent="0.15">
      <c r="D327" s="9"/>
      <c r="F327" s="9"/>
      <c r="H327" s="25"/>
    </row>
    <row r="328" spans="4:8" ht="13" x14ac:dyDescent="0.15">
      <c r="D328" s="9"/>
      <c r="F328" s="9"/>
      <c r="H328" s="25"/>
    </row>
    <row r="329" spans="4:8" ht="13" x14ac:dyDescent="0.15">
      <c r="D329" s="9"/>
      <c r="F329" s="9"/>
      <c r="H329" s="25"/>
    </row>
    <row r="330" spans="4:8" ht="13" x14ac:dyDescent="0.15">
      <c r="D330" s="9"/>
      <c r="F330" s="9"/>
      <c r="H330" s="25"/>
    </row>
    <row r="331" spans="4:8" ht="13" x14ac:dyDescent="0.15">
      <c r="D331" s="9"/>
      <c r="F331" s="9"/>
      <c r="H331" s="25"/>
    </row>
    <row r="332" spans="4:8" ht="13" x14ac:dyDescent="0.15">
      <c r="D332" s="9"/>
      <c r="F332" s="9"/>
      <c r="H332" s="25"/>
    </row>
    <row r="333" spans="4:8" ht="13" x14ac:dyDescent="0.15">
      <c r="D333" s="9"/>
      <c r="F333" s="9"/>
      <c r="H333" s="25"/>
    </row>
    <row r="334" spans="4:8" ht="13" x14ac:dyDescent="0.15">
      <c r="D334" s="9"/>
      <c r="F334" s="9"/>
      <c r="H334" s="25"/>
    </row>
    <row r="335" spans="4:8" ht="13" x14ac:dyDescent="0.15">
      <c r="D335" s="9"/>
      <c r="F335" s="9"/>
      <c r="H335" s="25"/>
    </row>
    <row r="336" spans="4:8" ht="13" x14ac:dyDescent="0.15">
      <c r="D336" s="9"/>
      <c r="F336" s="9"/>
      <c r="H336" s="25"/>
    </row>
    <row r="337" spans="4:8" ht="13" x14ac:dyDescent="0.15">
      <c r="D337" s="9"/>
      <c r="F337" s="9"/>
      <c r="H337" s="25"/>
    </row>
    <row r="338" spans="4:8" ht="13" x14ac:dyDescent="0.15">
      <c r="D338" s="9"/>
      <c r="F338" s="9"/>
      <c r="H338" s="25"/>
    </row>
    <row r="339" spans="4:8" ht="13" x14ac:dyDescent="0.15">
      <c r="D339" s="9"/>
      <c r="F339" s="9"/>
      <c r="H339" s="25"/>
    </row>
    <row r="340" spans="4:8" ht="13" x14ac:dyDescent="0.15">
      <c r="D340" s="9"/>
      <c r="F340" s="9"/>
      <c r="H340" s="25"/>
    </row>
    <row r="341" spans="4:8" ht="13" x14ac:dyDescent="0.15">
      <c r="D341" s="9"/>
      <c r="F341" s="9"/>
      <c r="H341" s="25"/>
    </row>
    <row r="342" spans="4:8" ht="13" x14ac:dyDescent="0.15">
      <c r="D342" s="9"/>
      <c r="F342" s="9"/>
      <c r="H342" s="25"/>
    </row>
    <row r="343" spans="4:8" ht="13" x14ac:dyDescent="0.15">
      <c r="D343" s="9"/>
      <c r="F343" s="9"/>
      <c r="H343" s="25"/>
    </row>
    <row r="344" spans="4:8" ht="13" x14ac:dyDescent="0.15">
      <c r="D344" s="9"/>
      <c r="F344" s="9"/>
      <c r="H344" s="25"/>
    </row>
    <row r="345" spans="4:8" ht="13" x14ac:dyDescent="0.15">
      <c r="D345" s="9"/>
      <c r="F345" s="9"/>
      <c r="H345" s="25"/>
    </row>
    <row r="346" spans="4:8" ht="13" x14ac:dyDescent="0.15">
      <c r="D346" s="9"/>
      <c r="F346" s="9"/>
      <c r="H346" s="25"/>
    </row>
    <row r="347" spans="4:8" ht="13" x14ac:dyDescent="0.15">
      <c r="D347" s="9"/>
      <c r="F347" s="9"/>
      <c r="H347" s="25"/>
    </row>
    <row r="348" spans="4:8" ht="13" x14ac:dyDescent="0.15">
      <c r="D348" s="9"/>
      <c r="F348" s="9"/>
      <c r="H348" s="25"/>
    </row>
    <row r="349" spans="4:8" ht="13" x14ac:dyDescent="0.15">
      <c r="D349" s="9"/>
      <c r="F349" s="9"/>
      <c r="H349" s="25"/>
    </row>
    <row r="350" spans="4:8" ht="13" x14ac:dyDescent="0.15">
      <c r="D350" s="9"/>
      <c r="F350" s="9"/>
      <c r="H350" s="25"/>
    </row>
    <row r="351" spans="4:8" ht="13" x14ac:dyDescent="0.15">
      <c r="D351" s="9"/>
      <c r="F351" s="9"/>
      <c r="H351" s="25"/>
    </row>
    <row r="352" spans="4:8" ht="13" x14ac:dyDescent="0.15">
      <c r="D352" s="9"/>
      <c r="F352" s="9"/>
      <c r="H352" s="25"/>
    </row>
    <row r="353" spans="4:8" ht="13" x14ac:dyDescent="0.15">
      <c r="D353" s="9"/>
      <c r="F353" s="9"/>
      <c r="H353" s="25"/>
    </row>
    <row r="354" spans="4:8" ht="13" x14ac:dyDescent="0.15">
      <c r="D354" s="9"/>
      <c r="F354" s="9"/>
      <c r="H354" s="25"/>
    </row>
    <row r="355" spans="4:8" ht="13" x14ac:dyDescent="0.15">
      <c r="D355" s="9"/>
      <c r="F355" s="9"/>
      <c r="H355" s="25"/>
    </row>
    <row r="356" spans="4:8" ht="13" x14ac:dyDescent="0.15">
      <c r="D356" s="9"/>
      <c r="F356" s="9"/>
      <c r="H356" s="25"/>
    </row>
    <row r="357" spans="4:8" ht="13" x14ac:dyDescent="0.15">
      <c r="D357" s="9"/>
      <c r="F357" s="9"/>
      <c r="H357" s="25"/>
    </row>
    <row r="358" spans="4:8" ht="13" x14ac:dyDescent="0.15">
      <c r="D358" s="9"/>
      <c r="F358" s="9"/>
      <c r="H358" s="25"/>
    </row>
    <row r="359" spans="4:8" ht="13" x14ac:dyDescent="0.15">
      <c r="D359" s="9"/>
      <c r="F359" s="9"/>
      <c r="H359" s="25"/>
    </row>
    <row r="360" spans="4:8" ht="13" x14ac:dyDescent="0.15">
      <c r="D360" s="9"/>
      <c r="F360" s="9"/>
      <c r="H360" s="25"/>
    </row>
    <row r="361" spans="4:8" ht="13" x14ac:dyDescent="0.15">
      <c r="D361" s="9"/>
      <c r="F361" s="9"/>
      <c r="H361" s="25"/>
    </row>
    <row r="362" spans="4:8" ht="13" x14ac:dyDescent="0.15">
      <c r="D362" s="9"/>
      <c r="F362" s="9"/>
      <c r="H362" s="25"/>
    </row>
    <row r="363" spans="4:8" ht="13" x14ac:dyDescent="0.15">
      <c r="D363" s="9"/>
      <c r="F363" s="9"/>
      <c r="H363" s="25"/>
    </row>
    <row r="364" spans="4:8" ht="13" x14ac:dyDescent="0.15">
      <c r="D364" s="9"/>
      <c r="F364" s="9"/>
      <c r="H364" s="25"/>
    </row>
    <row r="365" spans="4:8" ht="13" x14ac:dyDescent="0.15">
      <c r="D365" s="9"/>
      <c r="F365" s="9"/>
      <c r="H365" s="25"/>
    </row>
    <row r="366" spans="4:8" ht="13" x14ac:dyDescent="0.15">
      <c r="D366" s="9"/>
      <c r="F366" s="9"/>
      <c r="H366" s="25"/>
    </row>
    <row r="367" spans="4:8" ht="13" x14ac:dyDescent="0.15">
      <c r="D367" s="9"/>
      <c r="F367" s="9"/>
      <c r="H367" s="25"/>
    </row>
    <row r="368" spans="4:8" ht="13" x14ac:dyDescent="0.15">
      <c r="D368" s="9"/>
      <c r="F368" s="9"/>
      <c r="H368" s="25"/>
    </row>
    <row r="369" spans="4:8" ht="13" x14ac:dyDescent="0.15">
      <c r="D369" s="9"/>
      <c r="F369" s="9"/>
      <c r="H369" s="25"/>
    </row>
    <row r="370" spans="4:8" ht="13" x14ac:dyDescent="0.15">
      <c r="D370" s="9"/>
      <c r="F370" s="9"/>
      <c r="H370" s="25"/>
    </row>
    <row r="371" spans="4:8" ht="13" x14ac:dyDescent="0.15">
      <c r="D371" s="9"/>
      <c r="F371" s="9"/>
      <c r="H371" s="25"/>
    </row>
    <row r="372" spans="4:8" ht="13" x14ac:dyDescent="0.15">
      <c r="D372" s="9"/>
      <c r="F372" s="9"/>
      <c r="H372" s="25"/>
    </row>
    <row r="373" spans="4:8" ht="13" x14ac:dyDescent="0.15">
      <c r="D373" s="9"/>
      <c r="F373" s="9"/>
      <c r="H373" s="25"/>
    </row>
    <row r="374" spans="4:8" ht="13" x14ac:dyDescent="0.15">
      <c r="D374" s="9"/>
      <c r="F374" s="9"/>
      <c r="H374" s="25"/>
    </row>
    <row r="375" spans="4:8" ht="13" x14ac:dyDescent="0.15">
      <c r="D375" s="9"/>
      <c r="F375" s="9"/>
      <c r="H375" s="25"/>
    </row>
    <row r="376" spans="4:8" ht="13" x14ac:dyDescent="0.15">
      <c r="D376" s="9"/>
      <c r="F376" s="9"/>
      <c r="H376" s="25"/>
    </row>
    <row r="377" spans="4:8" ht="13" x14ac:dyDescent="0.15">
      <c r="D377" s="9"/>
      <c r="F377" s="9"/>
      <c r="H377" s="25"/>
    </row>
    <row r="378" spans="4:8" ht="13" x14ac:dyDescent="0.15">
      <c r="D378" s="9"/>
      <c r="F378" s="9"/>
      <c r="H378" s="25"/>
    </row>
    <row r="379" spans="4:8" ht="13" x14ac:dyDescent="0.15">
      <c r="D379" s="9"/>
      <c r="F379" s="9"/>
      <c r="H379" s="25"/>
    </row>
    <row r="380" spans="4:8" ht="13" x14ac:dyDescent="0.15">
      <c r="D380" s="9"/>
      <c r="F380" s="9"/>
      <c r="H380" s="25"/>
    </row>
    <row r="381" spans="4:8" ht="13" x14ac:dyDescent="0.15">
      <c r="D381" s="9"/>
      <c r="F381" s="9"/>
      <c r="H381" s="25"/>
    </row>
    <row r="382" spans="4:8" ht="13" x14ac:dyDescent="0.15">
      <c r="D382" s="9"/>
      <c r="F382" s="9"/>
      <c r="H382" s="25"/>
    </row>
    <row r="383" spans="4:8" ht="13" x14ac:dyDescent="0.15">
      <c r="D383" s="9"/>
      <c r="F383" s="9"/>
      <c r="H383" s="25"/>
    </row>
    <row r="384" spans="4:8" ht="13" x14ac:dyDescent="0.15">
      <c r="D384" s="9"/>
      <c r="F384" s="9"/>
      <c r="H384" s="25"/>
    </row>
    <row r="385" spans="4:8" ht="13" x14ac:dyDescent="0.15">
      <c r="D385" s="9"/>
      <c r="F385" s="9"/>
      <c r="H385" s="25"/>
    </row>
    <row r="386" spans="4:8" ht="13" x14ac:dyDescent="0.15">
      <c r="D386" s="9"/>
      <c r="F386" s="9"/>
      <c r="H386" s="25"/>
    </row>
    <row r="387" spans="4:8" ht="13" x14ac:dyDescent="0.15">
      <c r="D387" s="9"/>
      <c r="F387" s="9"/>
      <c r="H387" s="25"/>
    </row>
    <row r="388" spans="4:8" ht="13" x14ac:dyDescent="0.15">
      <c r="D388" s="9"/>
      <c r="F388" s="9"/>
      <c r="H388" s="25"/>
    </row>
    <row r="389" spans="4:8" ht="13" x14ac:dyDescent="0.15">
      <c r="D389" s="9"/>
      <c r="F389" s="9"/>
      <c r="H389" s="25"/>
    </row>
    <row r="390" spans="4:8" ht="13" x14ac:dyDescent="0.15">
      <c r="D390" s="9"/>
      <c r="F390" s="9"/>
      <c r="H390" s="25"/>
    </row>
    <row r="391" spans="4:8" ht="13" x14ac:dyDescent="0.15">
      <c r="D391" s="9"/>
      <c r="F391" s="9"/>
      <c r="H391" s="25"/>
    </row>
    <row r="392" spans="4:8" ht="13" x14ac:dyDescent="0.15">
      <c r="D392" s="9"/>
      <c r="F392" s="9"/>
      <c r="H392" s="25"/>
    </row>
    <row r="393" spans="4:8" ht="13" x14ac:dyDescent="0.15">
      <c r="D393" s="9"/>
      <c r="F393" s="9"/>
      <c r="H393" s="25"/>
    </row>
    <row r="394" spans="4:8" ht="13" x14ac:dyDescent="0.15">
      <c r="D394" s="9"/>
      <c r="F394" s="9"/>
      <c r="H394" s="25"/>
    </row>
    <row r="395" spans="4:8" ht="13" x14ac:dyDescent="0.15">
      <c r="D395" s="9"/>
      <c r="F395" s="9"/>
      <c r="H395" s="25"/>
    </row>
    <row r="396" spans="4:8" ht="13" x14ac:dyDescent="0.15">
      <c r="D396" s="9"/>
      <c r="F396" s="9"/>
      <c r="H396" s="25"/>
    </row>
    <row r="397" spans="4:8" ht="13" x14ac:dyDescent="0.15">
      <c r="D397" s="9"/>
      <c r="F397" s="9"/>
      <c r="H397" s="25"/>
    </row>
    <row r="398" spans="4:8" ht="13" x14ac:dyDescent="0.15">
      <c r="D398" s="9"/>
      <c r="F398" s="9"/>
      <c r="H398" s="25"/>
    </row>
    <row r="399" spans="4:8" ht="13" x14ac:dyDescent="0.15">
      <c r="D399" s="9"/>
      <c r="F399" s="9"/>
      <c r="H399" s="25"/>
    </row>
    <row r="400" spans="4:8" ht="13" x14ac:dyDescent="0.15">
      <c r="D400" s="9"/>
      <c r="F400" s="9"/>
      <c r="H400" s="25"/>
    </row>
    <row r="401" spans="4:8" ht="13" x14ac:dyDescent="0.15">
      <c r="D401" s="9"/>
      <c r="F401" s="9"/>
      <c r="H401" s="25"/>
    </row>
    <row r="402" spans="4:8" ht="13" x14ac:dyDescent="0.15">
      <c r="D402" s="9"/>
      <c r="F402" s="9"/>
      <c r="H402" s="25"/>
    </row>
    <row r="403" spans="4:8" ht="13" x14ac:dyDescent="0.15">
      <c r="D403" s="9"/>
      <c r="F403" s="9"/>
      <c r="H403" s="25"/>
    </row>
    <row r="404" spans="4:8" ht="13" x14ac:dyDescent="0.15">
      <c r="D404" s="9"/>
      <c r="F404" s="9"/>
      <c r="H404" s="25"/>
    </row>
    <row r="405" spans="4:8" ht="13" x14ac:dyDescent="0.15">
      <c r="D405" s="9"/>
      <c r="F405" s="9"/>
      <c r="H405" s="25"/>
    </row>
    <row r="406" spans="4:8" ht="13" x14ac:dyDescent="0.15">
      <c r="D406" s="9"/>
      <c r="F406" s="9"/>
      <c r="H406" s="25"/>
    </row>
    <row r="407" spans="4:8" ht="13" x14ac:dyDescent="0.15">
      <c r="D407" s="9"/>
      <c r="F407" s="9"/>
      <c r="H407" s="25"/>
    </row>
    <row r="408" spans="4:8" ht="13" x14ac:dyDescent="0.15">
      <c r="D408" s="9"/>
      <c r="F408" s="9"/>
      <c r="H408" s="25"/>
    </row>
    <row r="409" spans="4:8" ht="13" x14ac:dyDescent="0.15">
      <c r="D409" s="9"/>
      <c r="F409" s="9"/>
      <c r="H409" s="25"/>
    </row>
    <row r="410" spans="4:8" ht="13" x14ac:dyDescent="0.15">
      <c r="D410" s="9"/>
      <c r="F410" s="9"/>
      <c r="H410" s="25"/>
    </row>
    <row r="411" spans="4:8" ht="13" x14ac:dyDescent="0.15">
      <c r="D411" s="9"/>
      <c r="F411" s="9"/>
      <c r="H411" s="25"/>
    </row>
    <row r="412" spans="4:8" ht="13" x14ac:dyDescent="0.15">
      <c r="D412" s="9"/>
      <c r="F412" s="9"/>
      <c r="H412" s="25"/>
    </row>
    <row r="413" spans="4:8" ht="13" x14ac:dyDescent="0.15">
      <c r="D413" s="9"/>
      <c r="F413" s="9"/>
      <c r="H413" s="25"/>
    </row>
    <row r="414" spans="4:8" ht="13" x14ac:dyDescent="0.15">
      <c r="D414" s="9"/>
      <c r="F414" s="9"/>
      <c r="H414" s="25"/>
    </row>
    <row r="415" spans="4:8" ht="13" x14ac:dyDescent="0.15">
      <c r="D415" s="9"/>
      <c r="F415" s="9"/>
      <c r="H415" s="25"/>
    </row>
    <row r="416" spans="4:8" ht="13" x14ac:dyDescent="0.15">
      <c r="D416" s="9"/>
      <c r="F416" s="9"/>
      <c r="H416" s="25"/>
    </row>
    <row r="417" spans="4:8" ht="13" x14ac:dyDescent="0.15">
      <c r="D417" s="9"/>
      <c r="F417" s="9"/>
      <c r="H417" s="25"/>
    </row>
    <row r="418" spans="4:8" ht="13" x14ac:dyDescent="0.15">
      <c r="D418" s="9"/>
      <c r="F418" s="9"/>
      <c r="H418" s="25"/>
    </row>
    <row r="419" spans="4:8" ht="13" x14ac:dyDescent="0.15">
      <c r="D419" s="9"/>
      <c r="F419" s="9"/>
      <c r="H419" s="25"/>
    </row>
    <row r="420" spans="4:8" ht="13" x14ac:dyDescent="0.15">
      <c r="D420" s="9"/>
      <c r="F420" s="9"/>
      <c r="H420" s="25"/>
    </row>
    <row r="421" spans="4:8" ht="13" x14ac:dyDescent="0.15">
      <c r="D421" s="9"/>
      <c r="F421" s="9"/>
      <c r="H421" s="25"/>
    </row>
    <row r="422" spans="4:8" ht="13" x14ac:dyDescent="0.15">
      <c r="D422" s="9"/>
      <c r="F422" s="9"/>
      <c r="H422" s="25"/>
    </row>
    <row r="423" spans="4:8" ht="13" x14ac:dyDescent="0.15">
      <c r="D423" s="9"/>
      <c r="F423" s="9"/>
      <c r="H423" s="25"/>
    </row>
    <row r="424" spans="4:8" ht="13" x14ac:dyDescent="0.15">
      <c r="D424" s="9"/>
      <c r="F424" s="9"/>
      <c r="H424" s="25"/>
    </row>
    <row r="425" spans="4:8" ht="13" x14ac:dyDescent="0.15">
      <c r="D425" s="9"/>
      <c r="F425" s="9"/>
      <c r="H425" s="25"/>
    </row>
    <row r="426" spans="4:8" ht="13" x14ac:dyDescent="0.15">
      <c r="D426" s="9"/>
      <c r="F426" s="9"/>
      <c r="H426" s="25"/>
    </row>
    <row r="427" spans="4:8" ht="13" x14ac:dyDescent="0.15">
      <c r="D427" s="9"/>
      <c r="F427" s="9"/>
      <c r="H427" s="25"/>
    </row>
    <row r="428" spans="4:8" ht="13" x14ac:dyDescent="0.15">
      <c r="D428" s="9"/>
      <c r="F428" s="9"/>
      <c r="H428" s="25"/>
    </row>
    <row r="429" spans="4:8" ht="13" x14ac:dyDescent="0.15">
      <c r="D429" s="9"/>
      <c r="F429" s="9"/>
      <c r="H429" s="25"/>
    </row>
    <row r="430" spans="4:8" ht="13" x14ac:dyDescent="0.15">
      <c r="D430" s="9"/>
      <c r="F430" s="9"/>
      <c r="H430" s="25"/>
    </row>
    <row r="431" spans="4:8" ht="13" x14ac:dyDescent="0.15">
      <c r="D431" s="9"/>
      <c r="F431" s="9"/>
      <c r="H431" s="25"/>
    </row>
    <row r="432" spans="4:8" ht="13" x14ac:dyDescent="0.15">
      <c r="D432" s="9"/>
      <c r="F432" s="9"/>
      <c r="H432" s="25"/>
    </row>
    <row r="433" spans="4:8" ht="13" x14ac:dyDescent="0.15">
      <c r="D433" s="9"/>
      <c r="F433" s="9"/>
      <c r="H433" s="25"/>
    </row>
    <row r="434" spans="4:8" ht="13" x14ac:dyDescent="0.15">
      <c r="D434" s="9"/>
      <c r="F434" s="9"/>
      <c r="H434" s="25"/>
    </row>
    <row r="435" spans="4:8" ht="13" x14ac:dyDescent="0.15">
      <c r="D435" s="9"/>
      <c r="F435" s="9"/>
      <c r="H435" s="25"/>
    </row>
    <row r="436" spans="4:8" ht="13" x14ac:dyDescent="0.15">
      <c r="D436" s="9"/>
      <c r="F436" s="9"/>
      <c r="H436" s="25"/>
    </row>
    <row r="437" spans="4:8" ht="13" x14ac:dyDescent="0.15">
      <c r="D437" s="9"/>
      <c r="F437" s="9"/>
      <c r="H437" s="25"/>
    </row>
    <row r="438" spans="4:8" ht="13" x14ac:dyDescent="0.15">
      <c r="D438" s="9"/>
      <c r="F438" s="9"/>
      <c r="H438" s="25"/>
    </row>
    <row r="439" spans="4:8" ht="13" x14ac:dyDescent="0.15">
      <c r="D439" s="9"/>
      <c r="F439" s="9"/>
      <c r="H439" s="25"/>
    </row>
    <row r="440" spans="4:8" ht="13" x14ac:dyDescent="0.15">
      <c r="D440" s="9"/>
      <c r="F440" s="9"/>
      <c r="H440" s="25"/>
    </row>
    <row r="441" spans="4:8" ht="13" x14ac:dyDescent="0.15">
      <c r="D441" s="9"/>
      <c r="F441" s="9"/>
      <c r="H441" s="25"/>
    </row>
    <row r="442" spans="4:8" ht="13" x14ac:dyDescent="0.15">
      <c r="D442" s="9"/>
      <c r="F442" s="9"/>
      <c r="H442" s="25"/>
    </row>
    <row r="443" spans="4:8" ht="13" x14ac:dyDescent="0.15">
      <c r="D443" s="9"/>
      <c r="F443" s="9"/>
      <c r="H443" s="25"/>
    </row>
    <row r="444" spans="4:8" ht="13" x14ac:dyDescent="0.15">
      <c r="D444" s="9"/>
      <c r="F444" s="9"/>
      <c r="H444" s="25"/>
    </row>
    <row r="445" spans="4:8" ht="13" x14ac:dyDescent="0.15">
      <c r="D445" s="9"/>
      <c r="F445" s="9"/>
      <c r="H445" s="25"/>
    </row>
    <row r="446" spans="4:8" ht="13" x14ac:dyDescent="0.15">
      <c r="D446" s="9"/>
      <c r="F446" s="9"/>
      <c r="H446" s="25"/>
    </row>
    <row r="447" spans="4:8" ht="13" x14ac:dyDescent="0.15">
      <c r="D447" s="9"/>
      <c r="F447" s="9"/>
      <c r="H447" s="25"/>
    </row>
    <row r="448" spans="4:8" ht="13" x14ac:dyDescent="0.15">
      <c r="D448" s="9"/>
      <c r="F448" s="9"/>
      <c r="H448" s="25"/>
    </row>
    <row r="449" spans="4:8" ht="13" x14ac:dyDescent="0.15">
      <c r="D449" s="9"/>
      <c r="F449" s="9"/>
      <c r="H449" s="25"/>
    </row>
    <row r="450" spans="4:8" ht="13" x14ac:dyDescent="0.15">
      <c r="D450" s="9"/>
      <c r="F450" s="9"/>
      <c r="H450" s="25"/>
    </row>
    <row r="451" spans="4:8" ht="13" x14ac:dyDescent="0.15">
      <c r="D451" s="9"/>
      <c r="F451" s="9"/>
      <c r="H451" s="25"/>
    </row>
    <row r="452" spans="4:8" ht="13" x14ac:dyDescent="0.15">
      <c r="D452" s="9"/>
      <c r="F452" s="9"/>
      <c r="H452" s="25"/>
    </row>
    <row r="453" spans="4:8" ht="13" x14ac:dyDescent="0.15">
      <c r="D453" s="9"/>
      <c r="F453" s="9"/>
      <c r="H453" s="25"/>
    </row>
    <row r="454" spans="4:8" ht="13" x14ac:dyDescent="0.15">
      <c r="D454" s="9"/>
      <c r="F454" s="9"/>
      <c r="H454" s="25"/>
    </row>
    <row r="455" spans="4:8" ht="13" x14ac:dyDescent="0.15">
      <c r="D455" s="9"/>
      <c r="F455" s="9"/>
      <c r="H455" s="25"/>
    </row>
    <row r="456" spans="4:8" ht="13" x14ac:dyDescent="0.15">
      <c r="D456" s="9"/>
      <c r="F456" s="9"/>
      <c r="H456" s="25"/>
    </row>
    <row r="457" spans="4:8" ht="13" x14ac:dyDescent="0.15">
      <c r="D457" s="9"/>
      <c r="F457" s="9"/>
      <c r="H457" s="25"/>
    </row>
    <row r="458" spans="4:8" ht="13" x14ac:dyDescent="0.15">
      <c r="D458" s="9"/>
      <c r="F458" s="9"/>
      <c r="H458" s="25"/>
    </row>
    <row r="459" spans="4:8" ht="13" x14ac:dyDescent="0.15">
      <c r="D459" s="9"/>
      <c r="F459" s="9"/>
      <c r="H459" s="25"/>
    </row>
    <row r="460" spans="4:8" ht="13" x14ac:dyDescent="0.15">
      <c r="D460" s="9"/>
      <c r="F460" s="9"/>
      <c r="H460" s="25"/>
    </row>
    <row r="461" spans="4:8" ht="13" x14ac:dyDescent="0.15">
      <c r="D461" s="9"/>
      <c r="F461" s="9"/>
      <c r="H461" s="25"/>
    </row>
    <row r="462" spans="4:8" ht="13" x14ac:dyDescent="0.15">
      <c r="D462" s="9"/>
      <c r="F462" s="9"/>
      <c r="H462" s="25"/>
    </row>
    <row r="463" spans="4:8" ht="13" x14ac:dyDescent="0.15">
      <c r="D463" s="9"/>
      <c r="F463" s="9"/>
      <c r="H463" s="25"/>
    </row>
    <row r="464" spans="4:8" ht="13" x14ac:dyDescent="0.15">
      <c r="D464" s="9"/>
      <c r="F464" s="9"/>
      <c r="H464" s="25"/>
    </row>
    <row r="465" spans="4:8" ht="13" x14ac:dyDescent="0.15">
      <c r="D465" s="9"/>
      <c r="F465" s="9"/>
      <c r="H465" s="25"/>
    </row>
    <row r="466" spans="4:8" ht="13" x14ac:dyDescent="0.15">
      <c r="D466" s="9"/>
      <c r="F466" s="9"/>
      <c r="H466" s="25"/>
    </row>
    <row r="467" spans="4:8" ht="13" x14ac:dyDescent="0.15">
      <c r="D467" s="9"/>
      <c r="F467" s="9"/>
      <c r="H467" s="25"/>
    </row>
    <row r="468" spans="4:8" ht="13" x14ac:dyDescent="0.15">
      <c r="D468" s="9"/>
      <c r="F468" s="9"/>
      <c r="H468" s="25"/>
    </row>
    <row r="469" spans="4:8" ht="13" x14ac:dyDescent="0.15">
      <c r="D469" s="9"/>
      <c r="F469" s="9"/>
      <c r="H469" s="25"/>
    </row>
    <row r="470" spans="4:8" ht="13" x14ac:dyDescent="0.15">
      <c r="D470" s="9"/>
      <c r="F470" s="9"/>
      <c r="H470" s="25"/>
    </row>
    <row r="471" spans="4:8" ht="13" x14ac:dyDescent="0.15">
      <c r="D471" s="9"/>
      <c r="F471" s="9"/>
      <c r="H471" s="25"/>
    </row>
    <row r="472" spans="4:8" ht="13" x14ac:dyDescent="0.15">
      <c r="D472" s="9"/>
      <c r="F472" s="9"/>
      <c r="H472" s="25"/>
    </row>
    <row r="473" spans="4:8" ht="13" x14ac:dyDescent="0.15">
      <c r="D473" s="9"/>
      <c r="F473" s="9"/>
      <c r="H473" s="25"/>
    </row>
    <row r="474" spans="4:8" ht="13" x14ac:dyDescent="0.15">
      <c r="D474" s="9"/>
      <c r="F474" s="9"/>
      <c r="H474" s="25"/>
    </row>
    <row r="475" spans="4:8" ht="13" x14ac:dyDescent="0.15">
      <c r="D475" s="9"/>
      <c r="F475" s="9"/>
      <c r="H475" s="25"/>
    </row>
    <row r="476" spans="4:8" ht="13" x14ac:dyDescent="0.15">
      <c r="D476" s="9"/>
      <c r="F476" s="9"/>
      <c r="H476" s="25"/>
    </row>
    <row r="477" spans="4:8" ht="13" x14ac:dyDescent="0.15">
      <c r="D477" s="9"/>
      <c r="F477" s="9"/>
      <c r="H477" s="25"/>
    </row>
    <row r="478" spans="4:8" ht="13" x14ac:dyDescent="0.15">
      <c r="D478" s="9"/>
      <c r="F478" s="9"/>
      <c r="H478" s="25"/>
    </row>
    <row r="479" spans="4:8" ht="13" x14ac:dyDescent="0.15">
      <c r="D479" s="9"/>
      <c r="F479" s="9"/>
      <c r="H479" s="25"/>
    </row>
    <row r="480" spans="4:8" ht="13" x14ac:dyDescent="0.15">
      <c r="D480" s="9"/>
      <c r="F480" s="9"/>
      <c r="H480" s="25"/>
    </row>
    <row r="481" spans="4:8" ht="13" x14ac:dyDescent="0.15">
      <c r="D481" s="9"/>
      <c r="F481" s="9"/>
      <c r="H481" s="25"/>
    </row>
    <row r="482" spans="4:8" ht="13" x14ac:dyDescent="0.15">
      <c r="D482" s="9"/>
      <c r="F482" s="9"/>
      <c r="H482" s="25"/>
    </row>
    <row r="483" spans="4:8" ht="13" x14ac:dyDescent="0.15">
      <c r="D483" s="9"/>
      <c r="F483" s="9"/>
      <c r="H483" s="25"/>
    </row>
    <row r="484" spans="4:8" ht="13" x14ac:dyDescent="0.15">
      <c r="D484" s="9"/>
      <c r="F484" s="9"/>
      <c r="H484" s="25"/>
    </row>
    <row r="485" spans="4:8" ht="13" x14ac:dyDescent="0.15">
      <c r="D485" s="9"/>
      <c r="F485" s="9"/>
      <c r="H485" s="25"/>
    </row>
    <row r="486" spans="4:8" ht="13" x14ac:dyDescent="0.15">
      <c r="D486" s="9"/>
      <c r="F486" s="9"/>
      <c r="H486" s="25"/>
    </row>
    <row r="487" spans="4:8" ht="13" x14ac:dyDescent="0.15">
      <c r="D487" s="9"/>
      <c r="F487" s="9"/>
      <c r="H487" s="25"/>
    </row>
    <row r="488" spans="4:8" ht="13" x14ac:dyDescent="0.15">
      <c r="D488" s="9"/>
      <c r="F488" s="9"/>
      <c r="H488" s="25"/>
    </row>
    <row r="489" spans="4:8" ht="13" x14ac:dyDescent="0.15">
      <c r="D489" s="9"/>
      <c r="F489" s="9"/>
      <c r="H489" s="25"/>
    </row>
    <row r="490" spans="4:8" ht="13" x14ac:dyDescent="0.15">
      <c r="D490" s="9"/>
      <c r="F490" s="9"/>
      <c r="H490" s="25"/>
    </row>
    <row r="491" spans="4:8" ht="13" x14ac:dyDescent="0.15">
      <c r="D491" s="9"/>
      <c r="F491" s="9"/>
      <c r="H491" s="25"/>
    </row>
    <row r="492" spans="4:8" ht="13" x14ac:dyDescent="0.15">
      <c r="D492" s="9"/>
      <c r="F492" s="9"/>
      <c r="H492" s="25"/>
    </row>
    <row r="493" spans="4:8" ht="13" x14ac:dyDescent="0.15">
      <c r="D493" s="9"/>
      <c r="F493" s="9"/>
      <c r="H493" s="25"/>
    </row>
    <row r="494" spans="4:8" ht="13" x14ac:dyDescent="0.15">
      <c r="D494" s="9"/>
      <c r="F494" s="9"/>
      <c r="H494" s="25"/>
    </row>
    <row r="495" spans="4:8" ht="13" x14ac:dyDescent="0.15">
      <c r="D495" s="9"/>
      <c r="F495" s="9"/>
      <c r="H495" s="25"/>
    </row>
    <row r="496" spans="4:8" ht="13" x14ac:dyDescent="0.15">
      <c r="D496" s="9"/>
      <c r="F496" s="9"/>
      <c r="H496" s="25"/>
    </row>
    <row r="497" spans="4:8" ht="13" x14ac:dyDescent="0.15">
      <c r="D497" s="9"/>
      <c r="F497" s="9"/>
      <c r="H497" s="25"/>
    </row>
    <row r="498" spans="4:8" ht="13" x14ac:dyDescent="0.15">
      <c r="D498" s="9"/>
      <c r="F498" s="9"/>
      <c r="H498" s="25"/>
    </row>
    <row r="499" spans="4:8" ht="13" x14ac:dyDescent="0.15">
      <c r="D499" s="9"/>
      <c r="F499" s="9"/>
      <c r="H499" s="25"/>
    </row>
    <row r="500" spans="4:8" ht="13" x14ac:dyDescent="0.15">
      <c r="D500" s="9"/>
      <c r="F500" s="9"/>
      <c r="H500" s="25"/>
    </row>
    <row r="501" spans="4:8" ht="13" x14ac:dyDescent="0.15">
      <c r="D501" s="9"/>
      <c r="F501" s="9"/>
      <c r="H501" s="25"/>
    </row>
    <row r="502" spans="4:8" ht="13" x14ac:dyDescent="0.15">
      <c r="D502" s="9"/>
      <c r="F502" s="9"/>
      <c r="H502" s="25"/>
    </row>
    <row r="503" spans="4:8" ht="13" x14ac:dyDescent="0.15">
      <c r="D503" s="9"/>
      <c r="F503" s="9"/>
      <c r="H503" s="25"/>
    </row>
    <row r="504" spans="4:8" ht="13" x14ac:dyDescent="0.15">
      <c r="D504" s="9"/>
      <c r="F504" s="9"/>
      <c r="H504" s="25"/>
    </row>
    <row r="505" spans="4:8" ht="13" x14ac:dyDescent="0.15">
      <c r="D505" s="9"/>
      <c r="F505" s="9"/>
      <c r="H505" s="25"/>
    </row>
    <row r="506" spans="4:8" ht="13" x14ac:dyDescent="0.15">
      <c r="D506" s="9"/>
      <c r="F506" s="9"/>
      <c r="H506" s="25"/>
    </row>
    <row r="507" spans="4:8" ht="13" x14ac:dyDescent="0.15">
      <c r="D507" s="9"/>
      <c r="F507" s="9"/>
      <c r="H507" s="25"/>
    </row>
    <row r="508" spans="4:8" ht="13" x14ac:dyDescent="0.15">
      <c r="D508" s="9"/>
      <c r="F508" s="9"/>
      <c r="H508" s="25"/>
    </row>
    <row r="509" spans="4:8" ht="13" x14ac:dyDescent="0.15">
      <c r="D509" s="9"/>
      <c r="F509" s="9"/>
      <c r="H509" s="25"/>
    </row>
    <row r="510" spans="4:8" ht="13" x14ac:dyDescent="0.15">
      <c r="D510" s="9"/>
      <c r="F510" s="9"/>
      <c r="H510" s="25"/>
    </row>
    <row r="511" spans="4:8" ht="13" x14ac:dyDescent="0.15">
      <c r="D511" s="9"/>
      <c r="F511" s="9"/>
      <c r="H511" s="25"/>
    </row>
    <row r="512" spans="4:8" ht="13" x14ac:dyDescent="0.15">
      <c r="D512" s="9"/>
      <c r="F512" s="9"/>
      <c r="H512" s="25"/>
    </row>
    <row r="513" spans="4:8" ht="13" x14ac:dyDescent="0.15">
      <c r="D513" s="9"/>
      <c r="F513" s="9"/>
      <c r="H513" s="25"/>
    </row>
    <row r="514" spans="4:8" ht="13" x14ac:dyDescent="0.15">
      <c r="D514" s="9"/>
      <c r="F514" s="9"/>
      <c r="H514" s="25"/>
    </row>
    <row r="515" spans="4:8" ht="13" x14ac:dyDescent="0.15">
      <c r="D515" s="9"/>
      <c r="F515" s="9"/>
      <c r="H515" s="25"/>
    </row>
    <row r="516" spans="4:8" ht="13" x14ac:dyDescent="0.15">
      <c r="D516" s="9"/>
      <c r="F516" s="9"/>
      <c r="H516" s="25"/>
    </row>
    <row r="517" spans="4:8" ht="13" x14ac:dyDescent="0.15">
      <c r="D517" s="9"/>
      <c r="F517" s="9"/>
      <c r="H517" s="25"/>
    </row>
    <row r="518" spans="4:8" ht="13" x14ac:dyDescent="0.15">
      <c r="D518" s="9"/>
      <c r="F518" s="9"/>
      <c r="H518" s="25"/>
    </row>
    <row r="519" spans="4:8" ht="13" x14ac:dyDescent="0.15">
      <c r="D519" s="9"/>
      <c r="F519" s="9"/>
      <c r="H519" s="25"/>
    </row>
    <row r="520" spans="4:8" ht="13" x14ac:dyDescent="0.15">
      <c r="D520" s="9"/>
      <c r="F520" s="9"/>
      <c r="H520" s="25"/>
    </row>
    <row r="521" spans="4:8" ht="13" x14ac:dyDescent="0.15">
      <c r="D521" s="9"/>
      <c r="F521" s="9"/>
      <c r="H521" s="25"/>
    </row>
    <row r="522" spans="4:8" ht="13" x14ac:dyDescent="0.15">
      <c r="D522" s="9"/>
      <c r="F522" s="9"/>
      <c r="H522" s="25"/>
    </row>
    <row r="523" spans="4:8" ht="13" x14ac:dyDescent="0.15">
      <c r="D523" s="9"/>
      <c r="F523" s="9"/>
      <c r="H523" s="25"/>
    </row>
    <row r="524" spans="4:8" ht="13" x14ac:dyDescent="0.15">
      <c r="D524" s="9"/>
      <c r="F524" s="9"/>
      <c r="H524" s="25"/>
    </row>
    <row r="525" spans="4:8" ht="13" x14ac:dyDescent="0.15">
      <c r="D525" s="9"/>
      <c r="F525" s="9"/>
      <c r="H525" s="25"/>
    </row>
    <row r="526" spans="4:8" ht="13" x14ac:dyDescent="0.15">
      <c r="D526" s="9"/>
      <c r="F526" s="9"/>
      <c r="H526" s="25"/>
    </row>
    <row r="527" spans="4:8" ht="13" x14ac:dyDescent="0.15">
      <c r="D527" s="9"/>
      <c r="F527" s="9"/>
      <c r="H527" s="25"/>
    </row>
    <row r="528" spans="4:8" ht="13" x14ac:dyDescent="0.15">
      <c r="D528" s="9"/>
      <c r="F528" s="9"/>
      <c r="H528" s="25"/>
    </row>
    <row r="529" spans="4:8" ht="13" x14ac:dyDescent="0.15">
      <c r="D529" s="9"/>
      <c r="F529" s="9"/>
      <c r="H529" s="25"/>
    </row>
    <row r="530" spans="4:8" ht="13" x14ac:dyDescent="0.15">
      <c r="D530" s="9"/>
      <c r="F530" s="9"/>
      <c r="H530" s="25"/>
    </row>
    <row r="531" spans="4:8" ht="13" x14ac:dyDescent="0.15">
      <c r="D531" s="9"/>
      <c r="F531" s="9"/>
      <c r="H531" s="25"/>
    </row>
    <row r="532" spans="4:8" ht="13" x14ac:dyDescent="0.15">
      <c r="D532" s="9"/>
      <c r="F532" s="9"/>
      <c r="H532" s="25"/>
    </row>
    <row r="533" spans="4:8" ht="13" x14ac:dyDescent="0.15">
      <c r="D533" s="9"/>
      <c r="F533" s="9"/>
      <c r="H533" s="25"/>
    </row>
    <row r="534" spans="4:8" ht="13" x14ac:dyDescent="0.15">
      <c r="D534" s="9"/>
      <c r="F534" s="9"/>
      <c r="H534" s="25"/>
    </row>
    <row r="535" spans="4:8" ht="13" x14ac:dyDescent="0.15">
      <c r="D535" s="9"/>
      <c r="F535" s="9"/>
      <c r="H535" s="25"/>
    </row>
    <row r="536" spans="4:8" ht="13" x14ac:dyDescent="0.15">
      <c r="D536" s="9"/>
      <c r="F536" s="9"/>
      <c r="H536" s="25"/>
    </row>
    <row r="537" spans="4:8" ht="13" x14ac:dyDescent="0.15">
      <c r="D537" s="9"/>
      <c r="F537" s="9"/>
      <c r="H537" s="25"/>
    </row>
    <row r="538" spans="4:8" ht="13" x14ac:dyDescent="0.15">
      <c r="D538" s="9"/>
      <c r="F538" s="9"/>
      <c r="H538" s="25"/>
    </row>
    <row r="539" spans="4:8" ht="13" x14ac:dyDescent="0.15">
      <c r="D539" s="9"/>
      <c r="F539" s="9"/>
      <c r="H539" s="25"/>
    </row>
    <row r="540" spans="4:8" ht="13" x14ac:dyDescent="0.15">
      <c r="D540" s="9"/>
      <c r="F540" s="9"/>
      <c r="H540" s="25"/>
    </row>
    <row r="541" spans="4:8" ht="13" x14ac:dyDescent="0.15">
      <c r="D541" s="9"/>
      <c r="F541" s="9"/>
      <c r="H541" s="25"/>
    </row>
    <row r="542" spans="4:8" ht="13" x14ac:dyDescent="0.15">
      <c r="D542" s="9"/>
      <c r="F542" s="9"/>
      <c r="H542" s="25"/>
    </row>
    <row r="543" spans="4:8" ht="13" x14ac:dyDescent="0.15">
      <c r="D543" s="9"/>
      <c r="F543" s="9"/>
      <c r="H543" s="25"/>
    </row>
    <row r="544" spans="4:8" ht="13" x14ac:dyDescent="0.15">
      <c r="D544" s="9"/>
      <c r="F544" s="9"/>
      <c r="H544" s="25"/>
    </row>
    <row r="545" spans="4:8" ht="13" x14ac:dyDescent="0.15">
      <c r="D545" s="9"/>
      <c r="F545" s="9"/>
      <c r="H545" s="25"/>
    </row>
    <row r="546" spans="4:8" ht="13" x14ac:dyDescent="0.15">
      <c r="D546" s="9"/>
      <c r="F546" s="9"/>
      <c r="H546" s="25"/>
    </row>
    <row r="547" spans="4:8" ht="13" x14ac:dyDescent="0.15">
      <c r="D547" s="9"/>
      <c r="F547" s="9"/>
      <c r="H547" s="25"/>
    </row>
    <row r="548" spans="4:8" ht="13" x14ac:dyDescent="0.15">
      <c r="D548" s="9"/>
      <c r="F548" s="9"/>
      <c r="H548" s="25"/>
    </row>
    <row r="549" spans="4:8" ht="13" x14ac:dyDescent="0.15">
      <c r="D549" s="9"/>
      <c r="F549" s="9"/>
      <c r="H549" s="25"/>
    </row>
    <row r="550" spans="4:8" ht="13" x14ac:dyDescent="0.15">
      <c r="D550" s="9"/>
      <c r="F550" s="9"/>
      <c r="H550" s="25"/>
    </row>
    <row r="551" spans="4:8" ht="13" x14ac:dyDescent="0.15">
      <c r="D551" s="9"/>
      <c r="F551" s="9"/>
      <c r="H551" s="25"/>
    </row>
    <row r="552" spans="4:8" ht="13" x14ac:dyDescent="0.15">
      <c r="D552" s="9"/>
      <c r="F552" s="9"/>
      <c r="H552" s="25"/>
    </row>
    <row r="553" spans="4:8" ht="13" x14ac:dyDescent="0.15">
      <c r="D553" s="9"/>
      <c r="F553" s="9"/>
      <c r="H553" s="25"/>
    </row>
    <row r="554" spans="4:8" ht="13" x14ac:dyDescent="0.15">
      <c r="D554" s="9"/>
      <c r="F554" s="9"/>
      <c r="H554" s="25"/>
    </row>
    <row r="555" spans="4:8" ht="13" x14ac:dyDescent="0.15">
      <c r="D555" s="9"/>
      <c r="F555" s="9"/>
      <c r="H555" s="25"/>
    </row>
    <row r="556" spans="4:8" ht="13" x14ac:dyDescent="0.15">
      <c r="D556" s="9"/>
      <c r="F556" s="9"/>
      <c r="H556" s="25"/>
    </row>
    <row r="557" spans="4:8" ht="13" x14ac:dyDescent="0.15">
      <c r="D557" s="9"/>
      <c r="F557" s="9"/>
      <c r="H557" s="25"/>
    </row>
    <row r="558" spans="4:8" ht="13" x14ac:dyDescent="0.15">
      <c r="D558" s="9"/>
      <c r="F558" s="9"/>
      <c r="H558" s="25"/>
    </row>
    <row r="559" spans="4:8" ht="13" x14ac:dyDescent="0.15">
      <c r="D559" s="9"/>
      <c r="F559" s="9"/>
      <c r="H559" s="25"/>
    </row>
    <row r="560" spans="4:8" ht="13" x14ac:dyDescent="0.15">
      <c r="D560" s="9"/>
      <c r="F560" s="9"/>
      <c r="H560" s="25"/>
    </row>
    <row r="561" spans="4:8" ht="13" x14ac:dyDescent="0.15">
      <c r="D561" s="9"/>
      <c r="F561" s="9"/>
      <c r="H561" s="25"/>
    </row>
    <row r="562" spans="4:8" ht="13" x14ac:dyDescent="0.15">
      <c r="D562" s="9"/>
      <c r="F562" s="9"/>
      <c r="H562" s="25"/>
    </row>
    <row r="563" spans="4:8" ht="13" x14ac:dyDescent="0.15">
      <c r="D563" s="9"/>
      <c r="F563" s="9"/>
      <c r="H563" s="25"/>
    </row>
    <row r="564" spans="4:8" ht="13" x14ac:dyDescent="0.15">
      <c r="D564" s="9"/>
      <c r="F564" s="9"/>
      <c r="H564" s="25"/>
    </row>
    <row r="565" spans="4:8" ht="13" x14ac:dyDescent="0.15">
      <c r="D565" s="9"/>
      <c r="F565" s="9"/>
      <c r="H565" s="25"/>
    </row>
    <row r="566" spans="4:8" ht="13" x14ac:dyDescent="0.15">
      <c r="D566" s="9"/>
      <c r="F566" s="9"/>
      <c r="H566" s="25"/>
    </row>
    <row r="567" spans="4:8" ht="13" x14ac:dyDescent="0.15">
      <c r="D567" s="9"/>
      <c r="F567" s="9"/>
      <c r="H567" s="25"/>
    </row>
    <row r="568" spans="4:8" ht="13" x14ac:dyDescent="0.15">
      <c r="D568" s="9"/>
      <c r="F568" s="9"/>
      <c r="H568" s="25"/>
    </row>
    <row r="569" spans="4:8" ht="13" x14ac:dyDescent="0.15">
      <c r="D569" s="9"/>
      <c r="F569" s="9"/>
      <c r="H569" s="25"/>
    </row>
    <row r="570" spans="4:8" ht="13" x14ac:dyDescent="0.15">
      <c r="D570" s="9"/>
      <c r="F570" s="9"/>
      <c r="H570" s="25"/>
    </row>
    <row r="571" spans="4:8" ht="13" x14ac:dyDescent="0.15">
      <c r="D571" s="9"/>
      <c r="F571" s="9"/>
      <c r="H571" s="25"/>
    </row>
    <row r="572" spans="4:8" ht="13" x14ac:dyDescent="0.15">
      <c r="D572" s="9"/>
      <c r="F572" s="9"/>
      <c r="H572" s="25"/>
    </row>
    <row r="573" spans="4:8" ht="13" x14ac:dyDescent="0.15">
      <c r="D573" s="9"/>
      <c r="F573" s="9"/>
      <c r="H573" s="25"/>
    </row>
    <row r="574" spans="4:8" ht="13" x14ac:dyDescent="0.15">
      <c r="D574" s="9"/>
      <c r="F574" s="9"/>
      <c r="H574" s="25"/>
    </row>
    <row r="575" spans="4:8" ht="13" x14ac:dyDescent="0.15">
      <c r="D575" s="9"/>
      <c r="F575" s="9"/>
      <c r="H575" s="25"/>
    </row>
    <row r="576" spans="4:8" ht="13" x14ac:dyDescent="0.15">
      <c r="D576" s="9"/>
      <c r="F576" s="9"/>
      <c r="H576" s="25"/>
    </row>
    <row r="577" spans="4:8" ht="13" x14ac:dyDescent="0.15">
      <c r="D577" s="9"/>
      <c r="F577" s="9"/>
      <c r="H577" s="25"/>
    </row>
    <row r="578" spans="4:8" ht="13" x14ac:dyDescent="0.15">
      <c r="D578" s="9"/>
      <c r="F578" s="9"/>
      <c r="H578" s="25"/>
    </row>
    <row r="579" spans="4:8" ht="13" x14ac:dyDescent="0.15">
      <c r="D579" s="9"/>
      <c r="F579" s="9"/>
      <c r="H579" s="25"/>
    </row>
    <row r="580" spans="4:8" ht="13" x14ac:dyDescent="0.15">
      <c r="D580" s="9"/>
      <c r="F580" s="9"/>
      <c r="H580" s="25"/>
    </row>
    <row r="581" spans="4:8" ht="13" x14ac:dyDescent="0.15">
      <c r="D581" s="9"/>
      <c r="F581" s="9"/>
      <c r="H581" s="25"/>
    </row>
    <row r="582" spans="4:8" ht="13" x14ac:dyDescent="0.15">
      <c r="D582" s="9"/>
      <c r="F582" s="9"/>
      <c r="H582" s="25"/>
    </row>
    <row r="583" spans="4:8" ht="13" x14ac:dyDescent="0.15">
      <c r="D583" s="9"/>
      <c r="F583" s="9"/>
      <c r="H583" s="25"/>
    </row>
    <row r="584" spans="4:8" ht="13" x14ac:dyDescent="0.15">
      <c r="D584" s="9"/>
      <c r="F584" s="9"/>
      <c r="H584" s="25"/>
    </row>
    <row r="585" spans="4:8" ht="13" x14ac:dyDescent="0.15">
      <c r="D585" s="9"/>
      <c r="F585" s="9"/>
      <c r="H585" s="25"/>
    </row>
    <row r="586" spans="4:8" ht="13" x14ac:dyDescent="0.15">
      <c r="D586" s="9"/>
      <c r="F586" s="9"/>
      <c r="H586" s="25"/>
    </row>
    <row r="587" spans="4:8" ht="13" x14ac:dyDescent="0.15">
      <c r="D587" s="9"/>
      <c r="F587" s="9"/>
      <c r="H587" s="25"/>
    </row>
    <row r="588" spans="4:8" ht="13" x14ac:dyDescent="0.15">
      <c r="D588" s="9"/>
      <c r="F588" s="9"/>
      <c r="H588" s="25"/>
    </row>
    <row r="589" spans="4:8" ht="13" x14ac:dyDescent="0.15">
      <c r="D589" s="9"/>
      <c r="F589" s="9"/>
      <c r="H589" s="25"/>
    </row>
    <row r="590" spans="4:8" ht="13" x14ac:dyDescent="0.15">
      <c r="D590" s="9"/>
      <c r="F590" s="9"/>
      <c r="H590" s="25"/>
    </row>
    <row r="591" spans="4:8" ht="13" x14ac:dyDescent="0.15">
      <c r="D591" s="9"/>
      <c r="F591" s="9"/>
      <c r="H591" s="25"/>
    </row>
    <row r="592" spans="4:8" ht="13" x14ac:dyDescent="0.15">
      <c r="D592" s="9"/>
      <c r="F592" s="9"/>
      <c r="H592" s="25"/>
    </row>
    <row r="593" spans="4:8" ht="13" x14ac:dyDescent="0.15">
      <c r="D593" s="9"/>
      <c r="F593" s="9"/>
      <c r="H593" s="25"/>
    </row>
    <row r="594" spans="4:8" ht="13" x14ac:dyDescent="0.15">
      <c r="D594" s="9"/>
      <c r="F594" s="9"/>
      <c r="H594" s="25"/>
    </row>
    <row r="595" spans="4:8" ht="13" x14ac:dyDescent="0.15">
      <c r="D595" s="9"/>
      <c r="F595" s="9"/>
      <c r="H595" s="25"/>
    </row>
    <row r="596" spans="4:8" ht="13" x14ac:dyDescent="0.15">
      <c r="D596" s="9"/>
      <c r="F596" s="9"/>
      <c r="H596" s="25"/>
    </row>
    <row r="597" spans="4:8" ht="13" x14ac:dyDescent="0.15">
      <c r="D597" s="9"/>
      <c r="F597" s="9"/>
      <c r="H597" s="25"/>
    </row>
    <row r="598" spans="4:8" ht="13" x14ac:dyDescent="0.15">
      <c r="D598" s="9"/>
      <c r="F598" s="9"/>
      <c r="H598" s="25"/>
    </row>
    <row r="599" spans="4:8" ht="13" x14ac:dyDescent="0.15">
      <c r="D599" s="9"/>
      <c r="F599" s="9"/>
      <c r="H599" s="25"/>
    </row>
    <row r="600" spans="4:8" ht="13" x14ac:dyDescent="0.15">
      <c r="D600" s="9"/>
      <c r="F600" s="9"/>
      <c r="H600" s="25"/>
    </row>
    <row r="601" spans="4:8" ht="13" x14ac:dyDescent="0.15">
      <c r="D601" s="9"/>
      <c r="F601" s="9"/>
      <c r="H601" s="25"/>
    </row>
    <row r="602" spans="4:8" ht="13" x14ac:dyDescent="0.15">
      <c r="D602" s="9"/>
      <c r="F602" s="9"/>
      <c r="H602" s="25"/>
    </row>
    <row r="603" spans="4:8" ht="13" x14ac:dyDescent="0.15">
      <c r="D603" s="9"/>
      <c r="F603" s="9"/>
      <c r="H603" s="25"/>
    </row>
    <row r="604" spans="4:8" ht="13" x14ac:dyDescent="0.15">
      <c r="D604" s="9"/>
      <c r="F604" s="9"/>
      <c r="H604" s="25"/>
    </row>
    <row r="605" spans="4:8" ht="13" x14ac:dyDescent="0.15">
      <c r="D605" s="9"/>
      <c r="F605" s="9"/>
      <c r="H605" s="25"/>
    </row>
    <row r="606" spans="4:8" ht="13" x14ac:dyDescent="0.15">
      <c r="D606" s="9"/>
      <c r="F606" s="9"/>
      <c r="H606" s="25"/>
    </row>
    <row r="607" spans="4:8" ht="13" x14ac:dyDescent="0.15">
      <c r="D607" s="9"/>
      <c r="F607" s="9"/>
      <c r="H607" s="25"/>
    </row>
    <row r="608" spans="4:8" ht="13" x14ac:dyDescent="0.15">
      <c r="D608" s="9"/>
      <c r="F608" s="9"/>
      <c r="H608" s="25"/>
    </row>
    <row r="609" spans="4:8" ht="13" x14ac:dyDescent="0.15">
      <c r="D609" s="9"/>
      <c r="F609" s="9"/>
      <c r="H609" s="25"/>
    </row>
    <row r="610" spans="4:8" ht="13" x14ac:dyDescent="0.15">
      <c r="D610" s="9"/>
      <c r="F610" s="9"/>
      <c r="H610" s="25"/>
    </row>
    <row r="611" spans="4:8" ht="13" x14ac:dyDescent="0.15">
      <c r="D611" s="9"/>
      <c r="F611" s="9"/>
      <c r="H611" s="25"/>
    </row>
    <row r="612" spans="4:8" ht="13" x14ac:dyDescent="0.15">
      <c r="D612" s="9"/>
      <c r="F612" s="9"/>
      <c r="H612" s="25"/>
    </row>
    <row r="613" spans="4:8" ht="13" x14ac:dyDescent="0.15">
      <c r="D613" s="9"/>
      <c r="F613" s="9"/>
      <c r="H613" s="25"/>
    </row>
    <row r="614" spans="4:8" ht="13" x14ac:dyDescent="0.15">
      <c r="D614" s="9"/>
      <c r="F614" s="9"/>
      <c r="H614" s="25"/>
    </row>
    <row r="615" spans="4:8" ht="13" x14ac:dyDescent="0.15">
      <c r="D615" s="9"/>
      <c r="F615" s="9"/>
      <c r="H615" s="25"/>
    </row>
    <row r="616" spans="4:8" ht="13" x14ac:dyDescent="0.15">
      <c r="D616" s="9"/>
      <c r="F616" s="9"/>
      <c r="H616" s="25"/>
    </row>
    <row r="617" spans="4:8" ht="13" x14ac:dyDescent="0.15">
      <c r="D617" s="9"/>
      <c r="F617" s="9"/>
      <c r="H617" s="25"/>
    </row>
    <row r="618" spans="4:8" ht="13" x14ac:dyDescent="0.15">
      <c r="D618" s="9"/>
      <c r="F618" s="9"/>
      <c r="H618" s="25"/>
    </row>
    <row r="619" spans="4:8" ht="13" x14ac:dyDescent="0.15">
      <c r="D619" s="9"/>
      <c r="F619" s="9"/>
      <c r="H619" s="25"/>
    </row>
    <row r="620" spans="4:8" ht="13" x14ac:dyDescent="0.15">
      <c r="D620" s="9"/>
      <c r="F620" s="9"/>
      <c r="H620" s="25"/>
    </row>
    <row r="621" spans="4:8" ht="13" x14ac:dyDescent="0.15">
      <c r="D621" s="9"/>
      <c r="F621" s="9"/>
      <c r="H621" s="25"/>
    </row>
    <row r="622" spans="4:8" ht="13" x14ac:dyDescent="0.15">
      <c r="D622" s="9"/>
      <c r="F622" s="9"/>
      <c r="H622" s="25"/>
    </row>
    <row r="623" spans="4:8" ht="13" x14ac:dyDescent="0.15">
      <c r="D623" s="9"/>
      <c r="F623" s="9"/>
      <c r="H623" s="25"/>
    </row>
    <row r="624" spans="4:8" ht="13" x14ac:dyDescent="0.15">
      <c r="D624" s="9"/>
      <c r="F624" s="9"/>
      <c r="H624" s="25"/>
    </row>
    <row r="625" spans="4:8" ht="13" x14ac:dyDescent="0.15">
      <c r="D625" s="9"/>
      <c r="F625" s="9"/>
      <c r="H625" s="25"/>
    </row>
    <row r="626" spans="4:8" ht="13" x14ac:dyDescent="0.15">
      <c r="D626" s="9"/>
      <c r="F626" s="9"/>
      <c r="H626" s="25"/>
    </row>
    <row r="627" spans="4:8" ht="13" x14ac:dyDescent="0.15">
      <c r="D627" s="9"/>
      <c r="F627" s="9"/>
      <c r="H627" s="25"/>
    </row>
    <row r="628" spans="4:8" ht="13" x14ac:dyDescent="0.15">
      <c r="D628" s="9"/>
      <c r="F628" s="9"/>
      <c r="H628" s="25"/>
    </row>
    <row r="629" spans="4:8" ht="13" x14ac:dyDescent="0.15">
      <c r="D629" s="9"/>
      <c r="F629" s="9"/>
      <c r="H629" s="25"/>
    </row>
    <row r="630" spans="4:8" ht="13" x14ac:dyDescent="0.15">
      <c r="D630" s="9"/>
      <c r="F630" s="9"/>
      <c r="H630" s="25"/>
    </row>
    <row r="631" spans="4:8" ht="13" x14ac:dyDescent="0.15">
      <c r="D631" s="9"/>
      <c r="F631" s="9"/>
      <c r="H631" s="25"/>
    </row>
    <row r="632" spans="4:8" ht="13" x14ac:dyDescent="0.15">
      <c r="D632" s="9"/>
      <c r="F632" s="9"/>
      <c r="H632" s="25"/>
    </row>
    <row r="633" spans="4:8" ht="13" x14ac:dyDescent="0.15">
      <c r="D633" s="9"/>
      <c r="F633" s="9"/>
      <c r="H633" s="25"/>
    </row>
    <row r="634" spans="4:8" ht="13" x14ac:dyDescent="0.15">
      <c r="D634" s="9"/>
      <c r="F634" s="9"/>
      <c r="H634" s="25"/>
    </row>
    <row r="635" spans="4:8" ht="13" x14ac:dyDescent="0.15">
      <c r="D635" s="9"/>
      <c r="F635" s="9"/>
      <c r="H635" s="25"/>
    </row>
    <row r="636" spans="4:8" ht="13" x14ac:dyDescent="0.15">
      <c r="D636" s="9"/>
      <c r="F636" s="9"/>
      <c r="H636" s="25"/>
    </row>
    <row r="637" spans="4:8" ht="13" x14ac:dyDescent="0.15">
      <c r="D637" s="9"/>
      <c r="F637" s="9"/>
      <c r="H637" s="25"/>
    </row>
    <row r="638" spans="4:8" ht="13" x14ac:dyDescent="0.15">
      <c r="D638" s="9"/>
      <c r="F638" s="9"/>
      <c r="H638" s="25"/>
    </row>
    <row r="639" spans="4:8" ht="13" x14ac:dyDescent="0.15">
      <c r="D639" s="9"/>
      <c r="F639" s="9"/>
      <c r="H639" s="25"/>
    </row>
    <row r="640" spans="4:8" ht="13" x14ac:dyDescent="0.15">
      <c r="D640" s="9"/>
      <c r="F640" s="9"/>
      <c r="H640" s="25"/>
    </row>
    <row r="641" spans="4:8" ht="13" x14ac:dyDescent="0.15">
      <c r="D641" s="9"/>
      <c r="F641" s="9"/>
      <c r="H641" s="25"/>
    </row>
    <row r="642" spans="4:8" ht="13" x14ac:dyDescent="0.15">
      <c r="D642" s="9"/>
      <c r="F642" s="9"/>
      <c r="H642" s="25"/>
    </row>
    <row r="643" spans="4:8" ht="13" x14ac:dyDescent="0.15">
      <c r="D643" s="9"/>
      <c r="F643" s="9"/>
      <c r="H643" s="25"/>
    </row>
    <row r="644" spans="4:8" ht="13" x14ac:dyDescent="0.15">
      <c r="D644" s="9"/>
      <c r="F644" s="9"/>
      <c r="H644" s="25"/>
    </row>
    <row r="645" spans="4:8" ht="13" x14ac:dyDescent="0.15">
      <c r="D645" s="9"/>
      <c r="F645" s="9"/>
      <c r="H645" s="25"/>
    </row>
    <row r="646" spans="4:8" ht="13" x14ac:dyDescent="0.15">
      <c r="D646" s="9"/>
      <c r="F646" s="9"/>
      <c r="H646" s="25"/>
    </row>
    <row r="647" spans="4:8" ht="13" x14ac:dyDescent="0.15">
      <c r="D647" s="9"/>
      <c r="F647" s="9"/>
      <c r="H647" s="25"/>
    </row>
    <row r="648" spans="4:8" ht="13" x14ac:dyDescent="0.15">
      <c r="D648" s="9"/>
      <c r="F648" s="9"/>
      <c r="H648" s="25"/>
    </row>
    <row r="649" spans="4:8" ht="13" x14ac:dyDescent="0.15">
      <c r="D649" s="9"/>
      <c r="F649" s="9"/>
      <c r="H649" s="25"/>
    </row>
    <row r="650" spans="4:8" ht="13" x14ac:dyDescent="0.15">
      <c r="D650" s="9"/>
      <c r="F650" s="9"/>
      <c r="H650" s="25"/>
    </row>
    <row r="651" spans="4:8" ht="13" x14ac:dyDescent="0.15">
      <c r="D651" s="9"/>
      <c r="F651" s="9"/>
      <c r="H651" s="25"/>
    </row>
    <row r="652" spans="4:8" ht="13" x14ac:dyDescent="0.15">
      <c r="D652" s="9"/>
      <c r="F652" s="9"/>
      <c r="H652" s="25"/>
    </row>
    <row r="653" spans="4:8" ht="13" x14ac:dyDescent="0.15">
      <c r="D653" s="9"/>
      <c r="F653" s="9"/>
      <c r="H653" s="25"/>
    </row>
    <row r="654" spans="4:8" ht="13" x14ac:dyDescent="0.15">
      <c r="D654" s="9"/>
      <c r="F654" s="9"/>
      <c r="H654" s="25"/>
    </row>
    <row r="655" spans="4:8" ht="13" x14ac:dyDescent="0.15">
      <c r="D655" s="9"/>
      <c r="F655" s="9"/>
      <c r="H655" s="25"/>
    </row>
    <row r="656" spans="4:8" ht="13" x14ac:dyDescent="0.15">
      <c r="D656" s="9"/>
      <c r="F656" s="9"/>
      <c r="H656" s="25"/>
    </row>
    <row r="657" spans="4:8" ht="13" x14ac:dyDescent="0.15">
      <c r="D657" s="9"/>
      <c r="F657" s="9"/>
      <c r="H657" s="25"/>
    </row>
    <row r="658" spans="4:8" ht="13" x14ac:dyDescent="0.15">
      <c r="D658" s="9"/>
      <c r="F658" s="9"/>
      <c r="H658" s="25"/>
    </row>
    <row r="659" spans="4:8" ht="13" x14ac:dyDescent="0.15">
      <c r="D659" s="9"/>
      <c r="F659" s="9"/>
      <c r="H659" s="25"/>
    </row>
    <row r="660" spans="4:8" ht="13" x14ac:dyDescent="0.15">
      <c r="D660" s="9"/>
      <c r="F660" s="9"/>
      <c r="H660" s="25"/>
    </row>
    <row r="661" spans="4:8" ht="13" x14ac:dyDescent="0.15">
      <c r="D661" s="9"/>
      <c r="F661" s="9"/>
      <c r="H661" s="25"/>
    </row>
    <row r="662" spans="4:8" ht="13" x14ac:dyDescent="0.15">
      <c r="D662" s="9"/>
      <c r="F662" s="9"/>
      <c r="H662" s="25"/>
    </row>
    <row r="663" spans="4:8" ht="13" x14ac:dyDescent="0.15">
      <c r="D663" s="9"/>
      <c r="F663" s="9"/>
      <c r="H663" s="25"/>
    </row>
    <row r="664" spans="4:8" ht="13" x14ac:dyDescent="0.15">
      <c r="D664" s="9"/>
      <c r="F664" s="9"/>
      <c r="H664" s="25"/>
    </row>
    <row r="665" spans="4:8" ht="13" x14ac:dyDescent="0.15">
      <c r="D665" s="9"/>
      <c r="F665" s="9"/>
      <c r="H665" s="25"/>
    </row>
    <row r="666" spans="4:8" ht="13" x14ac:dyDescent="0.15">
      <c r="D666" s="9"/>
      <c r="F666" s="9"/>
      <c r="H666" s="25"/>
    </row>
    <row r="667" spans="4:8" ht="13" x14ac:dyDescent="0.15">
      <c r="D667" s="9"/>
      <c r="F667" s="9"/>
      <c r="H667" s="25"/>
    </row>
    <row r="668" spans="4:8" ht="13" x14ac:dyDescent="0.15">
      <c r="D668" s="9"/>
      <c r="F668" s="9"/>
      <c r="H668" s="25"/>
    </row>
    <row r="669" spans="4:8" ht="13" x14ac:dyDescent="0.15">
      <c r="D669" s="9"/>
      <c r="F669" s="9"/>
      <c r="H669" s="25"/>
    </row>
    <row r="670" spans="4:8" ht="13" x14ac:dyDescent="0.15">
      <c r="D670" s="9"/>
      <c r="F670" s="9"/>
      <c r="H670" s="25"/>
    </row>
    <row r="671" spans="4:8" ht="13" x14ac:dyDescent="0.15">
      <c r="D671" s="9"/>
      <c r="F671" s="9"/>
      <c r="H671" s="25"/>
    </row>
    <row r="672" spans="4:8" ht="13" x14ac:dyDescent="0.15">
      <c r="D672" s="9"/>
      <c r="F672" s="9"/>
      <c r="H672" s="25"/>
    </row>
    <row r="673" spans="4:8" ht="13" x14ac:dyDescent="0.15">
      <c r="D673" s="9"/>
      <c r="F673" s="9"/>
      <c r="H673" s="25"/>
    </row>
    <row r="674" spans="4:8" ht="13" x14ac:dyDescent="0.15">
      <c r="D674" s="9"/>
      <c r="F674" s="9"/>
      <c r="H674" s="25"/>
    </row>
    <row r="675" spans="4:8" ht="13" x14ac:dyDescent="0.15">
      <c r="D675" s="9"/>
      <c r="F675" s="9"/>
      <c r="H675" s="25"/>
    </row>
    <row r="676" spans="4:8" ht="13" x14ac:dyDescent="0.15">
      <c r="D676" s="9"/>
      <c r="F676" s="9"/>
      <c r="H676" s="25"/>
    </row>
    <row r="677" spans="4:8" ht="13" x14ac:dyDescent="0.15">
      <c r="D677" s="9"/>
      <c r="F677" s="9"/>
      <c r="H677" s="25"/>
    </row>
    <row r="678" spans="4:8" ht="13" x14ac:dyDescent="0.15">
      <c r="D678" s="9"/>
      <c r="F678" s="9"/>
      <c r="H678" s="25"/>
    </row>
    <row r="679" spans="4:8" ht="13" x14ac:dyDescent="0.15">
      <c r="D679" s="9"/>
      <c r="F679" s="9"/>
      <c r="H679" s="25"/>
    </row>
    <row r="680" spans="4:8" ht="13" x14ac:dyDescent="0.15">
      <c r="D680" s="9"/>
      <c r="F680" s="9"/>
      <c r="H680" s="25"/>
    </row>
    <row r="681" spans="4:8" ht="13" x14ac:dyDescent="0.15">
      <c r="D681" s="9"/>
      <c r="F681" s="9"/>
      <c r="H681" s="25"/>
    </row>
    <row r="682" spans="4:8" ht="13" x14ac:dyDescent="0.15">
      <c r="D682" s="9"/>
      <c r="F682" s="9"/>
      <c r="H682" s="25"/>
    </row>
    <row r="683" spans="4:8" ht="13" x14ac:dyDescent="0.15">
      <c r="D683" s="9"/>
      <c r="F683" s="9"/>
      <c r="H683" s="25"/>
    </row>
    <row r="684" spans="4:8" ht="13" x14ac:dyDescent="0.15">
      <c r="D684" s="9"/>
      <c r="F684" s="9"/>
      <c r="H684" s="25"/>
    </row>
    <row r="685" spans="4:8" ht="13" x14ac:dyDescent="0.15">
      <c r="D685" s="9"/>
      <c r="F685" s="9"/>
      <c r="H685" s="25"/>
    </row>
    <row r="686" spans="4:8" ht="13" x14ac:dyDescent="0.15">
      <c r="D686" s="9"/>
      <c r="F686" s="9"/>
      <c r="H686" s="25"/>
    </row>
    <row r="687" spans="4:8" ht="13" x14ac:dyDescent="0.15">
      <c r="D687" s="9"/>
      <c r="F687" s="9"/>
      <c r="H687" s="25"/>
    </row>
    <row r="688" spans="4:8" ht="13" x14ac:dyDescent="0.15">
      <c r="D688" s="9"/>
      <c r="F688" s="9"/>
      <c r="H688" s="25"/>
    </row>
    <row r="689" spans="4:8" ht="13" x14ac:dyDescent="0.15">
      <c r="D689" s="9"/>
      <c r="F689" s="9"/>
      <c r="H689" s="25"/>
    </row>
    <row r="690" spans="4:8" ht="13" x14ac:dyDescent="0.15">
      <c r="D690" s="9"/>
      <c r="F690" s="9"/>
      <c r="H690" s="25"/>
    </row>
    <row r="691" spans="4:8" ht="13" x14ac:dyDescent="0.15">
      <c r="D691" s="9"/>
      <c r="F691" s="9"/>
      <c r="H691" s="25"/>
    </row>
    <row r="692" spans="4:8" ht="13" x14ac:dyDescent="0.15">
      <c r="D692" s="9"/>
      <c r="F692" s="9"/>
      <c r="H692" s="25"/>
    </row>
    <row r="693" spans="4:8" ht="13" x14ac:dyDescent="0.15">
      <c r="D693" s="9"/>
      <c r="F693" s="9"/>
      <c r="H693" s="25"/>
    </row>
    <row r="694" spans="4:8" ht="13" x14ac:dyDescent="0.15">
      <c r="D694" s="9"/>
      <c r="F694" s="9"/>
      <c r="H694" s="25"/>
    </row>
    <row r="695" spans="4:8" ht="13" x14ac:dyDescent="0.15">
      <c r="D695" s="9"/>
      <c r="F695" s="9"/>
      <c r="H695" s="25"/>
    </row>
    <row r="696" spans="4:8" ht="13" x14ac:dyDescent="0.15">
      <c r="D696" s="9"/>
      <c r="F696" s="9"/>
      <c r="H696" s="25"/>
    </row>
    <row r="697" spans="4:8" ht="13" x14ac:dyDescent="0.15">
      <c r="D697" s="9"/>
      <c r="F697" s="9"/>
      <c r="H697" s="25"/>
    </row>
    <row r="698" spans="4:8" ht="13" x14ac:dyDescent="0.15">
      <c r="D698" s="9"/>
      <c r="F698" s="9"/>
      <c r="H698" s="25"/>
    </row>
    <row r="699" spans="4:8" ht="13" x14ac:dyDescent="0.15">
      <c r="D699" s="9"/>
      <c r="F699" s="9"/>
      <c r="H699" s="25"/>
    </row>
    <row r="700" spans="4:8" ht="13" x14ac:dyDescent="0.15">
      <c r="D700" s="9"/>
      <c r="F700" s="9"/>
      <c r="H700" s="25"/>
    </row>
    <row r="701" spans="4:8" ht="13" x14ac:dyDescent="0.15">
      <c r="D701" s="9"/>
      <c r="F701" s="9"/>
      <c r="H701" s="25"/>
    </row>
    <row r="702" spans="4:8" ht="13" x14ac:dyDescent="0.15">
      <c r="D702" s="9"/>
      <c r="F702" s="9"/>
      <c r="H702" s="25"/>
    </row>
    <row r="703" spans="4:8" ht="13" x14ac:dyDescent="0.15">
      <c r="D703" s="9"/>
      <c r="F703" s="9"/>
      <c r="H703" s="25"/>
    </row>
    <row r="704" spans="4:8" ht="13" x14ac:dyDescent="0.15">
      <c r="D704" s="9"/>
      <c r="F704" s="9"/>
      <c r="H704" s="25"/>
    </row>
    <row r="705" spans="4:8" ht="13" x14ac:dyDescent="0.15">
      <c r="D705" s="9"/>
      <c r="F705" s="9"/>
      <c r="H705" s="25"/>
    </row>
    <row r="706" spans="4:8" ht="13" x14ac:dyDescent="0.15">
      <c r="D706" s="9"/>
      <c r="F706" s="9"/>
      <c r="H706" s="25"/>
    </row>
    <row r="707" spans="4:8" ht="13" x14ac:dyDescent="0.15">
      <c r="D707" s="9"/>
      <c r="F707" s="9"/>
      <c r="H707" s="25"/>
    </row>
    <row r="708" spans="4:8" ht="13" x14ac:dyDescent="0.15">
      <c r="D708" s="9"/>
      <c r="F708" s="9"/>
      <c r="H708" s="25"/>
    </row>
    <row r="709" spans="4:8" ht="13" x14ac:dyDescent="0.15">
      <c r="D709" s="9"/>
      <c r="F709" s="9"/>
      <c r="H709" s="25"/>
    </row>
    <row r="710" spans="4:8" ht="13" x14ac:dyDescent="0.15">
      <c r="D710" s="9"/>
      <c r="F710" s="9"/>
      <c r="H710" s="25"/>
    </row>
    <row r="711" spans="4:8" ht="13" x14ac:dyDescent="0.15">
      <c r="D711" s="9"/>
      <c r="F711" s="9"/>
      <c r="H711" s="25"/>
    </row>
    <row r="712" spans="4:8" ht="13" x14ac:dyDescent="0.15">
      <c r="D712" s="9"/>
      <c r="F712" s="9"/>
      <c r="H712" s="25"/>
    </row>
    <row r="713" spans="4:8" ht="13" x14ac:dyDescent="0.15">
      <c r="D713" s="9"/>
      <c r="F713" s="9"/>
      <c r="H713" s="25"/>
    </row>
    <row r="714" spans="4:8" ht="13" x14ac:dyDescent="0.15">
      <c r="D714" s="9"/>
      <c r="F714" s="9"/>
      <c r="H714" s="25"/>
    </row>
    <row r="715" spans="4:8" ht="13" x14ac:dyDescent="0.15">
      <c r="D715" s="9"/>
      <c r="F715" s="9"/>
      <c r="H715" s="25"/>
    </row>
    <row r="716" spans="4:8" ht="13" x14ac:dyDescent="0.15">
      <c r="D716" s="9"/>
      <c r="F716" s="9"/>
      <c r="H716" s="25"/>
    </row>
    <row r="717" spans="4:8" ht="13" x14ac:dyDescent="0.15">
      <c r="D717" s="9"/>
      <c r="F717" s="9"/>
      <c r="H717" s="25"/>
    </row>
    <row r="718" spans="4:8" ht="13" x14ac:dyDescent="0.15">
      <c r="D718" s="9"/>
      <c r="F718" s="9"/>
      <c r="H718" s="25"/>
    </row>
    <row r="719" spans="4:8" ht="13" x14ac:dyDescent="0.15">
      <c r="D719" s="9"/>
      <c r="F719" s="9"/>
      <c r="H719" s="25"/>
    </row>
    <row r="720" spans="4:8" ht="13" x14ac:dyDescent="0.15">
      <c r="D720" s="9"/>
      <c r="F720" s="9"/>
      <c r="H720" s="25"/>
    </row>
    <row r="721" spans="4:8" ht="13" x14ac:dyDescent="0.15">
      <c r="D721" s="9"/>
      <c r="F721" s="9"/>
      <c r="H721" s="25"/>
    </row>
    <row r="722" spans="4:8" ht="13" x14ac:dyDescent="0.15">
      <c r="D722" s="9"/>
      <c r="F722" s="9"/>
      <c r="H722" s="25"/>
    </row>
    <row r="723" spans="4:8" ht="13" x14ac:dyDescent="0.15">
      <c r="D723" s="9"/>
      <c r="F723" s="9"/>
      <c r="H723" s="25"/>
    </row>
    <row r="724" spans="4:8" ht="13" x14ac:dyDescent="0.15">
      <c r="D724" s="9"/>
      <c r="F724" s="9"/>
      <c r="H724" s="25"/>
    </row>
    <row r="725" spans="4:8" ht="13" x14ac:dyDescent="0.15">
      <c r="D725" s="9"/>
      <c r="F725" s="9"/>
      <c r="H725" s="25"/>
    </row>
    <row r="726" spans="4:8" ht="13" x14ac:dyDescent="0.15">
      <c r="D726" s="9"/>
      <c r="F726" s="9"/>
      <c r="H726" s="25"/>
    </row>
    <row r="727" spans="4:8" ht="13" x14ac:dyDescent="0.15">
      <c r="D727" s="9"/>
      <c r="F727" s="9"/>
      <c r="H727" s="25"/>
    </row>
    <row r="728" spans="4:8" ht="13" x14ac:dyDescent="0.15">
      <c r="D728" s="9"/>
      <c r="F728" s="9"/>
      <c r="H728" s="25"/>
    </row>
    <row r="729" spans="4:8" ht="13" x14ac:dyDescent="0.15">
      <c r="D729" s="9"/>
      <c r="F729" s="9"/>
      <c r="H729" s="25"/>
    </row>
    <row r="730" spans="4:8" ht="13" x14ac:dyDescent="0.15">
      <c r="D730" s="9"/>
      <c r="F730" s="9"/>
      <c r="H730" s="25"/>
    </row>
    <row r="731" spans="4:8" ht="13" x14ac:dyDescent="0.15">
      <c r="D731" s="9"/>
      <c r="F731" s="9"/>
      <c r="H731" s="25"/>
    </row>
    <row r="732" spans="4:8" ht="13" x14ac:dyDescent="0.15">
      <c r="D732" s="9"/>
      <c r="F732" s="9"/>
      <c r="H732" s="25"/>
    </row>
    <row r="733" spans="4:8" ht="13" x14ac:dyDescent="0.15">
      <c r="D733" s="9"/>
      <c r="F733" s="9"/>
      <c r="H733" s="25"/>
    </row>
    <row r="734" spans="4:8" ht="13" x14ac:dyDescent="0.15">
      <c r="D734" s="9"/>
      <c r="F734" s="9"/>
      <c r="H734" s="25"/>
    </row>
    <row r="735" spans="4:8" ht="13" x14ac:dyDescent="0.15">
      <c r="D735" s="9"/>
      <c r="F735" s="9"/>
      <c r="H735" s="25"/>
    </row>
    <row r="736" spans="4:8" ht="13" x14ac:dyDescent="0.15">
      <c r="D736" s="9"/>
      <c r="F736" s="9"/>
      <c r="H736" s="25"/>
    </row>
    <row r="737" spans="4:8" ht="13" x14ac:dyDescent="0.15">
      <c r="D737" s="9"/>
      <c r="F737" s="9"/>
      <c r="H737" s="25"/>
    </row>
    <row r="738" spans="4:8" ht="13" x14ac:dyDescent="0.15">
      <c r="D738" s="9"/>
      <c r="F738" s="9"/>
      <c r="H738" s="25"/>
    </row>
    <row r="739" spans="4:8" ht="13" x14ac:dyDescent="0.15">
      <c r="D739" s="9"/>
      <c r="F739" s="9"/>
      <c r="H739" s="25"/>
    </row>
    <row r="740" spans="4:8" ht="13" x14ac:dyDescent="0.15">
      <c r="D740" s="9"/>
      <c r="F740" s="9"/>
      <c r="H740" s="25"/>
    </row>
    <row r="741" spans="4:8" ht="13" x14ac:dyDescent="0.15">
      <c r="D741" s="9"/>
      <c r="F741" s="9"/>
      <c r="H741" s="25"/>
    </row>
    <row r="742" spans="4:8" ht="13" x14ac:dyDescent="0.15">
      <c r="D742" s="9"/>
      <c r="F742" s="9"/>
      <c r="H742" s="25"/>
    </row>
    <row r="743" spans="4:8" ht="13" x14ac:dyDescent="0.15">
      <c r="D743" s="9"/>
      <c r="F743" s="9"/>
      <c r="H743" s="25"/>
    </row>
    <row r="744" spans="4:8" ht="13" x14ac:dyDescent="0.15">
      <c r="D744" s="9"/>
      <c r="F744" s="9"/>
      <c r="H744" s="25"/>
    </row>
    <row r="745" spans="4:8" ht="13" x14ac:dyDescent="0.15">
      <c r="D745" s="9"/>
      <c r="F745" s="9"/>
      <c r="H745" s="25"/>
    </row>
    <row r="746" spans="4:8" ht="13" x14ac:dyDescent="0.15">
      <c r="D746" s="9"/>
      <c r="F746" s="9"/>
      <c r="H746" s="25"/>
    </row>
    <row r="747" spans="4:8" ht="13" x14ac:dyDescent="0.15">
      <c r="D747" s="9"/>
      <c r="F747" s="9"/>
      <c r="H747" s="25"/>
    </row>
    <row r="748" spans="4:8" ht="13" x14ac:dyDescent="0.15">
      <c r="D748" s="9"/>
      <c r="F748" s="9"/>
      <c r="H748" s="25"/>
    </row>
    <row r="749" spans="4:8" ht="13" x14ac:dyDescent="0.15">
      <c r="D749" s="9"/>
      <c r="F749" s="9"/>
      <c r="H749" s="25"/>
    </row>
    <row r="750" spans="4:8" ht="13" x14ac:dyDescent="0.15">
      <c r="D750" s="9"/>
      <c r="F750" s="9"/>
      <c r="H750" s="25"/>
    </row>
    <row r="751" spans="4:8" ht="13" x14ac:dyDescent="0.15">
      <c r="D751" s="9"/>
      <c r="F751" s="9"/>
      <c r="H751" s="25"/>
    </row>
    <row r="752" spans="4:8" ht="13" x14ac:dyDescent="0.15">
      <c r="D752" s="9"/>
      <c r="F752" s="9"/>
      <c r="H752" s="25"/>
    </row>
    <row r="753" spans="4:8" ht="13" x14ac:dyDescent="0.15">
      <c r="D753" s="9"/>
      <c r="F753" s="9"/>
      <c r="H753" s="25"/>
    </row>
    <row r="754" spans="4:8" ht="13" x14ac:dyDescent="0.15">
      <c r="D754" s="9"/>
      <c r="F754" s="9"/>
      <c r="H754" s="25"/>
    </row>
    <row r="755" spans="4:8" ht="13" x14ac:dyDescent="0.15">
      <c r="D755" s="9"/>
      <c r="F755" s="9"/>
      <c r="H755" s="25"/>
    </row>
    <row r="756" spans="4:8" ht="13" x14ac:dyDescent="0.15">
      <c r="D756" s="9"/>
      <c r="F756" s="9"/>
      <c r="H756" s="25"/>
    </row>
    <row r="757" spans="4:8" ht="13" x14ac:dyDescent="0.15">
      <c r="D757" s="9"/>
      <c r="F757" s="9"/>
      <c r="H757" s="25"/>
    </row>
    <row r="758" spans="4:8" ht="13" x14ac:dyDescent="0.15">
      <c r="D758" s="9"/>
      <c r="F758" s="9"/>
      <c r="H758" s="25"/>
    </row>
    <row r="759" spans="4:8" ht="13" x14ac:dyDescent="0.15">
      <c r="D759" s="9"/>
      <c r="F759" s="9"/>
      <c r="H759" s="25"/>
    </row>
    <row r="760" spans="4:8" ht="13" x14ac:dyDescent="0.15">
      <c r="D760" s="9"/>
      <c r="F760" s="9"/>
      <c r="H760" s="25"/>
    </row>
    <row r="761" spans="4:8" ht="13" x14ac:dyDescent="0.15">
      <c r="D761" s="9"/>
      <c r="F761" s="9"/>
      <c r="H761" s="25"/>
    </row>
    <row r="762" spans="4:8" ht="13" x14ac:dyDescent="0.15">
      <c r="D762" s="9"/>
      <c r="F762" s="9"/>
      <c r="H762" s="25"/>
    </row>
    <row r="763" spans="4:8" ht="13" x14ac:dyDescent="0.15">
      <c r="D763" s="9"/>
      <c r="F763" s="9"/>
      <c r="H763" s="25"/>
    </row>
    <row r="764" spans="4:8" ht="13" x14ac:dyDescent="0.15">
      <c r="D764" s="9"/>
      <c r="F764" s="9"/>
      <c r="H764" s="25"/>
    </row>
    <row r="765" spans="4:8" ht="13" x14ac:dyDescent="0.15">
      <c r="D765" s="9"/>
      <c r="F765" s="9"/>
      <c r="H765" s="25"/>
    </row>
    <row r="766" spans="4:8" ht="13" x14ac:dyDescent="0.15">
      <c r="D766" s="9"/>
      <c r="F766" s="9"/>
      <c r="H766" s="25"/>
    </row>
    <row r="767" spans="4:8" ht="13" x14ac:dyDescent="0.15">
      <c r="D767" s="9"/>
      <c r="F767" s="9"/>
      <c r="H767" s="25"/>
    </row>
    <row r="768" spans="4:8" ht="13" x14ac:dyDescent="0.15">
      <c r="D768" s="9"/>
      <c r="F768" s="9"/>
      <c r="H768" s="25"/>
    </row>
    <row r="769" spans="4:8" ht="13" x14ac:dyDescent="0.15">
      <c r="D769" s="9"/>
      <c r="F769" s="9"/>
      <c r="H769" s="25"/>
    </row>
    <row r="770" spans="4:8" ht="13" x14ac:dyDescent="0.15">
      <c r="D770" s="9"/>
      <c r="F770" s="9"/>
      <c r="H770" s="25"/>
    </row>
    <row r="771" spans="4:8" ht="13" x14ac:dyDescent="0.15">
      <c r="D771" s="9"/>
      <c r="F771" s="9"/>
      <c r="H771" s="25"/>
    </row>
    <row r="772" spans="4:8" ht="13" x14ac:dyDescent="0.15">
      <c r="D772" s="9"/>
      <c r="F772" s="9"/>
      <c r="H772" s="25"/>
    </row>
    <row r="773" spans="4:8" ht="13" x14ac:dyDescent="0.15">
      <c r="D773" s="9"/>
      <c r="F773" s="9"/>
      <c r="H773" s="25"/>
    </row>
    <row r="774" spans="4:8" ht="13" x14ac:dyDescent="0.15">
      <c r="D774" s="9"/>
      <c r="F774" s="9"/>
      <c r="H774" s="25"/>
    </row>
    <row r="775" spans="4:8" ht="13" x14ac:dyDescent="0.15">
      <c r="D775" s="9"/>
      <c r="F775" s="9"/>
      <c r="H775" s="25"/>
    </row>
    <row r="776" spans="4:8" ht="13" x14ac:dyDescent="0.15">
      <c r="D776" s="9"/>
      <c r="F776" s="9"/>
      <c r="H776" s="25"/>
    </row>
    <row r="777" spans="4:8" ht="13" x14ac:dyDescent="0.15">
      <c r="D777" s="9"/>
      <c r="F777" s="9"/>
      <c r="H777" s="25"/>
    </row>
    <row r="778" spans="4:8" ht="13" x14ac:dyDescent="0.15">
      <c r="D778" s="9"/>
      <c r="F778" s="9"/>
      <c r="H778" s="25"/>
    </row>
    <row r="779" spans="4:8" ht="13" x14ac:dyDescent="0.15">
      <c r="D779" s="9"/>
      <c r="F779" s="9"/>
      <c r="H779" s="25"/>
    </row>
    <row r="780" spans="4:8" ht="13" x14ac:dyDescent="0.15">
      <c r="D780" s="9"/>
      <c r="F780" s="9"/>
      <c r="H780" s="25"/>
    </row>
    <row r="781" spans="4:8" ht="13" x14ac:dyDescent="0.15">
      <c r="D781" s="9"/>
      <c r="F781" s="9"/>
      <c r="H781" s="25"/>
    </row>
    <row r="782" spans="4:8" ht="13" x14ac:dyDescent="0.15">
      <c r="D782" s="9"/>
      <c r="F782" s="9"/>
      <c r="H782" s="25"/>
    </row>
    <row r="783" spans="4:8" ht="13" x14ac:dyDescent="0.15">
      <c r="D783" s="9"/>
      <c r="F783" s="9"/>
      <c r="H783" s="25"/>
    </row>
    <row r="784" spans="4:8" ht="13" x14ac:dyDescent="0.15">
      <c r="D784" s="9"/>
      <c r="F784" s="9"/>
      <c r="H784" s="25"/>
    </row>
    <row r="785" spans="4:8" ht="13" x14ac:dyDescent="0.15">
      <c r="D785" s="9"/>
      <c r="F785" s="9"/>
      <c r="H785" s="25"/>
    </row>
    <row r="786" spans="4:8" ht="13" x14ac:dyDescent="0.15">
      <c r="D786" s="9"/>
      <c r="F786" s="9"/>
      <c r="H786" s="25"/>
    </row>
    <row r="787" spans="4:8" ht="13" x14ac:dyDescent="0.15">
      <c r="D787" s="9"/>
      <c r="F787" s="9"/>
      <c r="H787" s="25"/>
    </row>
    <row r="788" spans="4:8" ht="13" x14ac:dyDescent="0.15">
      <c r="D788" s="9"/>
      <c r="F788" s="9"/>
      <c r="H788" s="25"/>
    </row>
    <row r="789" spans="4:8" ht="13" x14ac:dyDescent="0.15">
      <c r="D789" s="9"/>
      <c r="F789" s="9"/>
      <c r="H789" s="25"/>
    </row>
    <row r="790" spans="4:8" ht="13" x14ac:dyDescent="0.15">
      <c r="D790" s="9"/>
      <c r="F790" s="9"/>
      <c r="H790" s="25"/>
    </row>
    <row r="791" spans="4:8" ht="13" x14ac:dyDescent="0.15">
      <c r="D791" s="9"/>
      <c r="F791" s="9"/>
      <c r="H791" s="25"/>
    </row>
    <row r="792" spans="4:8" ht="13" x14ac:dyDescent="0.15">
      <c r="D792" s="9"/>
      <c r="F792" s="9"/>
      <c r="H792" s="25"/>
    </row>
    <row r="793" spans="4:8" ht="13" x14ac:dyDescent="0.15">
      <c r="D793" s="9"/>
      <c r="F793" s="9"/>
      <c r="H793" s="25"/>
    </row>
    <row r="794" spans="4:8" ht="13" x14ac:dyDescent="0.15">
      <c r="D794" s="9"/>
      <c r="F794" s="9"/>
      <c r="H794" s="25"/>
    </row>
    <row r="795" spans="4:8" ht="13" x14ac:dyDescent="0.15">
      <c r="D795" s="9"/>
      <c r="F795" s="9"/>
      <c r="H795" s="25"/>
    </row>
    <row r="796" spans="4:8" ht="13" x14ac:dyDescent="0.15">
      <c r="D796" s="9"/>
      <c r="F796" s="9"/>
      <c r="H796" s="25"/>
    </row>
    <row r="797" spans="4:8" ht="13" x14ac:dyDescent="0.15">
      <c r="D797" s="9"/>
      <c r="F797" s="9"/>
      <c r="H797" s="25"/>
    </row>
    <row r="798" spans="4:8" ht="13" x14ac:dyDescent="0.15">
      <c r="D798" s="9"/>
      <c r="F798" s="9"/>
      <c r="H798" s="25"/>
    </row>
    <row r="799" spans="4:8" ht="13" x14ac:dyDescent="0.15">
      <c r="D799" s="9"/>
      <c r="F799" s="9"/>
      <c r="H799" s="25"/>
    </row>
    <row r="800" spans="4:8" ht="13" x14ac:dyDescent="0.15">
      <c r="D800" s="9"/>
      <c r="F800" s="9"/>
      <c r="H800" s="25"/>
    </row>
    <row r="801" spans="4:8" ht="13" x14ac:dyDescent="0.15">
      <c r="D801" s="9"/>
      <c r="F801" s="9"/>
      <c r="H801" s="25"/>
    </row>
    <row r="802" spans="4:8" ht="13" x14ac:dyDescent="0.15">
      <c r="D802" s="9"/>
      <c r="F802" s="9"/>
      <c r="H802" s="25"/>
    </row>
    <row r="803" spans="4:8" ht="13" x14ac:dyDescent="0.15">
      <c r="D803" s="9"/>
      <c r="F803" s="9"/>
      <c r="H803" s="25"/>
    </row>
    <row r="804" spans="4:8" ht="13" x14ac:dyDescent="0.15">
      <c r="D804" s="9"/>
      <c r="F804" s="9"/>
      <c r="H804" s="25"/>
    </row>
    <row r="805" spans="4:8" ht="13" x14ac:dyDescent="0.15">
      <c r="D805" s="9"/>
      <c r="F805" s="9"/>
      <c r="H805" s="25"/>
    </row>
    <row r="806" spans="4:8" ht="13" x14ac:dyDescent="0.15">
      <c r="D806" s="9"/>
      <c r="F806" s="9"/>
      <c r="H806" s="25"/>
    </row>
    <row r="807" spans="4:8" ht="13" x14ac:dyDescent="0.15">
      <c r="D807" s="9"/>
      <c r="F807" s="9"/>
      <c r="H807" s="25"/>
    </row>
    <row r="808" spans="4:8" ht="13" x14ac:dyDescent="0.15">
      <c r="D808" s="9"/>
      <c r="F808" s="9"/>
      <c r="H808" s="25"/>
    </row>
    <row r="809" spans="4:8" ht="13" x14ac:dyDescent="0.15">
      <c r="D809" s="9"/>
      <c r="F809" s="9"/>
      <c r="H809" s="25"/>
    </row>
    <row r="810" spans="4:8" ht="13" x14ac:dyDescent="0.15">
      <c r="D810" s="9"/>
      <c r="F810" s="9"/>
      <c r="H810" s="25"/>
    </row>
    <row r="811" spans="4:8" ht="13" x14ac:dyDescent="0.15">
      <c r="D811" s="9"/>
      <c r="F811" s="9"/>
      <c r="H811" s="25"/>
    </row>
    <row r="812" spans="4:8" ht="13" x14ac:dyDescent="0.15">
      <c r="D812" s="9"/>
      <c r="F812" s="9"/>
      <c r="H812" s="25"/>
    </row>
    <row r="813" spans="4:8" ht="13" x14ac:dyDescent="0.15">
      <c r="D813" s="9"/>
      <c r="F813" s="9"/>
      <c r="H813" s="25"/>
    </row>
    <row r="814" spans="4:8" ht="13" x14ac:dyDescent="0.15">
      <c r="D814" s="9"/>
      <c r="F814" s="9"/>
      <c r="H814" s="25"/>
    </row>
    <row r="815" spans="4:8" ht="13" x14ac:dyDescent="0.15">
      <c r="D815" s="9"/>
      <c r="F815" s="9"/>
      <c r="H815" s="25"/>
    </row>
    <row r="816" spans="4:8" ht="13" x14ac:dyDescent="0.15">
      <c r="D816" s="9"/>
      <c r="F816" s="9"/>
      <c r="H816" s="25"/>
    </row>
    <row r="817" spans="4:8" ht="13" x14ac:dyDescent="0.15">
      <c r="D817" s="9"/>
      <c r="F817" s="9"/>
      <c r="H817" s="25"/>
    </row>
    <row r="818" spans="4:8" ht="13" x14ac:dyDescent="0.15">
      <c r="D818" s="9"/>
      <c r="F818" s="9"/>
      <c r="H818" s="25"/>
    </row>
    <row r="819" spans="4:8" ht="13" x14ac:dyDescent="0.15">
      <c r="D819" s="9"/>
      <c r="F819" s="9"/>
      <c r="H819" s="25"/>
    </row>
    <row r="820" spans="4:8" ht="13" x14ac:dyDescent="0.15">
      <c r="D820" s="9"/>
      <c r="F820" s="9"/>
      <c r="H820" s="25"/>
    </row>
    <row r="821" spans="4:8" ht="13" x14ac:dyDescent="0.15">
      <c r="D821" s="9"/>
      <c r="F821" s="9"/>
      <c r="H821" s="25"/>
    </row>
    <row r="822" spans="4:8" ht="13" x14ac:dyDescent="0.15">
      <c r="D822" s="9"/>
      <c r="F822" s="9"/>
      <c r="H822" s="25"/>
    </row>
    <row r="823" spans="4:8" ht="13" x14ac:dyDescent="0.15">
      <c r="D823" s="9"/>
      <c r="F823" s="9"/>
      <c r="H823" s="25"/>
    </row>
    <row r="824" spans="4:8" ht="13" x14ac:dyDescent="0.15">
      <c r="D824" s="9"/>
      <c r="F824" s="9"/>
      <c r="H824" s="25"/>
    </row>
    <row r="825" spans="4:8" ht="13" x14ac:dyDescent="0.15">
      <c r="D825" s="9"/>
      <c r="F825" s="9"/>
      <c r="H825" s="25"/>
    </row>
    <row r="826" spans="4:8" ht="13" x14ac:dyDescent="0.15">
      <c r="D826" s="9"/>
      <c r="F826" s="9"/>
      <c r="H826" s="25"/>
    </row>
    <row r="827" spans="4:8" ht="13" x14ac:dyDescent="0.15">
      <c r="D827" s="9"/>
      <c r="F827" s="9"/>
      <c r="H827" s="25"/>
    </row>
    <row r="828" spans="4:8" ht="13" x14ac:dyDescent="0.15">
      <c r="D828" s="9"/>
      <c r="F828" s="9"/>
      <c r="H828" s="25"/>
    </row>
    <row r="829" spans="4:8" ht="13" x14ac:dyDescent="0.15">
      <c r="D829" s="9"/>
      <c r="F829" s="9"/>
      <c r="H829" s="25"/>
    </row>
    <row r="830" spans="4:8" ht="13" x14ac:dyDescent="0.15">
      <c r="D830" s="9"/>
      <c r="F830" s="9"/>
      <c r="H830" s="25"/>
    </row>
    <row r="831" spans="4:8" ht="13" x14ac:dyDescent="0.15">
      <c r="D831" s="9"/>
      <c r="F831" s="9"/>
      <c r="H831" s="25"/>
    </row>
    <row r="832" spans="4:8" ht="13" x14ac:dyDescent="0.15">
      <c r="D832" s="9"/>
      <c r="F832" s="9"/>
      <c r="H832" s="25"/>
    </row>
    <row r="833" spans="4:8" ht="13" x14ac:dyDescent="0.15">
      <c r="D833" s="9"/>
      <c r="F833" s="9"/>
      <c r="H833" s="25"/>
    </row>
    <row r="834" spans="4:8" ht="13" x14ac:dyDescent="0.15">
      <c r="D834" s="9"/>
      <c r="F834" s="9"/>
      <c r="H834" s="25"/>
    </row>
    <row r="835" spans="4:8" ht="13" x14ac:dyDescent="0.15">
      <c r="D835" s="9"/>
      <c r="F835" s="9"/>
      <c r="H835" s="25"/>
    </row>
    <row r="836" spans="4:8" ht="13" x14ac:dyDescent="0.15">
      <c r="D836" s="9"/>
      <c r="F836" s="9"/>
      <c r="H836" s="25"/>
    </row>
    <row r="837" spans="4:8" ht="13" x14ac:dyDescent="0.15">
      <c r="D837" s="9"/>
      <c r="F837" s="9"/>
      <c r="H837" s="25"/>
    </row>
    <row r="838" spans="4:8" ht="13" x14ac:dyDescent="0.15">
      <c r="D838" s="9"/>
      <c r="F838" s="9"/>
      <c r="H838" s="25"/>
    </row>
    <row r="839" spans="4:8" ht="13" x14ac:dyDescent="0.15">
      <c r="D839" s="9"/>
      <c r="F839" s="9"/>
      <c r="H839" s="25"/>
    </row>
    <row r="840" spans="4:8" ht="13" x14ac:dyDescent="0.15">
      <c r="D840" s="9"/>
      <c r="F840" s="9"/>
      <c r="H840" s="25"/>
    </row>
    <row r="841" spans="4:8" ht="13" x14ac:dyDescent="0.15">
      <c r="D841" s="9"/>
      <c r="F841" s="9"/>
      <c r="H841" s="25"/>
    </row>
    <row r="842" spans="4:8" ht="13" x14ac:dyDescent="0.15">
      <c r="D842" s="9"/>
      <c r="F842" s="9"/>
      <c r="H842" s="25"/>
    </row>
    <row r="843" spans="4:8" ht="13" x14ac:dyDescent="0.15">
      <c r="D843" s="9"/>
      <c r="F843" s="9"/>
      <c r="H843" s="25"/>
    </row>
    <row r="844" spans="4:8" ht="13" x14ac:dyDescent="0.15">
      <c r="D844" s="9"/>
      <c r="F844" s="9"/>
      <c r="H844" s="25"/>
    </row>
    <row r="845" spans="4:8" ht="13" x14ac:dyDescent="0.15">
      <c r="D845" s="9"/>
      <c r="F845" s="9"/>
      <c r="H845" s="25"/>
    </row>
    <row r="846" spans="4:8" ht="13" x14ac:dyDescent="0.15">
      <c r="D846" s="9"/>
      <c r="F846" s="9"/>
      <c r="H846" s="25"/>
    </row>
    <row r="847" spans="4:8" ht="13" x14ac:dyDescent="0.15">
      <c r="D847" s="9"/>
      <c r="F847" s="9"/>
      <c r="H847" s="25"/>
    </row>
    <row r="848" spans="4:8" ht="13" x14ac:dyDescent="0.15">
      <c r="D848" s="9"/>
      <c r="F848" s="9"/>
      <c r="H848" s="25"/>
    </row>
    <row r="849" spans="4:8" ht="13" x14ac:dyDescent="0.15">
      <c r="D849" s="9"/>
      <c r="F849" s="9"/>
      <c r="H849" s="25"/>
    </row>
    <row r="850" spans="4:8" ht="13" x14ac:dyDescent="0.15">
      <c r="D850" s="9"/>
      <c r="F850" s="9"/>
      <c r="H850" s="25"/>
    </row>
    <row r="851" spans="4:8" ht="13" x14ac:dyDescent="0.15">
      <c r="D851" s="9"/>
      <c r="F851" s="9"/>
      <c r="H851" s="25"/>
    </row>
    <row r="852" spans="4:8" ht="13" x14ac:dyDescent="0.15">
      <c r="D852" s="9"/>
      <c r="F852" s="9"/>
      <c r="H852" s="25"/>
    </row>
    <row r="853" spans="4:8" ht="13" x14ac:dyDescent="0.15">
      <c r="D853" s="9"/>
      <c r="F853" s="9"/>
      <c r="H853" s="25"/>
    </row>
    <row r="854" spans="4:8" ht="13" x14ac:dyDescent="0.15">
      <c r="D854" s="9"/>
      <c r="F854" s="9"/>
      <c r="H854" s="25"/>
    </row>
    <row r="855" spans="4:8" ht="13" x14ac:dyDescent="0.15">
      <c r="D855" s="9"/>
      <c r="F855" s="9"/>
      <c r="H855" s="25"/>
    </row>
    <row r="856" spans="4:8" ht="13" x14ac:dyDescent="0.15">
      <c r="D856" s="9"/>
      <c r="F856" s="9"/>
      <c r="H856" s="25"/>
    </row>
    <row r="857" spans="4:8" ht="13" x14ac:dyDescent="0.15">
      <c r="D857" s="9"/>
      <c r="F857" s="9"/>
      <c r="H857" s="25"/>
    </row>
    <row r="858" spans="4:8" ht="13" x14ac:dyDescent="0.15">
      <c r="D858" s="9"/>
      <c r="F858" s="9"/>
      <c r="H858" s="25"/>
    </row>
    <row r="859" spans="4:8" ht="13" x14ac:dyDescent="0.15">
      <c r="D859" s="9"/>
      <c r="F859" s="9"/>
      <c r="H859" s="25"/>
    </row>
    <row r="860" spans="4:8" ht="13" x14ac:dyDescent="0.15">
      <c r="D860" s="9"/>
      <c r="F860" s="9"/>
      <c r="H860" s="25"/>
    </row>
    <row r="861" spans="4:8" ht="13" x14ac:dyDescent="0.15">
      <c r="D861" s="9"/>
      <c r="F861" s="9"/>
      <c r="H861" s="25"/>
    </row>
    <row r="862" spans="4:8" ht="13" x14ac:dyDescent="0.15">
      <c r="D862" s="9"/>
      <c r="F862" s="9"/>
      <c r="H862" s="25"/>
    </row>
    <row r="863" spans="4:8" ht="13" x14ac:dyDescent="0.15">
      <c r="D863" s="9"/>
      <c r="F863" s="9"/>
      <c r="H863" s="25"/>
    </row>
    <row r="864" spans="4:8" ht="13" x14ac:dyDescent="0.15">
      <c r="D864" s="9"/>
      <c r="F864" s="9"/>
      <c r="H864" s="25"/>
    </row>
    <row r="865" spans="4:8" ht="13" x14ac:dyDescent="0.15">
      <c r="D865" s="9"/>
      <c r="F865" s="9"/>
      <c r="H865" s="25"/>
    </row>
    <row r="866" spans="4:8" ht="13" x14ac:dyDescent="0.15">
      <c r="D866" s="9"/>
      <c r="F866" s="9"/>
      <c r="H866" s="25"/>
    </row>
    <row r="867" spans="4:8" ht="13" x14ac:dyDescent="0.15">
      <c r="D867" s="9"/>
      <c r="F867" s="9"/>
      <c r="H867" s="25"/>
    </row>
    <row r="868" spans="4:8" ht="13" x14ac:dyDescent="0.15">
      <c r="D868" s="9"/>
      <c r="F868" s="9"/>
      <c r="H868" s="25"/>
    </row>
    <row r="869" spans="4:8" ht="13" x14ac:dyDescent="0.15">
      <c r="D869" s="9"/>
      <c r="F869" s="9"/>
      <c r="H869" s="25"/>
    </row>
    <row r="870" spans="4:8" ht="13" x14ac:dyDescent="0.15">
      <c r="D870" s="9"/>
      <c r="F870" s="9"/>
      <c r="H870" s="25"/>
    </row>
    <row r="871" spans="4:8" ht="13" x14ac:dyDescent="0.15">
      <c r="D871" s="9"/>
      <c r="F871" s="9"/>
      <c r="H871" s="25"/>
    </row>
    <row r="872" spans="4:8" ht="13" x14ac:dyDescent="0.15">
      <c r="D872" s="9"/>
      <c r="F872" s="9"/>
      <c r="H872" s="25"/>
    </row>
    <row r="873" spans="4:8" ht="13" x14ac:dyDescent="0.15">
      <c r="D873" s="9"/>
      <c r="F873" s="9"/>
      <c r="H873" s="25"/>
    </row>
    <row r="874" spans="4:8" ht="13" x14ac:dyDescent="0.15">
      <c r="D874" s="9"/>
      <c r="F874" s="9"/>
      <c r="H874" s="25"/>
    </row>
    <row r="875" spans="4:8" ht="13" x14ac:dyDescent="0.15">
      <c r="D875" s="9"/>
      <c r="F875" s="9"/>
      <c r="H875" s="25"/>
    </row>
    <row r="876" spans="4:8" ht="13" x14ac:dyDescent="0.15">
      <c r="D876" s="9"/>
      <c r="F876" s="9"/>
      <c r="H876" s="25"/>
    </row>
    <row r="877" spans="4:8" ht="13" x14ac:dyDescent="0.15">
      <c r="D877" s="9"/>
      <c r="F877" s="9"/>
      <c r="H877" s="25"/>
    </row>
    <row r="878" spans="4:8" ht="13" x14ac:dyDescent="0.15">
      <c r="D878" s="9"/>
      <c r="F878" s="9"/>
      <c r="H878" s="25"/>
    </row>
    <row r="879" spans="4:8" ht="13" x14ac:dyDescent="0.15">
      <c r="D879" s="9"/>
      <c r="F879" s="9"/>
      <c r="H879" s="25"/>
    </row>
    <row r="880" spans="4:8" ht="13" x14ac:dyDescent="0.15">
      <c r="D880" s="9"/>
      <c r="F880" s="9"/>
      <c r="H880" s="25"/>
    </row>
    <row r="881" spans="4:8" ht="13" x14ac:dyDescent="0.15">
      <c r="D881" s="9"/>
      <c r="F881" s="9"/>
      <c r="H881" s="25"/>
    </row>
    <row r="882" spans="4:8" ht="13" x14ac:dyDescent="0.15">
      <c r="D882" s="9"/>
      <c r="F882" s="9"/>
      <c r="H882" s="25"/>
    </row>
    <row r="883" spans="4:8" ht="13" x14ac:dyDescent="0.15">
      <c r="D883" s="9"/>
      <c r="F883" s="9"/>
      <c r="H883" s="25"/>
    </row>
    <row r="884" spans="4:8" ht="13" x14ac:dyDescent="0.15">
      <c r="D884" s="9"/>
      <c r="F884" s="9"/>
      <c r="H884" s="25"/>
    </row>
    <row r="885" spans="4:8" ht="13" x14ac:dyDescent="0.15">
      <c r="D885" s="9"/>
      <c r="F885" s="9"/>
      <c r="H885" s="25"/>
    </row>
    <row r="886" spans="4:8" ht="13" x14ac:dyDescent="0.15">
      <c r="D886" s="9"/>
      <c r="F886" s="9"/>
      <c r="H886" s="25"/>
    </row>
    <row r="887" spans="4:8" ht="13" x14ac:dyDescent="0.15">
      <c r="D887" s="9"/>
      <c r="F887" s="9"/>
      <c r="H887" s="25"/>
    </row>
    <row r="888" spans="4:8" ht="13" x14ac:dyDescent="0.15">
      <c r="D888" s="9"/>
      <c r="F888" s="9"/>
      <c r="H888" s="25"/>
    </row>
    <row r="889" spans="4:8" ht="13" x14ac:dyDescent="0.15">
      <c r="D889" s="9"/>
      <c r="F889" s="9"/>
      <c r="H889" s="25"/>
    </row>
    <row r="890" spans="4:8" ht="13" x14ac:dyDescent="0.15">
      <c r="D890" s="9"/>
      <c r="F890" s="9"/>
      <c r="H890" s="25"/>
    </row>
    <row r="891" spans="4:8" ht="13" x14ac:dyDescent="0.15">
      <c r="D891" s="9"/>
      <c r="F891" s="9"/>
      <c r="H891" s="25"/>
    </row>
    <row r="892" spans="4:8" ht="13" x14ac:dyDescent="0.15">
      <c r="D892" s="9"/>
      <c r="F892" s="9"/>
      <c r="H892" s="25"/>
    </row>
    <row r="893" spans="4:8" ht="13" x14ac:dyDescent="0.15">
      <c r="D893" s="9"/>
      <c r="F893" s="9"/>
      <c r="H893" s="25"/>
    </row>
    <row r="894" spans="4:8" ht="13" x14ac:dyDescent="0.15">
      <c r="D894" s="9"/>
      <c r="F894" s="9"/>
      <c r="H894" s="25"/>
    </row>
    <row r="895" spans="4:8" ht="13" x14ac:dyDescent="0.15">
      <c r="D895" s="9"/>
      <c r="F895" s="9"/>
      <c r="H895" s="25"/>
    </row>
    <row r="896" spans="4:8" ht="13" x14ac:dyDescent="0.15">
      <c r="D896" s="9"/>
      <c r="F896" s="9"/>
      <c r="H896" s="25"/>
    </row>
    <row r="897" spans="4:8" ht="13" x14ac:dyDescent="0.15">
      <c r="D897" s="9"/>
      <c r="F897" s="9"/>
      <c r="H897" s="25"/>
    </row>
    <row r="898" spans="4:8" ht="13" x14ac:dyDescent="0.15">
      <c r="D898" s="9"/>
      <c r="F898" s="9"/>
      <c r="H898" s="25"/>
    </row>
    <row r="899" spans="4:8" ht="13" x14ac:dyDescent="0.15">
      <c r="D899" s="9"/>
      <c r="F899" s="9"/>
      <c r="H899" s="25"/>
    </row>
    <row r="900" spans="4:8" ht="13" x14ac:dyDescent="0.15">
      <c r="D900" s="9"/>
      <c r="F900" s="9"/>
      <c r="H900" s="25"/>
    </row>
    <row r="901" spans="4:8" ht="13" x14ac:dyDescent="0.15">
      <c r="D901" s="9"/>
      <c r="F901" s="9"/>
      <c r="H901" s="25"/>
    </row>
    <row r="902" spans="4:8" ht="13" x14ac:dyDescent="0.15">
      <c r="D902" s="9"/>
      <c r="F902" s="9"/>
      <c r="H902" s="25"/>
    </row>
    <row r="903" spans="4:8" ht="13" x14ac:dyDescent="0.15">
      <c r="D903" s="9"/>
      <c r="F903" s="9"/>
      <c r="H903" s="25"/>
    </row>
    <row r="904" spans="4:8" ht="13" x14ac:dyDescent="0.15">
      <c r="D904" s="9"/>
      <c r="F904" s="9"/>
      <c r="H904" s="25"/>
    </row>
    <row r="905" spans="4:8" ht="13" x14ac:dyDescent="0.15">
      <c r="D905" s="9"/>
      <c r="F905" s="9"/>
      <c r="H905" s="25"/>
    </row>
    <row r="906" spans="4:8" ht="13" x14ac:dyDescent="0.15">
      <c r="D906" s="9"/>
      <c r="F906" s="9"/>
      <c r="H906" s="25"/>
    </row>
    <row r="907" spans="4:8" ht="13" x14ac:dyDescent="0.15">
      <c r="D907" s="9"/>
      <c r="F907" s="9"/>
      <c r="H907" s="25"/>
    </row>
    <row r="908" spans="4:8" ht="13" x14ac:dyDescent="0.15">
      <c r="D908" s="9"/>
      <c r="F908" s="9"/>
      <c r="H908" s="25"/>
    </row>
    <row r="909" spans="4:8" ht="13" x14ac:dyDescent="0.15">
      <c r="D909" s="9"/>
      <c r="F909" s="9"/>
      <c r="H909" s="25"/>
    </row>
    <row r="910" spans="4:8" ht="13" x14ac:dyDescent="0.15">
      <c r="D910" s="9"/>
      <c r="F910" s="9"/>
      <c r="H910" s="25"/>
    </row>
    <row r="911" spans="4:8" ht="13" x14ac:dyDescent="0.15">
      <c r="D911" s="9"/>
      <c r="F911" s="9"/>
      <c r="H911" s="25"/>
    </row>
    <row r="912" spans="4:8" ht="13" x14ac:dyDescent="0.15">
      <c r="D912" s="9"/>
      <c r="F912" s="9"/>
      <c r="H912" s="25"/>
    </row>
    <row r="913" spans="4:8" ht="13" x14ac:dyDescent="0.15">
      <c r="D913" s="9"/>
      <c r="F913" s="9"/>
      <c r="H913" s="25"/>
    </row>
    <row r="914" spans="4:8" ht="13" x14ac:dyDescent="0.15">
      <c r="D914" s="9"/>
      <c r="F914" s="9"/>
      <c r="H914" s="25"/>
    </row>
    <row r="915" spans="4:8" ht="13" x14ac:dyDescent="0.15">
      <c r="D915" s="9"/>
      <c r="F915" s="9"/>
      <c r="H915" s="25"/>
    </row>
    <row r="916" spans="4:8" ht="13" x14ac:dyDescent="0.15">
      <c r="D916" s="9"/>
      <c r="F916" s="9"/>
      <c r="H916" s="25"/>
    </row>
    <row r="917" spans="4:8" ht="13" x14ac:dyDescent="0.15">
      <c r="D917" s="9"/>
      <c r="F917" s="9"/>
      <c r="H917" s="25"/>
    </row>
    <row r="918" spans="4:8" ht="13" x14ac:dyDescent="0.15">
      <c r="D918" s="9"/>
      <c r="F918" s="9"/>
      <c r="H918" s="25"/>
    </row>
    <row r="919" spans="4:8" ht="13" x14ac:dyDescent="0.15">
      <c r="D919" s="9"/>
      <c r="F919" s="9"/>
      <c r="H919" s="25"/>
    </row>
    <row r="920" spans="4:8" ht="13" x14ac:dyDescent="0.15">
      <c r="D920" s="9"/>
      <c r="F920" s="9"/>
      <c r="H920" s="25"/>
    </row>
    <row r="921" spans="4:8" ht="13" x14ac:dyDescent="0.15">
      <c r="D921" s="9"/>
      <c r="F921" s="9"/>
      <c r="H921" s="25"/>
    </row>
    <row r="922" spans="4:8" ht="13" x14ac:dyDescent="0.15">
      <c r="D922" s="9"/>
      <c r="F922" s="9"/>
      <c r="H922" s="25"/>
    </row>
    <row r="923" spans="4:8" ht="13" x14ac:dyDescent="0.15">
      <c r="D923" s="9"/>
      <c r="F923" s="9"/>
      <c r="H923" s="25"/>
    </row>
    <row r="924" spans="4:8" ht="13" x14ac:dyDescent="0.15">
      <c r="D924" s="9"/>
      <c r="F924" s="9"/>
      <c r="H924" s="25"/>
    </row>
    <row r="925" spans="4:8" ht="13" x14ac:dyDescent="0.15">
      <c r="D925" s="9"/>
      <c r="F925" s="9"/>
      <c r="H925" s="25"/>
    </row>
    <row r="926" spans="4:8" ht="13" x14ac:dyDescent="0.15">
      <c r="D926" s="9"/>
      <c r="F926" s="9"/>
      <c r="H926" s="25"/>
    </row>
    <row r="927" spans="4:8" ht="13" x14ac:dyDescent="0.15">
      <c r="D927" s="9"/>
      <c r="F927" s="9"/>
      <c r="H927" s="25"/>
    </row>
    <row r="928" spans="4:8" ht="13" x14ac:dyDescent="0.15">
      <c r="D928" s="9"/>
      <c r="F928" s="9"/>
      <c r="H928" s="25"/>
    </row>
    <row r="929" spans="4:8" ht="13" x14ac:dyDescent="0.15">
      <c r="D929" s="9"/>
      <c r="F929" s="9"/>
      <c r="H929" s="25"/>
    </row>
    <row r="930" spans="4:8" ht="13" x14ac:dyDescent="0.15">
      <c r="D930" s="9"/>
      <c r="F930" s="9"/>
      <c r="H930" s="25"/>
    </row>
    <row r="931" spans="4:8" ht="13" x14ac:dyDescent="0.15">
      <c r="D931" s="9"/>
      <c r="F931" s="9"/>
      <c r="H931" s="25"/>
    </row>
    <row r="932" spans="4:8" ht="13" x14ac:dyDescent="0.15">
      <c r="D932" s="9"/>
      <c r="F932" s="9"/>
      <c r="H932" s="25"/>
    </row>
    <row r="933" spans="4:8" ht="13" x14ac:dyDescent="0.15">
      <c r="D933" s="9"/>
      <c r="F933" s="9"/>
      <c r="H933" s="25"/>
    </row>
    <row r="934" spans="4:8" ht="13" x14ac:dyDescent="0.15">
      <c r="D934" s="9"/>
      <c r="F934" s="9"/>
      <c r="H934" s="25"/>
    </row>
    <row r="935" spans="4:8" ht="13" x14ac:dyDescent="0.15">
      <c r="D935" s="9"/>
      <c r="F935" s="9"/>
      <c r="H935" s="25"/>
    </row>
    <row r="936" spans="4:8" ht="13" x14ac:dyDescent="0.15">
      <c r="D936" s="9"/>
      <c r="F936" s="9"/>
      <c r="H936" s="25"/>
    </row>
    <row r="937" spans="4:8" ht="13" x14ac:dyDescent="0.15">
      <c r="D937" s="9"/>
      <c r="F937" s="9"/>
      <c r="H937" s="25"/>
    </row>
    <row r="938" spans="4:8" ht="13" x14ac:dyDescent="0.15">
      <c r="D938" s="9"/>
      <c r="F938" s="9"/>
      <c r="H938" s="25"/>
    </row>
    <row r="939" spans="4:8" ht="13" x14ac:dyDescent="0.15">
      <c r="D939" s="9"/>
      <c r="F939" s="9"/>
      <c r="H939" s="25"/>
    </row>
    <row r="940" spans="4:8" ht="13" x14ac:dyDescent="0.15">
      <c r="D940" s="9"/>
      <c r="F940" s="9"/>
      <c r="H940" s="25"/>
    </row>
    <row r="941" spans="4:8" ht="13" x14ac:dyDescent="0.15">
      <c r="D941" s="9"/>
      <c r="F941" s="9"/>
      <c r="H941" s="25"/>
    </row>
    <row r="942" spans="4:8" ht="13" x14ac:dyDescent="0.15">
      <c r="D942" s="9"/>
      <c r="F942" s="9"/>
      <c r="H942" s="25"/>
    </row>
    <row r="943" spans="4:8" ht="13" x14ac:dyDescent="0.15">
      <c r="D943" s="9"/>
      <c r="F943" s="9"/>
      <c r="H943" s="25"/>
    </row>
    <row r="944" spans="4:8" ht="13" x14ac:dyDescent="0.15">
      <c r="D944" s="9"/>
      <c r="F944" s="9"/>
      <c r="H944" s="25"/>
    </row>
    <row r="945" spans="4:8" ht="13" x14ac:dyDescent="0.15">
      <c r="D945" s="9"/>
      <c r="F945" s="9"/>
      <c r="H945" s="25"/>
    </row>
    <row r="946" spans="4:8" ht="13" x14ac:dyDescent="0.15">
      <c r="D946" s="9"/>
      <c r="F946" s="9"/>
      <c r="H946" s="25"/>
    </row>
    <row r="947" spans="4:8" ht="13" x14ac:dyDescent="0.15">
      <c r="D947" s="9"/>
      <c r="F947" s="9"/>
      <c r="H947" s="25"/>
    </row>
    <row r="948" spans="4:8" ht="13" x14ac:dyDescent="0.15">
      <c r="D948" s="9"/>
      <c r="F948" s="9"/>
      <c r="H948" s="25"/>
    </row>
    <row r="949" spans="4:8" ht="13" x14ac:dyDescent="0.15">
      <c r="D949" s="9"/>
      <c r="F949" s="9"/>
      <c r="H949" s="25"/>
    </row>
    <row r="950" spans="4:8" ht="13" x14ac:dyDescent="0.15">
      <c r="D950" s="9"/>
      <c r="F950" s="9"/>
      <c r="H950" s="25"/>
    </row>
    <row r="951" spans="4:8" ht="13" x14ac:dyDescent="0.15">
      <c r="D951" s="9"/>
      <c r="F951" s="9"/>
      <c r="H951" s="25"/>
    </row>
    <row r="952" spans="4:8" ht="13" x14ac:dyDescent="0.15">
      <c r="D952" s="9"/>
      <c r="F952" s="9"/>
      <c r="H952" s="25"/>
    </row>
    <row r="953" spans="4:8" ht="13" x14ac:dyDescent="0.15">
      <c r="D953" s="9"/>
      <c r="F953" s="9"/>
      <c r="H953" s="25"/>
    </row>
    <row r="954" spans="4:8" ht="13" x14ac:dyDescent="0.15">
      <c r="D954" s="9"/>
      <c r="F954" s="9"/>
      <c r="H954" s="25"/>
    </row>
    <row r="955" spans="4:8" ht="13" x14ac:dyDescent="0.15">
      <c r="D955" s="9"/>
      <c r="F955" s="9"/>
      <c r="H955" s="25"/>
    </row>
    <row r="956" spans="4:8" ht="13" x14ac:dyDescent="0.15">
      <c r="D956" s="9"/>
      <c r="F956" s="9"/>
      <c r="H956" s="25"/>
    </row>
    <row r="957" spans="4:8" ht="13" x14ac:dyDescent="0.15">
      <c r="D957" s="9"/>
      <c r="F957" s="9"/>
      <c r="H957" s="25"/>
    </row>
    <row r="958" spans="4:8" ht="13" x14ac:dyDescent="0.15">
      <c r="D958" s="9"/>
      <c r="F958" s="9"/>
      <c r="H958" s="25"/>
    </row>
    <row r="959" spans="4:8" ht="13" x14ac:dyDescent="0.15">
      <c r="D959" s="9"/>
      <c r="F959" s="9"/>
      <c r="H959" s="25"/>
    </row>
    <row r="960" spans="4:8" ht="13" x14ac:dyDescent="0.15">
      <c r="D960" s="9"/>
      <c r="F960" s="9"/>
      <c r="H960" s="25"/>
    </row>
    <row r="961" spans="4:8" ht="13" x14ac:dyDescent="0.15">
      <c r="D961" s="9"/>
      <c r="F961" s="9"/>
      <c r="H961" s="25"/>
    </row>
    <row r="962" spans="4:8" ht="13" x14ac:dyDescent="0.15">
      <c r="D962" s="9"/>
      <c r="F962" s="9"/>
      <c r="H962" s="25"/>
    </row>
    <row r="963" spans="4:8" ht="13" x14ac:dyDescent="0.15">
      <c r="D963" s="9"/>
      <c r="F963" s="9"/>
      <c r="H963" s="25"/>
    </row>
    <row r="964" spans="4:8" ht="13" x14ac:dyDescent="0.15">
      <c r="D964" s="9"/>
      <c r="F964" s="9"/>
      <c r="H964" s="25"/>
    </row>
    <row r="965" spans="4:8" ht="13" x14ac:dyDescent="0.15">
      <c r="D965" s="9"/>
      <c r="F965" s="9"/>
      <c r="H965" s="25"/>
    </row>
    <row r="966" spans="4:8" ht="13" x14ac:dyDescent="0.15">
      <c r="D966" s="9"/>
      <c r="F966" s="9"/>
      <c r="H966" s="25"/>
    </row>
    <row r="967" spans="4:8" ht="13" x14ac:dyDescent="0.15">
      <c r="D967" s="9"/>
      <c r="F967" s="9"/>
      <c r="H967" s="25"/>
    </row>
    <row r="968" spans="4:8" ht="13" x14ac:dyDescent="0.15">
      <c r="D968" s="9"/>
      <c r="F968" s="9"/>
      <c r="H968" s="25"/>
    </row>
    <row r="969" spans="4:8" ht="13" x14ac:dyDescent="0.15">
      <c r="D969" s="9"/>
      <c r="F969" s="9"/>
      <c r="H969" s="25"/>
    </row>
    <row r="970" spans="4:8" ht="13" x14ac:dyDescent="0.15">
      <c r="D970" s="9"/>
      <c r="F970" s="9"/>
      <c r="H970" s="25"/>
    </row>
    <row r="971" spans="4:8" ht="13" x14ac:dyDescent="0.15">
      <c r="D971" s="9"/>
      <c r="F971" s="9"/>
      <c r="H971" s="25"/>
    </row>
    <row r="972" spans="4:8" ht="13" x14ac:dyDescent="0.15">
      <c r="D972" s="9"/>
      <c r="F972" s="9"/>
      <c r="H972" s="25"/>
    </row>
    <row r="973" spans="4:8" ht="13" x14ac:dyDescent="0.15">
      <c r="D973" s="9"/>
      <c r="F973" s="9"/>
      <c r="H973" s="25"/>
    </row>
    <row r="974" spans="4:8" ht="13" x14ac:dyDescent="0.15">
      <c r="D974" s="9"/>
      <c r="F974" s="9"/>
      <c r="H974" s="25"/>
    </row>
    <row r="975" spans="4:8" ht="13" x14ac:dyDescent="0.15">
      <c r="D975" s="9"/>
      <c r="F975" s="9"/>
      <c r="H975" s="25"/>
    </row>
    <row r="976" spans="4:8" ht="13" x14ac:dyDescent="0.15">
      <c r="D976" s="9"/>
      <c r="F976" s="9"/>
      <c r="H976" s="25"/>
    </row>
    <row r="977" spans="4:8" ht="13" x14ac:dyDescent="0.15">
      <c r="D977" s="9"/>
      <c r="F977" s="9"/>
      <c r="H977" s="25"/>
    </row>
    <row r="978" spans="4:8" ht="13" x14ac:dyDescent="0.15">
      <c r="D978" s="9"/>
      <c r="F978" s="9"/>
      <c r="H978" s="25"/>
    </row>
    <row r="979" spans="4:8" ht="13" x14ac:dyDescent="0.15">
      <c r="D979" s="9"/>
      <c r="F979" s="9"/>
      <c r="H979" s="25"/>
    </row>
    <row r="980" spans="4:8" ht="13" x14ac:dyDescent="0.15">
      <c r="D980" s="9"/>
      <c r="F980" s="9"/>
      <c r="H980" s="25"/>
    </row>
    <row r="981" spans="4:8" ht="13" x14ac:dyDescent="0.15">
      <c r="D981" s="9"/>
      <c r="F981" s="9"/>
      <c r="H981" s="25"/>
    </row>
    <row r="982" spans="4:8" ht="13" x14ac:dyDescent="0.15">
      <c r="D982" s="9"/>
      <c r="F982" s="9"/>
      <c r="H982" s="25"/>
    </row>
    <row r="983" spans="4:8" ht="13" x14ac:dyDescent="0.15">
      <c r="D983" s="9"/>
      <c r="F983" s="9"/>
      <c r="H983" s="25"/>
    </row>
    <row r="984" spans="4:8" ht="13" x14ac:dyDescent="0.15">
      <c r="D984" s="9"/>
      <c r="F984" s="9"/>
      <c r="H984" s="25"/>
    </row>
    <row r="985" spans="4:8" ht="13" x14ac:dyDescent="0.15">
      <c r="D985" s="9"/>
      <c r="F985" s="9"/>
      <c r="H985" s="25"/>
    </row>
    <row r="986" spans="4:8" ht="13" x14ac:dyDescent="0.15">
      <c r="D986" s="9"/>
      <c r="F986" s="9"/>
      <c r="H986" s="25"/>
    </row>
    <row r="987" spans="4:8" ht="13" x14ac:dyDescent="0.15">
      <c r="D987" s="9"/>
      <c r="F987" s="9"/>
      <c r="H987" s="25"/>
    </row>
    <row r="988" spans="4:8" ht="13" x14ac:dyDescent="0.15">
      <c r="D988" s="9"/>
      <c r="F988" s="9"/>
      <c r="H988" s="25"/>
    </row>
    <row r="989" spans="4:8" ht="13" x14ac:dyDescent="0.15">
      <c r="D989" s="9"/>
      <c r="F989" s="9"/>
      <c r="H989" s="25"/>
    </row>
    <row r="990" spans="4:8" ht="13" x14ac:dyDescent="0.15">
      <c r="D990" s="9"/>
      <c r="F990" s="9"/>
      <c r="H990" s="25"/>
    </row>
    <row r="991" spans="4:8" ht="13" x14ac:dyDescent="0.15">
      <c r="D991" s="9"/>
      <c r="F991" s="9"/>
      <c r="H991" s="25"/>
    </row>
    <row r="992" spans="4:8" ht="13" x14ac:dyDescent="0.15">
      <c r="D992" s="9"/>
      <c r="F992" s="9"/>
      <c r="H992" s="25"/>
    </row>
    <row r="993" spans="4:8" ht="13" x14ac:dyDescent="0.15">
      <c r="D993" s="9"/>
      <c r="F993" s="9"/>
      <c r="H993" s="25"/>
    </row>
    <row r="994" spans="4:8" ht="13" x14ac:dyDescent="0.15">
      <c r="D994" s="9"/>
      <c r="F994" s="9"/>
      <c r="H994" s="25"/>
    </row>
    <row r="995" spans="4:8" ht="13" x14ac:dyDescent="0.15">
      <c r="D995" s="9"/>
      <c r="F995" s="9"/>
      <c r="H995" s="25"/>
    </row>
    <row r="996" spans="4:8" ht="13" x14ac:dyDescent="0.15">
      <c r="D996" s="9"/>
      <c r="F996" s="9"/>
      <c r="H996" s="25"/>
    </row>
    <row r="997" spans="4:8" ht="13" x14ac:dyDescent="0.15">
      <c r="D997" s="9"/>
      <c r="F997" s="9"/>
      <c r="H997" s="25"/>
    </row>
    <row r="998" spans="4:8" ht="13" x14ac:dyDescent="0.15">
      <c r="D998" s="9"/>
      <c r="F998" s="9"/>
      <c r="H998" s="25"/>
    </row>
    <row r="999" spans="4:8" ht="13" x14ac:dyDescent="0.15">
      <c r="D999" s="9"/>
      <c r="F999" s="9"/>
      <c r="H999" s="25"/>
    </row>
    <row r="1000" spans="4:8" ht="13" x14ac:dyDescent="0.15">
      <c r="D1000" s="9"/>
      <c r="F1000" s="9"/>
      <c r="H1000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14"/>
  <sheetViews>
    <sheetView workbookViewId="0"/>
  </sheetViews>
  <sheetFormatPr baseColWidth="10" defaultColWidth="12.6640625" defaultRowHeight="15.75" customHeight="1" x14ac:dyDescent="0.15"/>
  <sheetData>
    <row r="1" spans="1:9" ht="15.75" customHeight="1" x14ac:dyDescent="0.15">
      <c r="A1" s="23" t="s">
        <v>6</v>
      </c>
      <c r="B1" s="23" t="s">
        <v>1</v>
      </c>
      <c r="C1" s="23" t="s">
        <v>2</v>
      </c>
      <c r="D1" s="23" t="s">
        <v>10</v>
      </c>
      <c r="E1" s="23" t="s">
        <v>4</v>
      </c>
      <c r="F1" s="23" t="s">
        <v>13</v>
      </c>
      <c r="G1" s="23" t="s">
        <v>16</v>
      </c>
      <c r="H1" s="23" t="s">
        <v>14</v>
      </c>
      <c r="I1" s="1"/>
    </row>
    <row r="2" spans="1:9" ht="15.75" customHeight="1" x14ac:dyDescent="0.15">
      <c r="A2" s="3">
        <v>1</v>
      </c>
      <c r="B2" s="3">
        <f>SUMIF('Instagram Ads Performance Metri'!B:B,A2,'Instagram Ads Performance Metri'!C:C)</f>
        <v>1720107</v>
      </c>
      <c r="C2" s="3">
        <f>SUMIF('Instagram Ads Performance Metri'!B:B,A2,'Instagram Ads Performance Metri'!E:E)</f>
        <v>32172</v>
      </c>
      <c r="D2" s="15">
        <f>SUMIF('Instagram Ads Performance Metri'!B:B,A2,'Instagram Ads Performance Metri'!H:H)</f>
        <v>48783</v>
      </c>
      <c r="E2" s="3">
        <f>SUMIF('Instagram Ads Performance Metri'!B:B,A2,'Instagram Ads Performance Metri'!J:J)</f>
        <v>599</v>
      </c>
      <c r="F2" s="15">
        <f>SUMIF('Instagram Ads Performance Metri'!B:B,A2,'Instagram Ads Performance Metri'!L:L)</f>
        <v>99008</v>
      </c>
      <c r="G2" s="15">
        <f t="shared" ref="G2:G13" si="0">F2/E2</f>
        <v>165.28881469115191</v>
      </c>
      <c r="H2" s="29">
        <f t="shared" ref="H2:H13" si="1">F2/D2</f>
        <v>2.0295594776868993</v>
      </c>
      <c r="I2" s="1"/>
    </row>
    <row r="3" spans="1:9" ht="15.75" customHeight="1" x14ac:dyDescent="0.15">
      <c r="A3" s="3">
        <v>2</v>
      </c>
      <c r="B3" s="3">
        <f>SUMIF('Instagram Ads Performance Metri'!B:B,A3,'Instagram Ads Performance Metri'!C:C)</f>
        <v>1557121</v>
      </c>
      <c r="C3" s="3">
        <f>SUMIF('Instagram Ads Performance Metri'!B:B,A3,'Instagram Ads Performance Metri'!E:E)</f>
        <v>31502</v>
      </c>
      <c r="D3" s="15">
        <f>SUMIF('Instagram Ads Performance Metri'!B:B,A3,'Instagram Ads Performance Metri'!H:H)</f>
        <v>47406</v>
      </c>
      <c r="E3" s="3">
        <f>SUMIF('Instagram Ads Performance Metri'!B:B,A3,'Instagram Ads Performance Metri'!J:J)</f>
        <v>546</v>
      </c>
      <c r="F3" s="15">
        <f>SUMIF('Instagram Ads Performance Metri'!B:B,A3,'Instagram Ads Performance Metri'!L:L)</f>
        <v>92767</v>
      </c>
      <c r="G3" s="15">
        <f t="shared" si="0"/>
        <v>169.90293040293039</v>
      </c>
      <c r="H3" s="29">
        <f t="shared" si="1"/>
        <v>1.9568620005906425</v>
      </c>
      <c r="I3" s="1"/>
    </row>
    <row r="4" spans="1:9" ht="15.75" customHeight="1" x14ac:dyDescent="0.15">
      <c r="A4" s="3">
        <v>3</v>
      </c>
      <c r="B4" s="3">
        <f>SUMIF('Instagram Ads Performance Metri'!B:B,A4,'Instagram Ads Performance Metri'!C:C)</f>
        <v>1570479</v>
      </c>
      <c r="C4" s="3">
        <f>SUMIF('Instagram Ads Performance Metri'!B:B,A4,'Instagram Ads Performance Metri'!E:E)</f>
        <v>31937</v>
      </c>
      <c r="D4" s="15">
        <f>SUMIF('Instagram Ads Performance Metri'!B:B,A4,'Instagram Ads Performance Metri'!H:H)</f>
        <v>45220</v>
      </c>
      <c r="E4" s="3">
        <f>SUMIF('Instagram Ads Performance Metri'!B:B,A4,'Instagram Ads Performance Metri'!J:J)</f>
        <v>610</v>
      </c>
      <c r="F4" s="15">
        <f>SUMIF('Instagram Ads Performance Metri'!B:B,A4,'Instagram Ads Performance Metri'!L:L)</f>
        <v>91252</v>
      </c>
      <c r="G4" s="15">
        <f t="shared" si="0"/>
        <v>149.59344262295082</v>
      </c>
      <c r="H4" s="29">
        <f t="shared" si="1"/>
        <v>2.0179566563467493</v>
      </c>
      <c r="I4" s="1"/>
    </row>
    <row r="5" spans="1:9" ht="15.75" customHeight="1" x14ac:dyDescent="0.15">
      <c r="A5" s="3">
        <v>4</v>
      </c>
      <c r="B5" s="3">
        <f>SUMIF('Instagram Ads Performance Metri'!B:B,A5,'Instagram Ads Performance Metri'!C:C)</f>
        <v>1921842</v>
      </c>
      <c r="C5" s="3">
        <f>SUMIF('Instagram Ads Performance Metri'!B:B,A5,'Instagram Ads Performance Metri'!E:E)</f>
        <v>37631</v>
      </c>
      <c r="D5" s="15">
        <f>SUMIF('Instagram Ads Performance Metri'!B:B,A5,'Instagram Ads Performance Metri'!H:H)</f>
        <v>59285</v>
      </c>
      <c r="E5" s="3">
        <f>SUMIF('Instagram Ads Performance Metri'!B:B,A5,'Instagram Ads Performance Metri'!J:J)</f>
        <v>717</v>
      </c>
      <c r="F5" s="15">
        <f>SUMIF('Instagram Ads Performance Metri'!B:B,A5,'Instagram Ads Performance Metri'!L:L)</f>
        <v>112373</v>
      </c>
      <c r="G5" s="15">
        <f t="shared" si="0"/>
        <v>156.72663877266388</v>
      </c>
      <c r="H5" s="29">
        <f t="shared" si="1"/>
        <v>1.895471029771443</v>
      </c>
      <c r="I5" s="1"/>
    </row>
    <row r="6" spans="1:9" ht="15.75" customHeight="1" x14ac:dyDescent="0.15">
      <c r="A6" s="3">
        <v>5</v>
      </c>
      <c r="B6" s="3">
        <f>SUMIF('Instagram Ads Performance Metri'!B:B,A6,'Instagram Ads Performance Metri'!C:C)</f>
        <v>1828461</v>
      </c>
      <c r="C6" s="3">
        <f>SUMIF('Instagram Ads Performance Metri'!B:B,A6,'Instagram Ads Performance Metri'!E:E)</f>
        <v>36388</v>
      </c>
      <c r="D6" s="15">
        <f>SUMIF('Instagram Ads Performance Metri'!B:B,A6,'Instagram Ads Performance Metri'!H:H)</f>
        <v>57348</v>
      </c>
      <c r="E6" s="3">
        <f>SUMIF('Instagram Ads Performance Metri'!B:B,A6,'Instagram Ads Performance Metri'!J:J)</f>
        <v>702</v>
      </c>
      <c r="F6" s="15">
        <f>SUMIF('Instagram Ads Performance Metri'!B:B,A6,'Instagram Ads Performance Metri'!L:L)</f>
        <v>106927</v>
      </c>
      <c r="G6" s="15">
        <f t="shared" si="0"/>
        <v>152.31766381766383</v>
      </c>
      <c r="H6" s="29">
        <f t="shared" si="1"/>
        <v>1.8645288414591616</v>
      </c>
      <c r="I6" s="1"/>
    </row>
    <row r="7" spans="1:9" ht="15.75" customHeight="1" x14ac:dyDescent="0.15">
      <c r="A7" s="3">
        <v>6</v>
      </c>
      <c r="B7" s="3">
        <f>SUMIF('Instagram Ads Performance Metri'!B:B,A7,'Instagram Ads Performance Metri'!C:C)</f>
        <v>1704404</v>
      </c>
      <c r="C7" s="3">
        <f>SUMIF('Instagram Ads Performance Metri'!B:B,A7,'Instagram Ads Performance Metri'!E:E)</f>
        <v>36581</v>
      </c>
      <c r="D7" s="15">
        <f>SUMIF('Instagram Ads Performance Metri'!B:B,A7,'Instagram Ads Performance Metri'!H:H)</f>
        <v>56754</v>
      </c>
      <c r="E7" s="3">
        <f>SUMIF('Instagram Ads Performance Metri'!B:B,A7,'Instagram Ads Performance Metri'!J:J)</f>
        <v>716</v>
      </c>
      <c r="F7" s="15">
        <f>SUMIF('Instagram Ads Performance Metri'!B:B,A7,'Instagram Ads Performance Metri'!L:L)</f>
        <v>113329</v>
      </c>
      <c r="G7" s="15">
        <f t="shared" si="0"/>
        <v>158.28072625698323</v>
      </c>
      <c r="H7" s="29">
        <f t="shared" si="1"/>
        <v>1.9968460372837158</v>
      </c>
      <c r="I7" s="1"/>
    </row>
    <row r="8" spans="1:9" ht="15.75" customHeight="1" x14ac:dyDescent="0.15">
      <c r="A8" s="3">
        <v>7</v>
      </c>
      <c r="B8" s="3">
        <f>SUMIF('Instagram Ads Performance Metri'!B:B,A8,'Instagram Ads Performance Metri'!C:C)</f>
        <v>1631972</v>
      </c>
      <c r="C8" s="3">
        <f>SUMIF('Instagram Ads Performance Metri'!B:B,A8,'Instagram Ads Performance Metri'!E:E)</f>
        <v>35440</v>
      </c>
      <c r="D8" s="15">
        <f>SUMIF('Instagram Ads Performance Metri'!B:B,A8,'Instagram Ads Performance Metri'!H:H)</f>
        <v>54023</v>
      </c>
      <c r="E8" s="3">
        <f>SUMIF('Instagram Ads Performance Metri'!B:B,A8,'Instagram Ads Performance Metri'!J:J)</f>
        <v>635</v>
      </c>
      <c r="F8" s="15">
        <f>SUMIF('Instagram Ads Performance Metri'!B:B,A8,'Instagram Ads Performance Metri'!L:L)</f>
        <v>95572</v>
      </c>
      <c r="G8" s="15">
        <f t="shared" si="0"/>
        <v>150.50708661417323</v>
      </c>
      <c r="H8" s="29">
        <f t="shared" si="1"/>
        <v>1.7690983470003516</v>
      </c>
      <c r="I8" s="1"/>
    </row>
    <row r="9" spans="1:9" ht="15.75" customHeight="1" x14ac:dyDescent="0.15">
      <c r="A9" s="3">
        <v>8</v>
      </c>
      <c r="B9" s="3">
        <f>SUMIF('Instagram Ads Performance Metri'!B:B,A9,'Instagram Ads Performance Metri'!C:C)</f>
        <v>1673314</v>
      </c>
      <c r="C9" s="3">
        <f>SUMIF('Instagram Ads Performance Metri'!B:B,A9,'Instagram Ads Performance Metri'!E:E)</f>
        <v>32435</v>
      </c>
      <c r="D9" s="15">
        <f>SUMIF('Instagram Ads Performance Metri'!B:B,A9,'Instagram Ads Performance Metri'!H:H)</f>
        <v>50112</v>
      </c>
      <c r="E9" s="3">
        <f>SUMIF('Instagram Ads Performance Metri'!B:B,A9,'Instagram Ads Performance Metri'!J:J)</f>
        <v>590</v>
      </c>
      <c r="F9" s="15">
        <f>SUMIF('Instagram Ads Performance Metri'!B:B,A9,'Instagram Ads Performance Metri'!L:L)</f>
        <v>89404</v>
      </c>
      <c r="G9" s="15">
        <f t="shared" si="0"/>
        <v>151.5322033898305</v>
      </c>
      <c r="H9" s="29">
        <f t="shared" si="1"/>
        <v>1.7840836526181354</v>
      </c>
      <c r="I9" s="1"/>
    </row>
    <row r="10" spans="1:9" ht="15.75" customHeight="1" x14ac:dyDescent="0.15">
      <c r="A10" s="3">
        <v>9</v>
      </c>
      <c r="B10" s="3">
        <f>SUMIF('Instagram Ads Performance Metri'!B:B,A10,'Instagram Ads Performance Metri'!C:C)</f>
        <v>1486196</v>
      </c>
      <c r="C10" s="3">
        <f>SUMIF('Instagram Ads Performance Metri'!B:B,A10,'Instagram Ads Performance Metri'!E:E)</f>
        <v>28665</v>
      </c>
      <c r="D10" s="15">
        <f>SUMIF('Instagram Ads Performance Metri'!B:B,A10,'Instagram Ads Performance Metri'!H:H)</f>
        <v>43521</v>
      </c>
      <c r="E10" s="3">
        <f>SUMIF('Instagram Ads Performance Metri'!B:B,A10,'Instagram Ads Performance Metri'!J:J)</f>
        <v>551</v>
      </c>
      <c r="F10" s="15">
        <f>SUMIF('Instagram Ads Performance Metri'!B:B,A10,'Instagram Ads Performance Metri'!L:L)</f>
        <v>87196</v>
      </c>
      <c r="G10" s="15">
        <f t="shared" si="0"/>
        <v>158.25045372050818</v>
      </c>
      <c r="H10" s="29">
        <f t="shared" si="1"/>
        <v>2.0035385216332346</v>
      </c>
      <c r="I10" s="1"/>
    </row>
    <row r="11" spans="1:9" ht="15.75" customHeight="1" x14ac:dyDescent="0.15">
      <c r="A11" s="3">
        <v>10</v>
      </c>
      <c r="B11" s="3">
        <f>SUMIF('Instagram Ads Performance Metri'!B:B,A11,'Instagram Ads Performance Metri'!C:C)</f>
        <v>1780444</v>
      </c>
      <c r="C11" s="3">
        <f>SUMIF('Instagram Ads Performance Metri'!B:B,A11,'Instagram Ads Performance Metri'!E:E)</f>
        <v>36765</v>
      </c>
      <c r="D11" s="15">
        <f>SUMIF('Instagram Ads Performance Metri'!B:B,A11,'Instagram Ads Performance Metri'!H:H)</f>
        <v>49918</v>
      </c>
      <c r="E11" s="3">
        <f>SUMIF('Instagram Ads Performance Metri'!B:B,A11,'Instagram Ads Performance Metri'!J:J)</f>
        <v>714</v>
      </c>
      <c r="F11" s="15">
        <f>SUMIF('Instagram Ads Performance Metri'!B:B,A11,'Instagram Ads Performance Metri'!L:L)</f>
        <v>103574</v>
      </c>
      <c r="G11" s="15">
        <f t="shared" si="0"/>
        <v>145.06162464985994</v>
      </c>
      <c r="H11" s="29">
        <f t="shared" si="1"/>
        <v>2.0748828078048001</v>
      </c>
      <c r="I11" s="1"/>
    </row>
    <row r="12" spans="1:9" ht="15.75" customHeight="1" x14ac:dyDescent="0.15">
      <c r="A12" s="3">
        <v>11</v>
      </c>
      <c r="B12" s="3">
        <f>SUMIF('Instagram Ads Performance Metri'!B:B,A12,'Instagram Ads Performance Metri'!C:C)</f>
        <v>1567977</v>
      </c>
      <c r="C12" s="3">
        <f>SUMIF('Instagram Ads Performance Metri'!B:B,A12,'Instagram Ads Performance Metri'!E:E)</f>
        <v>31184</v>
      </c>
      <c r="D12" s="15">
        <f>SUMIF('Instagram Ads Performance Metri'!B:B,A12,'Instagram Ads Performance Metri'!H:H)</f>
        <v>42580</v>
      </c>
      <c r="E12" s="3">
        <f>SUMIF('Instagram Ads Performance Metri'!B:B,A12,'Instagram Ads Performance Metri'!J:J)</f>
        <v>567</v>
      </c>
      <c r="F12" s="15">
        <f>SUMIF('Instagram Ads Performance Metri'!B:B,A12,'Instagram Ads Performance Metri'!L:L)</f>
        <v>88344</v>
      </c>
      <c r="G12" s="15">
        <f t="shared" si="0"/>
        <v>155.8095238095238</v>
      </c>
      <c r="H12" s="29">
        <f t="shared" si="1"/>
        <v>2.0747768905589479</v>
      </c>
      <c r="I12" s="1"/>
    </row>
    <row r="13" spans="1:9" ht="15.75" customHeight="1" x14ac:dyDescent="0.15">
      <c r="A13" s="3">
        <v>12</v>
      </c>
      <c r="B13" s="3">
        <f>SUMIF('Instagram Ads Performance Metri'!B:B,A13,'Instagram Ads Performance Metri'!C:C)</f>
        <v>2294197</v>
      </c>
      <c r="C13" s="3">
        <f>SUMIF('Instagram Ads Performance Metri'!B:B,A13,'Instagram Ads Performance Metri'!E:E)</f>
        <v>47640</v>
      </c>
      <c r="D13" s="15">
        <f>SUMIF('Instagram Ads Performance Metri'!B:B,A13,'Instagram Ads Performance Metri'!H:H)</f>
        <v>69955</v>
      </c>
      <c r="E13" s="3">
        <f>SUMIF('Instagram Ads Performance Metri'!B:B,A13,'Instagram Ads Performance Metri'!J:J)</f>
        <v>830</v>
      </c>
      <c r="F13" s="15">
        <f>SUMIF('Instagram Ads Performance Metri'!B:B,A13,'Instagram Ads Performance Metri'!L:L)</f>
        <v>133509</v>
      </c>
      <c r="G13" s="15">
        <f t="shared" si="0"/>
        <v>160.85421686746989</v>
      </c>
      <c r="H13" s="29">
        <f t="shared" si="1"/>
        <v>1.9084983203487957</v>
      </c>
      <c r="I13" s="1"/>
    </row>
    <row r="14" spans="1:9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3"/>
  <sheetViews>
    <sheetView showGridLines="0" workbookViewId="0"/>
  </sheetViews>
  <sheetFormatPr baseColWidth="10" defaultColWidth="12.6640625" defaultRowHeight="15.75" customHeight="1" x14ac:dyDescent="0.15"/>
  <cols>
    <col min="2" max="2" width="23.1640625" customWidth="1"/>
    <col min="3" max="3" width="13.6640625" customWidth="1"/>
    <col min="4" max="4" width="23" customWidth="1"/>
    <col min="5" max="5" width="16.1640625" customWidth="1"/>
    <col min="6" max="6" width="23" customWidth="1"/>
    <col min="7" max="11" width="27.5" customWidth="1"/>
    <col min="12" max="12" width="16.1640625" customWidth="1"/>
  </cols>
  <sheetData>
    <row r="1" spans="1:26" ht="15.75" customHeight="1" x14ac:dyDescent="0.15">
      <c r="A1" s="28" t="s">
        <v>17</v>
      </c>
      <c r="B1" s="30" t="s">
        <v>1</v>
      </c>
      <c r="C1" s="30" t="s">
        <v>2</v>
      </c>
      <c r="D1" s="28" t="s">
        <v>10</v>
      </c>
      <c r="E1" s="30" t="s">
        <v>4</v>
      </c>
      <c r="F1" s="28" t="s">
        <v>13</v>
      </c>
      <c r="G1" s="31" t="s">
        <v>16</v>
      </c>
      <c r="H1" s="28" t="s">
        <v>14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15">
      <c r="A2" s="32"/>
      <c r="B2" s="33" t="s">
        <v>60</v>
      </c>
      <c r="C2" s="34"/>
      <c r="D2" s="34"/>
      <c r="E2" s="34"/>
      <c r="F2" s="34"/>
      <c r="G2" s="34"/>
      <c r="H2" s="35"/>
      <c r="J2" s="20"/>
      <c r="L2" s="20"/>
      <c r="M2" s="20"/>
    </row>
    <row r="3" spans="1:26" ht="15.75" customHeight="1" x14ac:dyDescent="0.15">
      <c r="A3" s="33" t="s">
        <v>6</v>
      </c>
      <c r="B3" s="32" t="s">
        <v>18</v>
      </c>
      <c r="C3" s="36" t="s">
        <v>19</v>
      </c>
      <c r="D3" s="36" t="s">
        <v>20</v>
      </c>
      <c r="E3" s="36" t="s">
        <v>21</v>
      </c>
      <c r="F3" s="36" t="s">
        <v>22</v>
      </c>
      <c r="G3" s="36" t="s">
        <v>23</v>
      </c>
      <c r="H3" s="37" t="s">
        <v>61</v>
      </c>
      <c r="J3" s="20"/>
      <c r="L3" s="25"/>
      <c r="M3" s="25"/>
    </row>
    <row r="4" spans="1:26" ht="15.75" customHeight="1" x14ac:dyDescent="0.15">
      <c r="A4" s="32">
        <v>1</v>
      </c>
      <c r="B4" s="38">
        <v>1720107</v>
      </c>
      <c r="C4" s="39">
        <v>32172</v>
      </c>
      <c r="D4" s="39">
        <v>48783</v>
      </c>
      <c r="E4" s="39">
        <v>599</v>
      </c>
      <c r="F4" s="39">
        <v>99008</v>
      </c>
      <c r="G4" s="39">
        <v>167.82408844262491</v>
      </c>
      <c r="H4" s="40">
        <v>2.0295594776868993</v>
      </c>
      <c r="J4" s="20"/>
      <c r="L4" s="25"/>
      <c r="M4" s="25"/>
    </row>
    <row r="5" spans="1:26" ht="15.75" customHeight="1" x14ac:dyDescent="0.15">
      <c r="A5" s="41">
        <v>2</v>
      </c>
      <c r="B5" s="42">
        <v>1557121</v>
      </c>
      <c r="C5" s="43">
        <v>31502</v>
      </c>
      <c r="D5" s="43">
        <v>47406</v>
      </c>
      <c r="E5" s="43">
        <v>546</v>
      </c>
      <c r="F5" s="43">
        <v>92767</v>
      </c>
      <c r="G5" s="43">
        <v>169.67084699172008</v>
      </c>
      <c r="H5" s="44">
        <v>1.9568620005906425</v>
      </c>
      <c r="J5" s="20"/>
      <c r="L5" s="25"/>
      <c r="M5" s="25"/>
    </row>
    <row r="6" spans="1:26" ht="15.75" customHeight="1" x14ac:dyDescent="0.15">
      <c r="A6" s="41">
        <v>3</v>
      </c>
      <c r="B6" s="42">
        <v>1570479</v>
      </c>
      <c r="C6" s="43">
        <v>31937</v>
      </c>
      <c r="D6" s="43">
        <v>45220</v>
      </c>
      <c r="E6" s="43">
        <v>610</v>
      </c>
      <c r="F6" s="43">
        <v>91252</v>
      </c>
      <c r="G6" s="43">
        <v>153.04982895521647</v>
      </c>
      <c r="H6" s="44">
        <v>2.0179566563467493</v>
      </c>
      <c r="J6" s="20"/>
      <c r="L6" s="25"/>
      <c r="M6" s="25"/>
    </row>
    <row r="7" spans="1:26" ht="15.75" customHeight="1" x14ac:dyDescent="0.15">
      <c r="A7" s="41">
        <v>4</v>
      </c>
      <c r="B7" s="42">
        <v>1921842</v>
      </c>
      <c r="C7" s="43">
        <v>37631</v>
      </c>
      <c r="D7" s="43">
        <v>59285</v>
      </c>
      <c r="E7" s="43">
        <v>717</v>
      </c>
      <c r="F7" s="43">
        <v>112373</v>
      </c>
      <c r="G7" s="43">
        <v>153.41827167398972</v>
      </c>
      <c r="H7" s="44">
        <v>1.895471029771443</v>
      </c>
      <c r="J7" s="20"/>
      <c r="L7" s="25"/>
      <c r="M7" s="25"/>
    </row>
    <row r="8" spans="1:26" ht="15.75" customHeight="1" x14ac:dyDescent="0.15">
      <c r="A8" s="41">
        <v>5</v>
      </c>
      <c r="B8" s="42">
        <v>1828461</v>
      </c>
      <c r="C8" s="43">
        <v>36388</v>
      </c>
      <c r="D8" s="43">
        <v>57348</v>
      </c>
      <c r="E8" s="43">
        <v>702</v>
      </c>
      <c r="F8" s="43">
        <v>106927</v>
      </c>
      <c r="G8" s="43">
        <v>150.86218867587991</v>
      </c>
      <c r="H8" s="44">
        <v>1.8645288414591616</v>
      </c>
      <c r="J8" s="20"/>
      <c r="L8" s="25"/>
      <c r="M8" s="25"/>
    </row>
    <row r="9" spans="1:26" ht="15.75" customHeight="1" x14ac:dyDescent="0.15">
      <c r="A9" s="41">
        <v>6</v>
      </c>
      <c r="B9" s="42">
        <v>1704404</v>
      </c>
      <c r="C9" s="43">
        <v>36581</v>
      </c>
      <c r="D9" s="43">
        <v>56754</v>
      </c>
      <c r="E9" s="43">
        <v>716</v>
      </c>
      <c r="F9" s="43">
        <v>113329</v>
      </c>
      <c r="G9" s="43">
        <v>161.35832306904732</v>
      </c>
      <c r="H9" s="44">
        <v>1.9968460372837158</v>
      </c>
      <c r="J9" s="20"/>
      <c r="L9" s="25"/>
      <c r="M9" s="25"/>
    </row>
    <row r="10" spans="1:26" ht="15.75" customHeight="1" x14ac:dyDescent="0.15">
      <c r="A10" s="41">
        <v>7</v>
      </c>
      <c r="B10" s="42">
        <v>1631972</v>
      </c>
      <c r="C10" s="43">
        <v>35440</v>
      </c>
      <c r="D10" s="43">
        <v>54023</v>
      </c>
      <c r="E10" s="43">
        <v>635</v>
      </c>
      <c r="F10" s="43">
        <v>95572</v>
      </c>
      <c r="G10" s="43">
        <v>151.85947147787988</v>
      </c>
      <c r="H10" s="44">
        <v>1.7690983470003516</v>
      </c>
      <c r="J10" s="20"/>
      <c r="L10" s="25"/>
      <c r="M10" s="25"/>
    </row>
    <row r="11" spans="1:26" ht="15.75" customHeight="1" x14ac:dyDescent="0.15">
      <c r="A11" s="41">
        <v>8</v>
      </c>
      <c r="B11" s="42">
        <v>1673314</v>
      </c>
      <c r="C11" s="43">
        <v>32435</v>
      </c>
      <c r="D11" s="43">
        <v>50112</v>
      </c>
      <c r="E11" s="43">
        <v>590</v>
      </c>
      <c r="F11" s="43">
        <v>89404</v>
      </c>
      <c r="G11" s="43">
        <v>151.93536500742135</v>
      </c>
      <c r="H11" s="44">
        <v>1.7840836526181354</v>
      </c>
      <c r="J11" s="20"/>
      <c r="L11" s="25"/>
      <c r="M11" s="25"/>
    </row>
    <row r="12" spans="1:26" ht="15.75" customHeight="1" x14ac:dyDescent="0.15">
      <c r="A12" s="41">
        <v>9</v>
      </c>
      <c r="B12" s="42">
        <v>1486196</v>
      </c>
      <c r="C12" s="43">
        <v>28665</v>
      </c>
      <c r="D12" s="43">
        <v>43521</v>
      </c>
      <c r="E12" s="43">
        <v>551</v>
      </c>
      <c r="F12" s="43">
        <v>87196</v>
      </c>
      <c r="G12" s="43">
        <v>160.68103882143757</v>
      </c>
      <c r="H12" s="44">
        <v>2.0035385216332346</v>
      </c>
      <c r="J12" s="20"/>
      <c r="L12" s="25"/>
      <c r="M12" s="25"/>
    </row>
    <row r="13" spans="1:26" ht="15.75" customHeight="1" x14ac:dyDescent="0.15">
      <c r="A13" s="41">
        <v>10</v>
      </c>
      <c r="B13" s="42">
        <v>1780444</v>
      </c>
      <c r="C13" s="43">
        <v>36765</v>
      </c>
      <c r="D13" s="43">
        <v>49918</v>
      </c>
      <c r="E13" s="43">
        <v>714</v>
      </c>
      <c r="F13" s="43">
        <v>103574</v>
      </c>
      <c r="G13" s="43">
        <v>151.76561423706534</v>
      </c>
      <c r="H13" s="44">
        <v>2.0748828078048001</v>
      </c>
      <c r="J13" s="20"/>
      <c r="L13" s="25"/>
      <c r="M13" s="25"/>
    </row>
    <row r="14" spans="1:26" ht="15.75" customHeight="1" x14ac:dyDescent="0.15">
      <c r="A14" s="41">
        <v>11</v>
      </c>
      <c r="B14" s="42">
        <v>1567977</v>
      </c>
      <c r="C14" s="43">
        <v>31184</v>
      </c>
      <c r="D14" s="43">
        <v>42580</v>
      </c>
      <c r="E14" s="43">
        <v>567</v>
      </c>
      <c r="F14" s="43">
        <v>88344</v>
      </c>
      <c r="G14" s="43">
        <v>159.74063086654377</v>
      </c>
      <c r="H14" s="44">
        <v>2.0747768905589479</v>
      </c>
      <c r="J14" s="20"/>
      <c r="L14" s="25"/>
      <c r="M14" s="25"/>
    </row>
    <row r="15" spans="1:26" ht="15.75" customHeight="1" x14ac:dyDescent="0.15">
      <c r="A15" s="41">
        <v>12</v>
      </c>
      <c r="B15" s="42">
        <v>2294197</v>
      </c>
      <c r="C15" s="43">
        <v>47640</v>
      </c>
      <c r="D15" s="43">
        <v>69955</v>
      </c>
      <c r="E15" s="43">
        <v>830</v>
      </c>
      <c r="F15" s="43">
        <v>133509</v>
      </c>
      <c r="G15" s="43">
        <v>164.29153981924611</v>
      </c>
      <c r="H15" s="44">
        <v>1.9084983203487957</v>
      </c>
      <c r="J15" s="20"/>
      <c r="K15" s="9"/>
      <c r="L15" s="25"/>
      <c r="M15" s="25"/>
    </row>
    <row r="16" spans="1:26" ht="15.75" customHeight="1" x14ac:dyDescent="0.15">
      <c r="A16" s="45" t="s">
        <v>25</v>
      </c>
      <c r="B16" s="46">
        <v>20736514</v>
      </c>
      <c r="C16" s="47">
        <v>418340</v>
      </c>
      <c r="D16" s="47">
        <v>624905</v>
      </c>
      <c r="E16" s="47">
        <v>7777</v>
      </c>
      <c r="F16" s="47">
        <v>1213255</v>
      </c>
      <c r="G16" s="47">
        <v>157.9341442295181</v>
      </c>
      <c r="H16" s="48">
        <v>1.9415031084724879</v>
      </c>
      <c r="J16" s="20"/>
      <c r="L16" s="20"/>
      <c r="M16" s="20"/>
    </row>
    <row r="17" spans="1:13" ht="15.75" customHeight="1" x14ac:dyDescent="0.15">
      <c r="B17" s="25"/>
      <c r="C17" s="25"/>
      <c r="E17" s="25"/>
      <c r="J17" s="20"/>
      <c r="L17" s="20"/>
      <c r="M17" s="20"/>
    </row>
    <row r="18" spans="1:13" ht="15.75" customHeight="1" x14ac:dyDescent="0.15">
      <c r="B18" s="25"/>
      <c r="C18" s="25"/>
      <c r="D18" s="9"/>
      <c r="E18" s="25"/>
      <c r="J18" s="20"/>
      <c r="L18" s="20"/>
      <c r="M18" s="20"/>
    </row>
    <row r="19" spans="1:13" ht="15.75" customHeight="1" x14ac:dyDescent="0.15">
      <c r="B19" s="25"/>
      <c r="C19" s="25"/>
      <c r="E19" s="25"/>
      <c r="J19" s="20"/>
      <c r="L19" s="20"/>
      <c r="M19" s="20"/>
    </row>
    <row r="20" spans="1:13" ht="15.75" customHeight="1" x14ac:dyDescent="0.15">
      <c r="A20" s="6" t="s">
        <v>26</v>
      </c>
      <c r="B20" s="30" t="s">
        <v>1</v>
      </c>
      <c r="C20" s="30" t="s">
        <v>2</v>
      </c>
      <c r="D20" s="28" t="s">
        <v>10</v>
      </c>
      <c r="E20" s="30" t="s">
        <v>4</v>
      </c>
      <c r="F20" s="28" t="s">
        <v>13</v>
      </c>
      <c r="G20" s="31" t="s">
        <v>16</v>
      </c>
      <c r="H20" s="28" t="s">
        <v>14</v>
      </c>
      <c r="I20" s="6"/>
      <c r="J20" s="6"/>
      <c r="L20" s="20"/>
      <c r="M20" s="20"/>
    </row>
    <row r="21" spans="1:13" ht="15.75" customHeight="1" x14ac:dyDescent="0.15">
      <c r="A21" s="8" t="s">
        <v>6</v>
      </c>
      <c r="B21" s="25" t="s">
        <v>18</v>
      </c>
      <c r="C21" s="25" t="s">
        <v>19</v>
      </c>
      <c r="D21" s="8" t="s">
        <v>20</v>
      </c>
      <c r="E21" s="25" t="s">
        <v>21</v>
      </c>
      <c r="F21" s="8" t="s">
        <v>22</v>
      </c>
      <c r="G21" s="8" t="s">
        <v>27</v>
      </c>
      <c r="H21" s="8" t="s">
        <v>24</v>
      </c>
      <c r="J21" s="20"/>
      <c r="L21" s="20"/>
      <c r="M21" s="20"/>
    </row>
    <row r="22" spans="1:13" ht="15.75" customHeight="1" x14ac:dyDescent="0.15">
      <c r="A22" s="8">
        <v>1</v>
      </c>
      <c r="B22" s="25">
        <v>2112620</v>
      </c>
      <c r="C22" s="25">
        <v>41019</v>
      </c>
      <c r="D22" s="19">
        <v>40140</v>
      </c>
      <c r="E22" s="25">
        <v>739</v>
      </c>
      <c r="F22" s="19">
        <v>124409</v>
      </c>
      <c r="G22" s="9">
        <v>168.34776725304465</v>
      </c>
      <c r="H22" s="25">
        <v>3.0993771798704532</v>
      </c>
      <c r="J22" s="9"/>
      <c r="L22" s="20"/>
      <c r="M22" s="20"/>
    </row>
    <row r="23" spans="1:13" ht="15.75" customHeight="1" x14ac:dyDescent="0.15">
      <c r="A23" s="8">
        <v>2</v>
      </c>
      <c r="B23" s="25">
        <v>1949003</v>
      </c>
      <c r="C23" s="25">
        <v>39714</v>
      </c>
      <c r="D23" s="19">
        <v>37924</v>
      </c>
      <c r="E23" s="25">
        <v>675</v>
      </c>
      <c r="F23" s="19">
        <v>113330</v>
      </c>
      <c r="G23" s="9">
        <v>167.8962962962963</v>
      </c>
      <c r="H23" s="25">
        <v>2.9883451112751818</v>
      </c>
      <c r="J23" s="9"/>
      <c r="L23" s="20"/>
      <c r="M23" s="20"/>
    </row>
    <row r="24" spans="1:13" ht="15.75" customHeight="1" x14ac:dyDescent="0.15">
      <c r="A24" s="8">
        <v>3</v>
      </c>
      <c r="B24" s="25">
        <v>1893765</v>
      </c>
      <c r="C24" s="25">
        <v>39636</v>
      </c>
      <c r="D24" s="19">
        <v>37093</v>
      </c>
      <c r="E24" s="25">
        <v>745</v>
      </c>
      <c r="F24" s="19">
        <v>116041</v>
      </c>
      <c r="G24" s="9">
        <v>155.75973154362416</v>
      </c>
      <c r="H24" s="25">
        <v>3.1283800177931145</v>
      </c>
      <c r="J24" s="9"/>
      <c r="L24" s="20"/>
      <c r="M24" s="20"/>
    </row>
    <row r="25" spans="1:13" ht="15.75" customHeight="1" x14ac:dyDescent="0.15">
      <c r="A25" s="8">
        <v>4</v>
      </c>
      <c r="B25" s="25">
        <v>2282519</v>
      </c>
      <c r="C25" s="25">
        <v>47400</v>
      </c>
      <c r="D25" s="19">
        <v>47533</v>
      </c>
      <c r="E25" s="25">
        <v>887</v>
      </c>
      <c r="F25" s="19">
        <v>138187</v>
      </c>
      <c r="G25" s="9">
        <v>155.79143179255919</v>
      </c>
      <c r="H25" s="25">
        <v>2.907180274756485</v>
      </c>
      <c r="J25" s="9"/>
      <c r="L25" s="20"/>
      <c r="M25" s="20"/>
    </row>
    <row r="26" spans="1:13" ht="15.75" customHeight="1" x14ac:dyDescent="0.15">
      <c r="A26" s="8">
        <v>5</v>
      </c>
      <c r="B26" s="25">
        <v>2165819</v>
      </c>
      <c r="C26" s="25">
        <v>44964</v>
      </c>
      <c r="D26" s="19">
        <v>46113</v>
      </c>
      <c r="E26" s="25">
        <v>868</v>
      </c>
      <c r="F26" s="19">
        <v>131777</v>
      </c>
      <c r="G26" s="9">
        <v>151.81682027649771</v>
      </c>
      <c r="H26" s="25">
        <v>2.8576973955283758</v>
      </c>
      <c r="J26" s="9"/>
      <c r="L26" s="20"/>
      <c r="M26" s="20"/>
    </row>
    <row r="27" spans="1:13" ht="15.75" customHeight="1" x14ac:dyDescent="0.15">
      <c r="A27" s="8">
        <v>6</v>
      </c>
      <c r="B27" s="25">
        <v>2051995</v>
      </c>
      <c r="C27" s="25">
        <v>46469</v>
      </c>
      <c r="D27" s="19">
        <v>45535</v>
      </c>
      <c r="E27" s="25">
        <v>867</v>
      </c>
      <c r="F27" s="19">
        <v>136097</v>
      </c>
      <c r="G27" s="9">
        <v>156.97462514417532</v>
      </c>
      <c r="H27" s="25">
        <v>2.9888437465685738</v>
      </c>
      <c r="J27" s="9"/>
      <c r="L27" s="20"/>
      <c r="M27" s="20"/>
    </row>
    <row r="28" spans="1:13" ht="15.75" customHeight="1" x14ac:dyDescent="0.15">
      <c r="A28" s="8">
        <v>7</v>
      </c>
      <c r="B28" s="25">
        <v>2321236</v>
      </c>
      <c r="C28" s="25">
        <v>52304</v>
      </c>
      <c r="D28" s="19">
        <v>45540</v>
      </c>
      <c r="E28" s="25">
        <v>909</v>
      </c>
      <c r="F28" s="19">
        <v>142209</v>
      </c>
      <c r="G28" s="9">
        <v>156.44554455445544</v>
      </c>
      <c r="H28" s="25">
        <v>3.1227272727272726</v>
      </c>
      <c r="J28" s="9"/>
      <c r="L28" s="20"/>
      <c r="M28" s="20"/>
    </row>
    <row r="29" spans="1:13" ht="15.75" customHeight="1" x14ac:dyDescent="0.15">
      <c r="A29" s="8">
        <v>8</v>
      </c>
      <c r="B29" s="25">
        <v>2515056</v>
      </c>
      <c r="C29" s="25">
        <v>51908</v>
      </c>
      <c r="D29" s="19">
        <v>44106</v>
      </c>
      <c r="E29" s="25">
        <v>916</v>
      </c>
      <c r="F29" s="19">
        <v>140844</v>
      </c>
      <c r="G29" s="9">
        <v>153.75982532751092</v>
      </c>
      <c r="H29" s="25">
        <v>3.193307033056727</v>
      </c>
      <c r="J29" s="9"/>
      <c r="L29" s="20"/>
      <c r="M29" s="20"/>
    </row>
    <row r="30" spans="1:13" ht="15.75" customHeight="1" x14ac:dyDescent="0.15">
      <c r="A30" s="8">
        <v>9</v>
      </c>
      <c r="B30" s="25">
        <v>1846314</v>
      </c>
      <c r="C30" s="25">
        <v>36520</v>
      </c>
      <c r="D30" s="19">
        <v>35760</v>
      </c>
      <c r="E30" s="25">
        <v>682</v>
      </c>
      <c r="F30" s="19">
        <v>107590</v>
      </c>
      <c r="G30" s="9">
        <v>157.7565982404692</v>
      </c>
      <c r="H30" s="25">
        <v>3.008668903803132</v>
      </c>
      <c r="J30" s="9"/>
      <c r="L30" s="20"/>
      <c r="M30" s="20"/>
    </row>
    <row r="31" spans="1:13" ht="15.75" customHeight="1" x14ac:dyDescent="0.15">
      <c r="A31" s="8">
        <v>10</v>
      </c>
      <c r="B31" s="25">
        <v>2115203</v>
      </c>
      <c r="C31" s="25">
        <v>45029</v>
      </c>
      <c r="D31" s="19">
        <v>39690</v>
      </c>
      <c r="E31" s="25">
        <v>858</v>
      </c>
      <c r="F31" s="19">
        <v>127829</v>
      </c>
      <c r="G31" s="9">
        <v>148.9848484848485</v>
      </c>
      <c r="H31" s="25">
        <v>3.2206853111615015</v>
      </c>
      <c r="J31" s="9"/>
      <c r="L31" s="20"/>
      <c r="M31" s="20"/>
    </row>
    <row r="32" spans="1:13" ht="15.75" customHeight="1" x14ac:dyDescent="0.15">
      <c r="A32" s="8">
        <v>11</v>
      </c>
      <c r="B32" s="25">
        <v>1882573</v>
      </c>
      <c r="C32" s="25">
        <v>39000</v>
      </c>
      <c r="D32" s="19">
        <v>34809</v>
      </c>
      <c r="E32" s="25">
        <v>690</v>
      </c>
      <c r="F32" s="19">
        <v>111719</v>
      </c>
      <c r="G32" s="9">
        <v>161.91159420289856</v>
      </c>
      <c r="H32" s="25">
        <v>3.2094860524576978</v>
      </c>
      <c r="J32" s="9"/>
      <c r="L32" s="20"/>
      <c r="M32" s="20"/>
    </row>
    <row r="33" spans="1:13" ht="15.75" customHeight="1" x14ac:dyDescent="0.15">
      <c r="A33" s="8">
        <v>12</v>
      </c>
      <c r="B33" s="25">
        <v>1990299</v>
      </c>
      <c r="C33" s="25">
        <v>44011</v>
      </c>
      <c r="D33" s="19">
        <v>56662</v>
      </c>
      <c r="E33" s="25">
        <v>1034</v>
      </c>
      <c r="F33" s="19">
        <v>132858</v>
      </c>
      <c r="G33" s="9">
        <v>128.48936170212767</v>
      </c>
      <c r="H33" s="25">
        <v>2.3447460379090042</v>
      </c>
      <c r="J33" s="9"/>
      <c r="L33" s="20"/>
      <c r="M33" s="20"/>
    </row>
    <row r="34" spans="1:13" ht="15.75" customHeight="1" x14ac:dyDescent="0.15">
      <c r="A34" s="8" t="s">
        <v>25</v>
      </c>
      <c r="B34" s="25">
        <v>25126402</v>
      </c>
      <c r="C34" s="25">
        <v>527974</v>
      </c>
      <c r="D34" s="19">
        <v>510905</v>
      </c>
      <c r="E34" s="25">
        <v>9870</v>
      </c>
      <c r="F34" s="19">
        <v>1522890</v>
      </c>
      <c r="G34" s="9">
        <v>156.11848817350733</v>
      </c>
      <c r="H34" s="25">
        <v>2.980769418972216</v>
      </c>
      <c r="J34" s="9"/>
      <c r="L34" s="20"/>
      <c r="M34" s="20"/>
    </row>
    <row r="35" spans="1:13" ht="15.75" customHeight="1" x14ac:dyDescent="0.15">
      <c r="B35" s="25"/>
      <c r="C35" s="25"/>
      <c r="E35" s="25"/>
      <c r="J35" s="20"/>
      <c r="L35" s="20"/>
      <c r="M35" s="20"/>
    </row>
    <row r="36" spans="1:13" ht="15.75" customHeight="1" x14ac:dyDescent="0.15">
      <c r="B36" s="25"/>
      <c r="C36" s="25"/>
      <c r="E36" s="25"/>
      <c r="J36" s="20"/>
      <c r="L36" s="20"/>
      <c r="M36" s="20"/>
    </row>
    <row r="37" spans="1:13" ht="15.75" customHeight="1" x14ac:dyDescent="0.15">
      <c r="B37" s="25"/>
      <c r="C37" s="25"/>
      <c r="D37" s="8" t="e">
        <f t="array" aca="1" ref="D37" ca="1">_xludf.XLOOKUP(MAX(D22:D33),D22:D33,A22:A33)</f>
        <v>#NAME?</v>
      </c>
      <c r="E37" s="25"/>
      <c r="J37" s="20"/>
      <c r="L37" s="20"/>
      <c r="M37" s="20"/>
    </row>
    <row r="38" spans="1:13" ht="15.75" customHeight="1" x14ac:dyDescent="0.15">
      <c r="B38" s="25"/>
      <c r="C38" s="25"/>
      <c r="D38" s="8" t="e">
        <f t="array" aca="1" ref="D38" ca="1">_xludf.XLOOKUP(MAX(E22:E33),E22:E33,A22:A33)</f>
        <v>#NAME?</v>
      </c>
      <c r="E38" s="25"/>
      <c r="J38" s="20"/>
      <c r="L38" s="20"/>
      <c r="M38" s="20"/>
    </row>
    <row r="39" spans="1:13" ht="15.75" customHeight="1" x14ac:dyDescent="0.15">
      <c r="B39" s="25"/>
      <c r="C39" s="25"/>
      <c r="D39" s="8" t="e">
        <f t="array" aca="1" ref="D39" ca="1">_xludf.XLOOKUP(MAX(F22:F33),F22:F33,A22:A33)</f>
        <v>#NAME?</v>
      </c>
      <c r="E39" s="25"/>
      <c r="J39" s="20"/>
      <c r="L39" s="20"/>
      <c r="M39" s="20"/>
    </row>
    <row r="40" spans="1:13" ht="15.75" customHeight="1" x14ac:dyDescent="0.15">
      <c r="B40" s="25"/>
      <c r="C40" s="25"/>
      <c r="E40" s="25"/>
      <c r="J40" s="20"/>
      <c r="L40" s="20"/>
      <c r="M40" s="20"/>
    </row>
    <row r="41" spans="1:13" ht="15.75" customHeight="1" x14ac:dyDescent="0.15">
      <c r="B41" s="25"/>
      <c r="C41" s="25"/>
      <c r="E41" s="25"/>
      <c r="J41" s="20"/>
      <c r="L41" s="20"/>
      <c r="M41" s="20"/>
    </row>
    <row r="42" spans="1:13" ht="15.75" customHeight="1" x14ac:dyDescent="0.15">
      <c r="B42" s="25"/>
      <c r="C42" s="25"/>
      <c r="E42" s="25"/>
      <c r="J42" s="20"/>
      <c r="L42" s="20"/>
      <c r="M42" s="20"/>
    </row>
    <row r="43" spans="1:13" ht="15.75" customHeight="1" x14ac:dyDescent="0.15">
      <c r="B43" s="25"/>
      <c r="C43" s="25"/>
      <c r="E43" s="25"/>
      <c r="J43" s="20"/>
      <c r="L43" s="20"/>
      <c r="M43" s="20"/>
    </row>
    <row r="44" spans="1:13" ht="15.75" customHeight="1" x14ac:dyDescent="0.15">
      <c r="B44" s="25"/>
      <c r="C44" s="25"/>
      <c r="E44" s="25"/>
      <c r="J44" s="20"/>
      <c r="L44" s="20"/>
      <c r="M44" s="20"/>
    </row>
    <row r="45" spans="1:13" ht="13" x14ac:dyDescent="0.15">
      <c r="B45" s="25"/>
      <c r="C45" s="25"/>
      <c r="E45" s="25"/>
      <c r="J45" s="20"/>
      <c r="L45" s="20"/>
      <c r="M45" s="20"/>
    </row>
    <row r="46" spans="1:13" ht="13" x14ac:dyDescent="0.15">
      <c r="B46" s="25"/>
      <c r="C46" s="25"/>
      <c r="E46" s="25"/>
      <c r="J46" s="20"/>
      <c r="L46" s="20"/>
      <c r="M46" s="20"/>
    </row>
    <row r="47" spans="1:13" ht="13" x14ac:dyDescent="0.15">
      <c r="B47" s="25"/>
      <c r="C47" s="25"/>
      <c r="E47" s="25"/>
      <c r="J47" s="20"/>
      <c r="L47" s="20"/>
      <c r="M47" s="20"/>
    </row>
    <row r="48" spans="1:13" ht="13" x14ac:dyDescent="0.15">
      <c r="B48" s="25"/>
      <c r="C48" s="25"/>
      <c r="E48" s="25"/>
      <c r="J48" s="20"/>
      <c r="L48" s="20"/>
      <c r="M48" s="20"/>
    </row>
    <row r="49" spans="2:13" ht="13" x14ac:dyDescent="0.15">
      <c r="B49" s="25"/>
      <c r="C49" s="25"/>
      <c r="E49" s="25"/>
      <c r="J49" s="20"/>
      <c r="L49" s="20"/>
      <c r="M49" s="20"/>
    </row>
    <row r="50" spans="2:13" ht="13" x14ac:dyDescent="0.15">
      <c r="B50" s="25"/>
      <c r="C50" s="25"/>
      <c r="E50" s="25"/>
      <c r="J50" s="20"/>
      <c r="L50" s="20"/>
      <c r="M50" s="20"/>
    </row>
    <row r="51" spans="2:13" ht="13" x14ac:dyDescent="0.15">
      <c r="B51" s="25"/>
      <c r="C51" s="25"/>
      <c r="E51" s="25"/>
      <c r="J51" s="20"/>
      <c r="L51" s="20"/>
      <c r="M51" s="20"/>
    </row>
    <row r="52" spans="2:13" ht="13" x14ac:dyDescent="0.15">
      <c r="B52" s="25"/>
      <c r="C52" s="25"/>
      <c r="E52" s="25"/>
      <c r="J52" s="20"/>
      <c r="L52" s="20"/>
      <c r="M52" s="20"/>
    </row>
    <row r="53" spans="2:13" ht="13" x14ac:dyDescent="0.15">
      <c r="B53" s="25"/>
      <c r="C53" s="25"/>
      <c r="E53" s="25"/>
      <c r="J53" s="20"/>
      <c r="L53" s="20"/>
      <c r="M53" s="20"/>
    </row>
    <row r="54" spans="2:13" ht="13" x14ac:dyDescent="0.15">
      <c r="B54" s="25"/>
      <c r="C54" s="25"/>
      <c r="E54" s="25"/>
      <c r="J54" s="20"/>
      <c r="L54" s="20"/>
      <c r="M54" s="20"/>
    </row>
    <row r="55" spans="2:13" ht="13" x14ac:dyDescent="0.15">
      <c r="B55" s="25"/>
      <c r="C55" s="25"/>
      <c r="E55" s="25"/>
      <c r="J55" s="20"/>
      <c r="L55" s="20"/>
      <c r="M55" s="20"/>
    </row>
    <row r="56" spans="2:13" ht="13" x14ac:dyDescent="0.15">
      <c r="B56" s="25"/>
      <c r="C56" s="25"/>
      <c r="E56" s="25"/>
      <c r="J56" s="20"/>
      <c r="L56" s="20"/>
      <c r="M56" s="20"/>
    </row>
    <row r="57" spans="2:13" ht="13" x14ac:dyDescent="0.15">
      <c r="B57" s="25"/>
      <c r="C57" s="25"/>
      <c r="E57" s="25"/>
      <c r="J57" s="20"/>
      <c r="L57" s="20"/>
      <c r="M57" s="20"/>
    </row>
    <row r="58" spans="2:13" ht="13" x14ac:dyDescent="0.15">
      <c r="B58" s="25"/>
      <c r="C58" s="25"/>
      <c r="E58" s="25"/>
      <c r="J58" s="20"/>
      <c r="L58" s="20"/>
      <c r="M58" s="20"/>
    </row>
    <row r="59" spans="2:13" ht="13" x14ac:dyDescent="0.15">
      <c r="B59" s="25"/>
      <c r="C59" s="25"/>
      <c r="E59" s="25"/>
      <c r="J59" s="20"/>
      <c r="L59" s="20"/>
      <c r="M59" s="20"/>
    </row>
    <row r="60" spans="2:13" ht="13" x14ac:dyDescent="0.15">
      <c r="B60" s="25"/>
      <c r="C60" s="25"/>
      <c r="E60" s="25"/>
      <c r="J60" s="20"/>
      <c r="L60" s="20"/>
      <c r="M60" s="20"/>
    </row>
    <row r="61" spans="2:13" ht="13" x14ac:dyDescent="0.15">
      <c r="B61" s="25"/>
      <c r="C61" s="25"/>
      <c r="E61" s="25"/>
      <c r="J61" s="20"/>
      <c r="L61" s="20"/>
      <c r="M61" s="20"/>
    </row>
    <row r="62" spans="2:13" ht="13" x14ac:dyDescent="0.15">
      <c r="B62" s="25"/>
      <c r="C62" s="25"/>
      <c r="E62" s="25"/>
      <c r="J62" s="20"/>
      <c r="L62" s="20"/>
      <c r="M62" s="20"/>
    </row>
    <row r="63" spans="2:13" ht="13" x14ac:dyDescent="0.15">
      <c r="B63" s="25"/>
      <c r="C63" s="25"/>
      <c r="E63" s="25"/>
      <c r="J63" s="20"/>
      <c r="L63" s="20"/>
      <c r="M63" s="20"/>
    </row>
    <row r="64" spans="2:13" ht="13" x14ac:dyDescent="0.15">
      <c r="B64" s="25"/>
      <c r="C64" s="25"/>
      <c r="E64" s="25"/>
      <c r="J64" s="20"/>
      <c r="L64" s="20"/>
      <c r="M64" s="20"/>
    </row>
    <row r="65" spans="2:13" ht="13" x14ac:dyDescent="0.15">
      <c r="B65" s="25"/>
      <c r="C65" s="25"/>
      <c r="E65" s="25"/>
      <c r="J65" s="20"/>
      <c r="L65" s="20"/>
      <c r="M65" s="20"/>
    </row>
    <row r="66" spans="2:13" ht="13" x14ac:dyDescent="0.15">
      <c r="B66" s="25"/>
      <c r="C66" s="25"/>
      <c r="E66" s="25"/>
      <c r="J66" s="20"/>
      <c r="L66" s="20"/>
      <c r="M66" s="20"/>
    </row>
    <row r="67" spans="2:13" ht="13" x14ac:dyDescent="0.15">
      <c r="B67" s="25"/>
      <c r="C67" s="25"/>
      <c r="E67" s="25"/>
      <c r="J67" s="20"/>
      <c r="L67" s="20"/>
      <c r="M67" s="20"/>
    </row>
    <row r="68" spans="2:13" ht="13" x14ac:dyDescent="0.15">
      <c r="B68" s="25"/>
      <c r="C68" s="25"/>
      <c r="E68" s="25"/>
      <c r="J68" s="20"/>
      <c r="L68" s="20"/>
      <c r="M68" s="20"/>
    </row>
    <row r="69" spans="2:13" ht="13" x14ac:dyDescent="0.15">
      <c r="B69" s="25"/>
      <c r="C69" s="25"/>
      <c r="E69" s="25"/>
      <c r="J69" s="20"/>
      <c r="L69" s="20"/>
      <c r="M69" s="20"/>
    </row>
    <row r="70" spans="2:13" ht="13" x14ac:dyDescent="0.15">
      <c r="B70" s="25"/>
      <c r="C70" s="25"/>
      <c r="E70" s="25"/>
      <c r="J70" s="20"/>
      <c r="L70" s="20"/>
      <c r="M70" s="20"/>
    </row>
    <row r="71" spans="2:13" ht="13" x14ac:dyDescent="0.15">
      <c r="B71" s="25"/>
      <c r="C71" s="25"/>
      <c r="E71" s="25"/>
      <c r="J71" s="20"/>
      <c r="L71" s="20"/>
      <c r="M71" s="20"/>
    </row>
    <row r="72" spans="2:13" ht="13" x14ac:dyDescent="0.15">
      <c r="B72" s="25"/>
      <c r="C72" s="25"/>
      <c r="E72" s="25"/>
      <c r="J72" s="20"/>
      <c r="L72" s="20"/>
      <c r="M72" s="20"/>
    </row>
    <row r="73" spans="2:13" ht="13" x14ac:dyDescent="0.15">
      <c r="B73" s="25"/>
      <c r="C73" s="25"/>
      <c r="E73" s="25"/>
      <c r="J73" s="20"/>
      <c r="L73" s="20"/>
      <c r="M73" s="20"/>
    </row>
    <row r="74" spans="2:13" ht="13" x14ac:dyDescent="0.15">
      <c r="B74" s="25"/>
      <c r="C74" s="25"/>
      <c r="E74" s="25"/>
      <c r="J74" s="20"/>
      <c r="L74" s="20"/>
      <c r="M74" s="20"/>
    </row>
    <row r="75" spans="2:13" ht="13" x14ac:dyDescent="0.15">
      <c r="B75" s="25"/>
      <c r="C75" s="25"/>
      <c r="E75" s="25"/>
      <c r="J75" s="20"/>
      <c r="L75" s="20"/>
      <c r="M75" s="20"/>
    </row>
    <row r="76" spans="2:13" ht="13" x14ac:dyDescent="0.15">
      <c r="B76" s="25"/>
      <c r="C76" s="25"/>
      <c r="E76" s="25"/>
      <c r="J76" s="20"/>
      <c r="L76" s="20"/>
      <c r="M76" s="20"/>
    </row>
    <row r="77" spans="2:13" ht="13" x14ac:dyDescent="0.15">
      <c r="B77" s="25"/>
      <c r="C77" s="25"/>
      <c r="E77" s="25"/>
      <c r="J77" s="20"/>
      <c r="L77" s="20"/>
      <c r="M77" s="20"/>
    </row>
    <row r="78" spans="2:13" ht="13" x14ac:dyDescent="0.15">
      <c r="B78" s="25"/>
      <c r="C78" s="25"/>
      <c r="E78" s="25"/>
      <c r="J78" s="20"/>
      <c r="L78" s="20"/>
      <c r="M78" s="20"/>
    </row>
    <row r="79" spans="2:13" ht="13" x14ac:dyDescent="0.15">
      <c r="B79" s="25"/>
      <c r="C79" s="25"/>
      <c r="E79" s="25"/>
      <c r="J79" s="20"/>
      <c r="L79" s="20"/>
      <c r="M79" s="20"/>
    </row>
    <row r="80" spans="2:13" ht="13" x14ac:dyDescent="0.15">
      <c r="B80" s="25"/>
      <c r="C80" s="25"/>
      <c r="E80" s="25"/>
      <c r="J80" s="20"/>
      <c r="L80" s="20"/>
      <c r="M80" s="20"/>
    </row>
    <row r="81" spans="2:13" ht="13" x14ac:dyDescent="0.15">
      <c r="B81" s="25"/>
      <c r="C81" s="25"/>
      <c r="E81" s="25"/>
      <c r="J81" s="20"/>
      <c r="L81" s="20"/>
      <c r="M81" s="20"/>
    </row>
    <row r="82" spans="2:13" ht="13" x14ac:dyDescent="0.15">
      <c r="B82" s="25"/>
      <c r="C82" s="25"/>
      <c r="E82" s="25"/>
      <c r="J82" s="20"/>
      <c r="L82" s="20"/>
      <c r="M82" s="20"/>
    </row>
    <row r="83" spans="2:13" ht="13" x14ac:dyDescent="0.15">
      <c r="B83" s="25"/>
      <c r="C83" s="25"/>
      <c r="E83" s="25"/>
      <c r="J83" s="20"/>
      <c r="L83" s="20"/>
      <c r="M83" s="20"/>
    </row>
    <row r="84" spans="2:13" ht="13" x14ac:dyDescent="0.15">
      <c r="B84" s="25"/>
      <c r="C84" s="25"/>
      <c r="E84" s="25"/>
      <c r="J84" s="20"/>
      <c r="L84" s="20"/>
      <c r="M84" s="20"/>
    </row>
    <row r="85" spans="2:13" ht="13" x14ac:dyDescent="0.15">
      <c r="B85" s="25"/>
      <c r="C85" s="25"/>
      <c r="E85" s="25"/>
      <c r="J85" s="20"/>
      <c r="L85" s="20"/>
      <c r="M85" s="20"/>
    </row>
    <row r="86" spans="2:13" ht="13" x14ac:dyDescent="0.15">
      <c r="B86" s="25"/>
      <c r="C86" s="25"/>
      <c r="E86" s="25"/>
      <c r="J86" s="20"/>
      <c r="L86" s="20"/>
      <c r="M86" s="20"/>
    </row>
    <row r="87" spans="2:13" ht="13" x14ac:dyDescent="0.15">
      <c r="B87" s="25"/>
      <c r="C87" s="25"/>
      <c r="E87" s="25"/>
      <c r="J87" s="20"/>
      <c r="L87" s="20"/>
      <c r="M87" s="20"/>
    </row>
    <row r="88" spans="2:13" ht="13" x14ac:dyDescent="0.15">
      <c r="B88" s="25"/>
      <c r="C88" s="25"/>
      <c r="E88" s="25"/>
      <c r="J88" s="20"/>
      <c r="L88" s="20"/>
      <c r="M88" s="20"/>
    </row>
    <row r="89" spans="2:13" ht="13" x14ac:dyDescent="0.15">
      <c r="B89" s="25"/>
      <c r="C89" s="25"/>
      <c r="E89" s="25"/>
      <c r="J89" s="20"/>
      <c r="L89" s="20"/>
      <c r="M89" s="20"/>
    </row>
    <row r="90" spans="2:13" ht="13" x14ac:dyDescent="0.15">
      <c r="B90" s="25"/>
      <c r="C90" s="25"/>
      <c r="E90" s="25"/>
      <c r="J90" s="20"/>
      <c r="L90" s="20"/>
      <c r="M90" s="20"/>
    </row>
    <row r="91" spans="2:13" ht="13" x14ac:dyDescent="0.15">
      <c r="B91" s="25"/>
      <c r="C91" s="25"/>
      <c r="E91" s="25"/>
      <c r="J91" s="20"/>
      <c r="L91" s="20"/>
      <c r="M91" s="20"/>
    </row>
    <row r="92" spans="2:13" ht="13" x14ac:dyDescent="0.15">
      <c r="B92" s="25"/>
      <c r="C92" s="25"/>
      <c r="E92" s="25"/>
      <c r="J92" s="20"/>
      <c r="L92" s="20"/>
      <c r="M92" s="20"/>
    </row>
    <row r="93" spans="2:13" ht="13" x14ac:dyDescent="0.15">
      <c r="B93" s="25"/>
      <c r="C93" s="25"/>
      <c r="E93" s="25"/>
      <c r="J93" s="20"/>
      <c r="L93" s="20"/>
      <c r="M93" s="20"/>
    </row>
    <row r="94" spans="2:13" ht="13" x14ac:dyDescent="0.15">
      <c r="B94" s="25"/>
      <c r="C94" s="25"/>
      <c r="E94" s="25"/>
      <c r="J94" s="20"/>
      <c r="L94" s="20"/>
      <c r="M94" s="20"/>
    </row>
    <row r="95" spans="2:13" ht="13" x14ac:dyDescent="0.15">
      <c r="B95" s="25"/>
      <c r="C95" s="25"/>
      <c r="E95" s="25"/>
      <c r="J95" s="20"/>
      <c r="L95" s="20"/>
      <c r="M95" s="20"/>
    </row>
    <row r="96" spans="2:13" ht="13" x14ac:dyDescent="0.15">
      <c r="B96" s="25"/>
      <c r="C96" s="25"/>
      <c r="E96" s="25"/>
      <c r="J96" s="20"/>
      <c r="L96" s="20"/>
      <c r="M96" s="20"/>
    </row>
    <row r="97" spans="2:13" ht="13" x14ac:dyDescent="0.15">
      <c r="B97" s="25"/>
      <c r="C97" s="25"/>
      <c r="E97" s="25"/>
      <c r="J97" s="20"/>
      <c r="L97" s="20"/>
      <c r="M97" s="20"/>
    </row>
    <row r="98" spans="2:13" ht="13" x14ac:dyDescent="0.15">
      <c r="B98" s="25"/>
      <c r="C98" s="25"/>
      <c r="E98" s="25"/>
      <c r="J98" s="20"/>
      <c r="L98" s="20"/>
      <c r="M98" s="20"/>
    </row>
    <row r="99" spans="2:13" ht="13" x14ac:dyDescent="0.15">
      <c r="B99" s="25"/>
      <c r="C99" s="25"/>
      <c r="E99" s="25"/>
      <c r="J99" s="20"/>
      <c r="L99" s="20"/>
      <c r="M99" s="20"/>
    </row>
    <row r="100" spans="2:13" ht="13" x14ac:dyDescent="0.15">
      <c r="B100" s="25"/>
      <c r="C100" s="25"/>
      <c r="E100" s="25"/>
      <c r="J100" s="20"/>
      <c r="L100" s="20"/>
      <c r="M100" s="20"/>
    </row>
    <row r="101" spans="2:13" ht="13" x14ac:dyDescent="0.15">
      <c r="B101" s="25"/>
      <c r="C101" s="25"/>
      <c r="E101" s="25"/>
      <c r="J101" s="20"/>
      <c r="L101" s="20"/>
      <c r="M101" s="20"/>
    </row>
    <row r="102" spans="2:13" ht="13" x14ac:dyDescent="0.15">
      <c r="B102" s="25"/>
      <c r="C102" s="25"/>
      <c r="E102" s="25"/>
      <c r="J102" s="20"/>
      <c r="L102" s="20"/>
      <c r="M102" s="20"/>
    </row>
    <row r="103" spans="2:13" ht="13" x14ac:dyDescent="0.15">
      <c r="B103" s="25"/>
      <c r="C103" s="25"/>
      <c r="E103" s="25"/>
      <c r="J103" s="20"/>
      <c r="L103" s="20"/>
      <c r="M103" s="20"/>
    </row>
    <row r="104" spans="2:13" ht="13" x14ac:dyDescent="0.15">
      <c r="B104" s="25"/>
      <c r="C104" s="25"/>
      <c r="E104" s="25"/>
      <c r="J104" s="20"/>
      <c r="L104" s="20"/>
      <c r="M104" s="20"/>
    </row>
    <row r="105" spans="2:13" ht="13" x14ac:dyDescent="0.15">
      <c r="B105" s="25"/>
      <c r="C105" s="25"/>
      <c r="E105" s="25"/>
      <c r="J105" s="20"/>
      <c r="L105" s="20"/>
      <c r="M105" s="20"/>
    </row>
    <row r="106" spans="2:13" ht="13" x14ac:dyDescent="0.15">
      <c r="B106" s="25"/>
      <c r="C106" s="25"/>
      <c r="E106" s="25"/>
      <c r="J106" s="20"/>
      <c r="L106" s="20"/>
      <c r="M106" s="20"/>
    </row>
    <row r="107" spans="2:13" ht="13" x14ac:dyDescent="0.15">
      <c r="B107" s="25"/>
      <c r="C107" s="25"/>
      <c r="E107" s="25"/>
      <c r="J107" s="20"/>
      <c r="L107" s="20"/>
      <c r="M107" s="20"/>
    </row>
    <row r="108" spans="2:13" ht="13" x14ac:dyDescent="0.15">
      <c r="B108" s="25"/>
      <c r="C108" s="25"/>
      <c r="E108" s="25"/>
      <c r="J108" s="20"/>
      <c r="L108" s="20"/>
      <c r="M108" s="20"/>
    </row>
    <row r="109" spans="2:13" ht="13" x14ac:dyDescent="0.15">
      <c r="B109" s="25"/>
      <c r="C109" s="25"/>
      <c r="E109" s="25"/>
      <c r="J109" s="20"/>
      <c r="L109" s="20"/>
      <c r="M109" s="20"/>
    </row>
    <row r="110" spans="2:13" ht="13" x14ac:dyDescent="0.15">
      <c r="B110" s="25"/>
      <c r="C110" s="25"/>
      <c r="E110" s="25"/>
      <c r="J110" s="20"/>
      <c r="L110" s="20"/>
      <c r="M110" s="20"/>
    </row>
    <row r="111" spans="2:13" ht="13" x14ac:dyDescent="0.15">
      <c r="B111" s="25"/>
      <c r="C111" s="25"/>
      <c r="E111" s="25"/>
      <c r="J111" s="20"/>
      <c r="L111" s="20"/>
      <c r="M111" s="20"/>
    </row>
    <row r="112" spans="2:13" ht="13" x14ac:dyDescent="0.15">
      <c r="B112" s="25"/>
      <c r="C112" s="25"/>
      <c r="E112" s="25"/>
      <c r="J112" s="20"/>
      <c r="L112" s="20"/>
      <c r="M112" s="20"/>
    </row>
    <row r="113" spans="2:13" ht="13" x14ac:dyDescent="0.15">
      <c r="B113" s="25"/>
      <c r="C113" s="25"/>
      <c r="E113" s="25"/>
      <c r="J113" s="20"/>
      <c r="L113" s="20"/>
      <c r="M113" s="20"/>
    </row>
    <row r="114" spans="2:13" ht="13" x14ac:dyDescent="0.15">
      <c r="B114" s="25"/>
      <c r="C114" s="25"/>
      <c r="E114" s="25"/>
      <c r="J114" s="20"/>
      <c r="L114" s="20"/>
      <c r="M114" s="20"/>
    </row>
    <row r="115" spans="2:13" ht="13" x14ac:dyDescent="0.15">
      <c r="B115" s="25"/>
      <c r="C115" s="25"/>
      <c r="E115" s="25"/>
      <c r="J115" s="20"/>
      <c r="L115" s="20"/>
      <c r="M115" s="20"/>
    </row>
    <row r="116" spans="2:13" ht="13" x14ac:dyDescent="0.15">
      <c r="B116" s="25"/>
      <c r="C116" s="25"/>
      <c r="E116" s="25"/>
      <c r="J116" s="20"/>
      <c r="L116" s="20"/>
      <c r="M116" s="20"/>
    </row>
    <row r="117" spans="2:13" ht="13" x14ac:dyDescent="0.15">
      <c r="B117" s="25"/>
      <c r="C117" s="25"/>
      <c r="E117" s="25"/>
      <c r="J117" s="20"/>
      <c r="L117" s="20"/>
      <c r="M117" s="20"/>
    </row>
    <row r="118" spans="2:13" ht="13" x14ac:dyDescent="0.15">
      <c r="B118" s="25"/>
      <c r="C118" s="25"/>
      <c r="E118" s="25"/>
      <c r="J118" s="20"/>
      <c r="L118" s="20"/>
      <c r="M118" s="20"/>
    </row>
    <row r="119" spans="2:13" ht="13" x14ac:dyDescent="0.15">
      <c r="B119" s="25"/>
      <c r="C119" s="25"/>
      <c r="E119" s="25"/>
      <c r="J119" s="20"/>
      <c r="L119" s="20"/>
      <c r="M119" s="20"/>
    </row>
    <row r="120" spans="2:13" ht="13" x14ac:dyDescent="0.15">
      <c r="B120" s="25"/>
      <c r="C120" s="25"/>
      <c r="E120" s="25"/>
      <c r="J120" s="20"/>
      <c r="L120" s="20"/>
      <c r="M120" s="20"/>
    </row>
    <row r="121" spans="2:13" ht="13" x14ac:dyDescent="0.15">
      <c r="B121" s="25"/>
      <c r="C121" s="25"/>
      <c r="E121" s="25"/>
      <c r="J121" s="20"/>
      <c r="L121" s="20"/>
      <c r="M121" s="20"/>
    </row>
    <row r="122" spans="2:13" ht="13" x14ac:dyDescent="0.15">
      <c r="B122" s="25"/>
      <c r="C122" s="25"/>
      <c r="E122" s="25"/>
      <c r="J122" s="20"/>
      <c r="L122" s="20"/>
      <c r="M122" s="20"/>
    </row>
    <row r="123" spans="2:13" ht="13" x14ac:dyDescent="0.15">
      <c r="B123" s="25"/>
      <c r="C123" s="25"/>
      <c r="E123" s="25"/>
      <c r="J123" s="20"/>
      <c r="L123" s="20"/>
      <c r="M123" s="20"/>
    </row>
    <row r="124" spans="2:13" ht="13" x14ac:dyDescent="0.15">
      <c r="B124" s="25"/>
      <c r="C124" s="25"/>
      <c r="E124" s="25"/>
      <c r="J124" s="20"/>
      <c r="L124" s="20"/>
      <c r="M124" s="20"/>
    </row>
    <row r="125" spans="2:13" ht="13" x14ac:dyDescent="0.15">
      <c r="B125" s="25"/>
      <c r="C125" s="25"/>
      <c r="E125" s="25"/>
      <c r="J125" s="20"/>
      <c r="L125" s="20"/>
      <c r="M125" s="20"/>
    </row>
    <row r="126" spans="2:13" ht="13" x14ac:dyDescent="0.15">
      <c r="B126" s="25"/>
      <c r="C126" s="25"/>
      <c r="E126" s="25"/>
      <c r="J126" s="20"/>
      <c r="L126" s="20"/>
      <c r="M126" s="20"/>
    </row>
    <row r="127" spans="2:13" ht="13" x14ac:dyDescent="0.15">
      <c r="B127" s="25"/>
      <c r="C127" s="25"/>
      <c r="E127" s="25"/>
      <c r="J127" s="20"/>
      <c r="L127" s="20"/>
      <c r="M127" s="20"/>
    </row>
    <row r="128" spans="2:13" ht="13" x14ac:dyDescent="0.15">
      <c r="B128" s="25"/>
      <c r="C128" s="25"/>
      <c r="E128" s="25"/>
      <c r="J128" s="20"/>
      <c r="L128" s="20"/>
      <c r="M128" s="20"/>
    </row>
    <row r="129" spans="2:13" ht="13" x14ac:dyDescent="0.15">
      <c r="B129" s="25"/>
      <c r="C129" s="25"/>
      <c r="E129" s="25"/>
      <c r="J129" s="20"/>
      <c r="L129" s="20"/>
      <c r="M129" s="20"/>
    </row>
    <row r="130" spans="2:13" ht="13" x14ac:dyDescent="0.15">
      <c r="B130" s="25"/>
      <c r="C130" s="25"/>
      <c r="E130" s="25"/>
      <c r="J130" s="20"/>
      <c r="L130" s="20"/>
      <c r="M130" s="20"/>
    </row>
    <row r="131" spans="2:13" ht="13" x14ac:dyDescent="0.15">
      <c r="B131" s="25"/>
      <c r="C131" s="25"/>
      <c r="E131" s="25"/>
      <c r="J131" s="20"/>
      <c r="L131" s="20"/>
      <c r="M131" s="20"/>
    </row>
    <row r="132" spans="2:13" ht="13" x14ac:dyDescent="0.15">
      <c r="B132" s="25"/>
      <c r="C132" s="25"/>
      <c r="E132" s="25"/>
      <c r="J132" s="20"/>
      <c r="L132" s="20"/>
      <c r="M132" s="20"/>
    </row>
    <row r="133" spans="2:13" ht="13" x14ac:dyDescent="0.15">
      <c r="B133" s="25"/>
      <c r="C133" s="25"/>
      <c r="E133" s="25"/>
      <c r="J133" s="20"/>
      <c r="L133" s="20"/>
      <c r="M133" s="20"/>
    </row>
    <row r="134" spans="2:13" ht="13" x14ac:dyDescent="0.15">
      <c r="B134" s="25"/>
      <c r="C134" s="25"/>
      <c r="E134" s="25"/>
      <c r="J134" s="20"/>
      <c r="L134" s="20"/>
      <c r="M134" s="20"/>
    </row>
    <row r="135" spans="2:13" ht="13" x14ac:dyDescent="0.15">
      <c r="B135" s="25"/>
      <c r="C135" s="25"/>
      <c r="E135" s="25"/>
      <c r="J135" s="20"/>
      <c r="L135" s="20"/>
      <c r="M135" s="20"/>
    </row>
    <row r="136" spans="2:13" ht="13" x14ac:dyDescent="0.15">
      <c r="B136" s="25"/>
      <c r="C136" s="25"/>
      <c r="E136" s="25"/>
      <c r="J136" s="20"/>
      <c r="L136" s="20"/>
      <c r="M136" s="20"/>
    </row>
    <row r="137" spans="2:13" ht="13" x14ac:dyDescent="0.15">
      <c r="B137" s="25"/>
      <c r="C137" s="25"/>
      <c r="E137" s="25"/>
      <c r="J137" s="20"/>
      <c r="L137" s="20"/>
      <c r="M137" s="20"/>
    </row>
    <row r="138" spans="2:13" ht="13" x14ac:dyDescent="0.15">
      <c r="B138" s="25"/>
      <c r="C138" s="25"/>
      <c r="E138" s="25"/>
      <c r="J138" s="20"/>
      <c r="L138" s="20"/>
      <c r="M138" s="20"/>
    </row>
    <row r="139" spans="2:13" ht="13" x14ac:dyDescent="0.15">
      <c r="B139" s="25"/>
      <c r="C139" s="25"/>
      <c r="E139" s="25"/>
      <c r="J139" s="20"/>
      <c r="L139" s="20"/>
      <c r="M139" s="20"/>
    </row>
    <row r="140" spans="2:13" ht="13" x14ac:dyDescent="0.15">
      <c r="B140" s="25"/>
      <c r="C140" s="25"/>
      <c r="E140" s="25"/>
      <c r="J140" s="20"/>
      <c r="L140" s="20"/>
      <c r="M140" s="20"/>
    </row>
    <row r="141" spans="2:13" ht="13" x14ac:dyDescent="0.15">
      <c r="B141" s="25"/>
      <c r="C141" s="25"/>
      <c r="E141" s="25"/>
      <c r="J141" s="20"/>
      <c r="L141" s="20"/>
      <c r="M141" s="20"/>
    </row>
    <row r="142" spans="2:13" ht="13" x14ac:dyDescent="0.15">
      <c r="B142" s="25"/>
      <c r="C142" s="25"/>
      <c r="E142" s="25"/>
      <c r="J142" s="20"/>
      <c r="L142" s="20"/>
      <c r="M142" s="20"/>
    </row>
    <row r="143" spans="2:13" ht="13" x14ac:dyDescent="0.15">
      <c r="B143" s="25"/>
      <c r="C143" s="25"/>
      <c r="E143" s="25"/>
      <c r="J143" s="20"/>
      <c r="L143" s="20"/>
      <c r="M143" s="20"/>
    </row>
    <row r="144" spans="2:13" ht="13" x14ac:dyDescent="0.15">
      <c r="B144" s="25"/>
      <c r="C144" s="25"/>
      <c r="E144" s="25"/>
      <c r="J144" s="20"/>
      <c r="L144" s="20"/>
      <c r="M144" s="20"/>
    </row>
    <row r="145" spans="2:13" ht="13" x14ac:dyDescent="0.15">
      <c r="B145" s="25"/>
      <c r="C145" s="25"/>
      <c r="E145" s="25"/>
      <c r="J145" s="20"/>
      <c r="L145" s="20"/>
      <c r="M145" s="20"/>
    </row>
    <row r="146" spans="2:13" ht="13" x14ac:dyDescent="0.15">
      <c r="B146" s="25"/>
      <c r="C146" s="25"/>
      <c r="E146" s="25"/>
      <c r="J146" s="20"/>
      <c r="L146" s="20"/>
      <c r="M146" s="20"/>
    </row>
    <row r="147" spans="2:13" ht="13" x14ac:dyDescent="0.15">
      <c r="B147" s="25"/>
      <c r="C147" s="25"/>
      <c r="E147" s="25"/>
      <c r="J147" s="20"/>
      <c r="L147" s="20"/>
      <c r="M147" s="20"/>
    </row>
    <row r="148" spans="2:13" ht="13" x14ac:dyDescent="0.15">
      <c r="B148" s="25"/>
      <c r="C148" s="25"/>
      <c r="E148" s="25"/>
      <c r="J148" s="20"/>
      <c r="L148" s="20"/>
      <c r="M148" s="20"/>
    </row>
    <row r="149" spans="2:13" ht="13" x14ac:dyDescent="0.15">
      <c r="B149" s="25"/>
      <c r="C149" s="25"/>
      <c r="E149" s="25"/>
      <c r="J149" s="20"/>
      <c r="L149" s="20"/>
      <c r="M149" s="20"/>
    </row>
    <row r="150" spans="2:13" ht="13" x14ac:dyDescent="0.15">
      <c r="B150" s="25"/>
      <c r="C150" s="25"/>
      <c r="E150" s="25"/>
      <c r="J150" s="20"/>
      <c r="L150" s="20"/>
      <c r="M150" s="20"/>
    </row>
    <row r="151" spans="2:13" ht="13" x14ac:dyDescent="0.15">
      <c r="B151" s="25"/>
      <c r="C151" s="25"/>
      <c r="E151" s="25"/>
      <c r="J151" s="20"/>
      <c r="L151" s="20"/>
      <c r="M151" s="20"/>
    </row>
    <row r="152" spans="2:13" ht="13" x14ac:dyDescent="0.15">
      <c r="B152" s="25"/>
      <c r="C152" s="25"/>
      <c r="E152" s="25"/>
      <c r="J152" s="20"/>
      <c r="L152" s="20"/>
      <c r="M152" s="20"/>
    </row>
    <row r="153" spans="2:13" ht="13" x14ac:dyDescent="0.15">
      <c r="B153" s="25"/>
      <c r="C153" s="25"/>
      <c r="E153" s="25"/>
      <c r="J153" s="20"/>
      <c r="L153" s="20"/>
      <c r="M153" s="20"/>
    </row>
    <row r="154" spans="2:13" ht="13" x14ac:dyDescent="0.15">
      <c r="B154" s="25"/>
      <c r="C154" s="25"/>
      <c r="E154" s="25"/>
      <c r="J154" s="20"/>
      <c r="L154" s="20"/>
      <c r="M154" s="20"/>
    </row>
    <row r="155" spans="2:13" ht="13" x14ac:dyDescent="0.15">
      <c r="B155" s="25"/>
      <c r="C155" s="25"/>
      <c r="E155" s="25"/>
      <c r="J155" s="20"/>
      <c r="L155" s="20"/>
      <c r="M155" s="20"/>
    </row>
    <row r="156" spans="2:13" ht="13" x14ac:dyDescent="0.15">
      <c r="B156" s="25"/>
      <c r="C156" s="25"/>
      <c r="E156" s="25"/>
      <c r="J156" s="20"/>
      <c r="L156" s="20"/>
      <c r="M156" s="20"/>
    </row>
    <row r="157" spans="2:13" ht="13" x14ac:dyDescent="0.15">
      <c r="B157" s="25"/>
      <c r="C157" s="25"/>
      <c r="E157" s="25"/>
      <c r="J157" s="20"/>
      <c r="L157" s="20"/>
      <c r="M157" s="20"/>
    </row>
    <row r="158" spans="2:13" ht="13" x14ac:dyDescent="0.15">
      <c r="B158" s="25"/>
      <c r="C158" s="25"/>
      <c r="E158" s="25"/>
      <c r="J158" s="20"/>
      <c r="L158" s="20"/>
      <c r="M158" s="20"/>
    </row>
    <row r="159" spans="2:13" ht="13" x14ac:dyDescent="0.15">
      <c r="B159" s="25"/>
      <c r="C159" s="25"/>
      <c r="E159" s="25"/>
      <c r="J159" s="20"/>
      <c r="L159" s="20"/>
      <c r="M159" s="20"/>
    </row>
    <row r="160" spans="2:13" ht="13" x14ac:dyDescent="0.15">
      <c r="B160" s="25"/>
      <c r="C160" s="25"/>
      <c r="E160" s="25"/>
      <c r="J160" s="20"/>
      <c r="L160" s="20"/>
      <c r="M160" s="20"/>
    </row>
    <row r="161" spans="2:13" ht="13" x14ac:dyDescent="0.15">
      <c r="B161" s="25"/>
      <c r="C161" s="25"/>
      <c r="E161" s="25"/>
      <c r="J161" s="20"/>
      <c r="L161" s="20"/>
      <c r="M161" s="20"/>
    </row>
    <row r="162" spans="2:13" ht="13" x14ac:dyDescent="0.15">
      <c r="B162" s="25"/>
      <c r="C162" s="25"/>
      <c r="E162" s="25"/>
      <c r="J162" s="20"/>
      <c r="L162" s="20"/>
      <c r="M162" s="20"/>
    </row>
    <row r="163" spans="2:13" ht="13" x14ac:dyDescent="0.15">
      <c r="B163" s="25"/>
      <c r="C163" s="25"/>
      <c r="E163" s="25"/>
      <c r="J163" s="20"/>
      <c r="L163" s="20"/>
      <c r="M163" s="20"/>
    </row>
    <row r="164" spans="2:13" ht="13" x14ac:dyDescent="0.15">
      <c r="B164" s="25"/>
      <c r="C164" s="25"/>
      <c r="E164" s="25"/>
      <c r="J164" s="20"/>
      <c r="L164" s="20"/>
      <c r="M164" s="20"/>
    </row>
    <row r="165" spans="2:13" ht="13" x14ac:dyDescent="0.15">
      <c r="B165" s="25"/>
      <c r="C165" s="25"/>
      <c r="E165" s="25"/>
      <c r="J165" s="20"/>
      <c r="L165" s="20"/>
      <c r="M165" s="20"/>
    </row>
    <row r="166" spans="2:13" ht="13" x14ac:dyDescent="0.15">
      <c r="B166" s="25"/>
      <c r="C166" s="25"/>
      <c r="E166" s="25"/>
      <c r="J166" s="20"/>
      <c r="L166" s="20"/>
      <c r="M166" s="20"/>
    </row>
    <row r="167" spans="2:13" ht="13" x14ac:dyDescent="0.15">
      <c r="B167" s="25"/>
      <c r="C167" s="25"/>
      <c r="E167" s="25"/>
      <c r="J167" s="20"/>
      <c r="L167" s="20"/>
      <c r="M167" s="20"/>
    </row>
    <row r="168" spans="2:13" ht="13" x14ac:dyDescent="0.15">
      <c r="B168" s="25"/>
      <c r="C168" s="25"/>
      <c r="E168" s="25"/>
      <c r="J168" s="20"/>
      <c r="L168" s="20"/>
      <c r="M168" s="20"/>
    </row>
    <row r="169" spans="2:13" ht="13" x14ac:dyDescent="0.15">
      <c r="B169" s="25"/>
      <c r="C169" s="25"/>
      <c r="E169" s="25"/>
      <c r="J169" s="20"/>
      <c r="L169" s="20"/>
      <c r="M169" s="20"/>
    </row>
    <row r="170" spans="2:13" ht="13" x14ac:dyDescent="0.15">
      <c r="B170" s="25"/>
      <c r="C170" s="25"/>
      <c r="E170" s="25"/>
      <c r="J170" s="20"/>
      <c r="L170" s="20"/>
      <c r="M170" s="20"/>
    </row>
    <row r="171" spans="2:13" ht="13" x14ac:dyDescent="0.15">
      <c r="B171" s="25"/>
      <c r="C171" s="25"/>
      <c r="E171" s="25"/>
      <c r="J171" s="20"/>
      <c r="L171" s="20"/>
      <c r="M171" s="20"/>
    </row>
    <row r="172" spans="2:13" ht="13" x14ac:dyDescent="0.15">
      <c r="B172" s="25"/>
      <c r="C172" s="25"/>
      <c r="E172" s="25"/>
      <c r="J172" s="20"/>
      <c r="L172" s="20"/>
      <c r="M172" s="20"/>
    </row>
    <row r="173" spans="2:13" ht="13" x14ac:dyDescent="0.15">
      <c r="B173" s="25"/>
      <c r="C173" s="25"/>
      <c r="E173" s="25"/>
      <c r="J173" s="20"/>
      <c r="L173" s="20"/>
      <c r="M173" s="20"/>
    </row>
    <row r="174" spans="2:13" ht="13" x14ac:dyDescent="0.15">
      <c r="B174" s="25"/>
      <c r="C174" s="25"/>
      <c r="E174" s="25"/>
      <c r="J174" s="20"/>
      <c r="L174" s="20"/>
      <c r="M174" s="20"/>
    </row>
    <row r="175" spans="2:13" ht="13" x14ac:dyDescent="0.15">
      <c r="B175" s="25"/>
      <c r="C175" s="25"/>
      <c r="E175" s="25"/>
      <c r="J175" s="20"/>
      <c r="L175" s="20"/>
      <c r="M175" s="20"/>
    </row>
    <row r="176" spans="2:13" ht="13" x14ac:dyDescent="0.15">
      <c r="B176" s="25"/>
      <c r="C176" s="25"/>
      <c r="E176" s="25"/>
      <c r="J176" s="20"/>
      <c r="L176" s="20"/>
      <c r="M176" s="20"/>
    </row>
    <row r="177" spans="2:13" ht="13" x14ac:dyDescent="0.15">
      <c r="B177" s="25"/>
      <c r="C177" s="25"/>
      <c r="E177" s="25"/>
      <c r="J177" s="20"/>
      <c r="L177" s="20"/>
      <c r="M177" s="20"/>
    </row>
    <row r="178" spans="2:13" ht="13" x14ac:dyDescent="0.15">
      <c r="B178" s="25"/>
      <c r="C178" s="25"/>
      <c r="E178" s="25"/>
      <c r="J178" s="20"/>
      <c r="L178" s="20"/>
      <c r="M178" s="20"/>
    </row>
    <row r="179" spans="2:13" ht="13" x14ac:dyDescent="0.15">
      <c r="B179" s="25"/>
      <c r="C179" s="25"/>
      <c r="E179" s="25"/>
      <c r="J179" s="20"/>
      <c r="L179" s="20"/>
      <c r="M179" s="20"/>
    </row>
    <row r="180" spans="2:13" ht="13" x14ac:dyDescent="0.15">
      <c r="B180" s="25"/>
      <c r="C180" s="25"/>
      <c r="E180" s="25"/>
      <c r="J180" s="20"/>
      <c r="L180" s="20"/>
      <c r="M180" s="20"/>
    </row>
    <row r="181" spans="2:13" ht="13" x14ac:dyDescent="0.15">
      <c r="B181" s="25"/>
      <c r="C181" s="25"/>
      <c r="E181" s="25"/>
      <c r="J181" s="20"/>
      <c r="L181" s="20"/>
      <c r="M181" s="20"/>
    </row>
    <row r="182" spans="2:13" ht="13" x14ac:dyDescent="0.15">
      <c r="B182" s="25"/>
      <c r="C182" s="25"/>
      <c r="E182" s="25"/>
      <c r="J182" s="20"/>
      <c r="L182" s="20"/>
      <c r="M182" s="20"/>
    </row>
    <row r="183" spans="2:13" ht="13" x14ac:dyDescent="0.15">
      <c r="B183" s="25"/>
      <c r="C183" s="25"/>
      <c r="E183" s="25"/>
      <c r="J183" s="20"/>
      <c r="L183" s="20"/>
      <c r="M183" s="20"/>
    </row>
    <row r="184" spans="2:13" ht="13" x14ac:dyDescent="0.15">
      <c r="B184" s="25"/>
      <c r="C184" s="25"/>
      <c r="E184" s="25"/>
      <c r="J184" s="20"/>
      <c r="L184" s="20"/>
      <c r="M184" s="20"/>
    </row>
    <row r="185" spans="2:13" ht="13" x14ac:dyDescent="0.15">
      <c r="B185" s="25"/>
      <c r="C185" s="25"/>
      <c r="E185" s="25"/>
      <c r="J185" s="20"/>
      <c r="L185" s="20"/>
      <c r="M185" s="20"/>
    </row>
    <row r="186" spans="2:13" ht="13" x14ac:dyDescent="0.15">
      <c r="B186" s="25"/>
      <c r="C186" s="25"/>
      <c r="E186" s="25"/>
      <c r="J186" s="20"/>
      <c r="L186" s="20"/>
      <c r="M186" s="20"/>
    </row>
    <row r="187" spans="2:13" ht="13" x14ac:dyDescent="0.15">
      <c r="B187" s="25"/>
      <c r="C187" s="25"/>
      <c r="E187" s="25"/>
      <c r="J187" s="20"/>
      <c r="L187" s="20"/>
      <c r="M187" s="20"/>
    </row>
    <row r="188" spans="2:13" ht="13" x14ac:dyDescent="0.15">
      <c r="B188" s="25"/>
      <c r="C188" s="25"/>
      <c r="E188" s="25"/>
      <c r="J188" s="20"/>
      <c r="L188" s="20"/>
      <c r="M188" s="20"/>
    </row>
    <row r="189" spans="2:13" ht="13" x14ac:dyDescent="0.15">
      <c r="B189" s="25"/>
      <c r="C189" s="25"/>
      <c r="E189" s="25"/>
      <c r="J189" s="20"/>
      <c r="L189" s="20"/>
      <c r="M189" s="20"/>
    </row>
    <row r="190" spans="2:13" ht="13" x14ac:dyDescent="0.15">
      <c r="B190" s="25"/>
      <c r="C190" s="25"/>
      <c r="E190" s="25"/>
      <c r="J190" s="20"/>
      <c r="L190" s="20"/>
      <c r="M190" s="20"/>
    </row>
    <row r="191" spans="2:13" ht="13" x14ac:dyDescent="0.15">
      <c r="B191" s="25"/>
      <c r="C191" s="25"/>
      <c r="E191" s="25"/>
      <c r="J191" s="20"/>
      <c r="L191" s="20"/>
      <c r="M191" s="20"/>
    </row>
    <row r="192" spans="2:13" ht="13" x14ac:dyDescent="0.15">
      <c r="B192" s="25"/>
      <c r="C192" s="25"/>
      <c r="E192" s="25"/>
      <c r="J192" s="20"/>
      <c r="L192" s="20"/>
      <c r="M192" s="20"/>
    </row>
    <row r="193" spans="2:13" ht="13" x14ac:dyDescent="0.15">
      <c r="B193" s="25"/>
      <c r="C193" s="25"/>
      <c r="E193" s="25"/>
      <c r="J193" s="20"/>
      <c r="L193" s="20"/>
      <c r="M193" s="20"/>
    </row>
    <row r="194" spans="2:13" ht="13" x14ac:dyDescent="0.15">
      <c r="B194" s="25"/>
      <c r="C194" s="25"/>
      <c r="E194" s="25"/>
      <c r="J194" s="20"/>
      <c r="L194" s="20"/>
      <c r="M194" s="20"/>
    </row>
    <row r="195" spans="2:13" ht="13" x14ac:dyDescent="0.15">
      <c r="B195" s="25"/>
      <c r="C195" s="25"/>
      <c r="E195" s="25"/>
      <c r="J195" s="20"/>
      <c r="L195" s="20"/>
      <c r="M195" s="20"/>
    </row>
    <row r="196" spans="2:13" ht="13" x14ac:dyDescent="0.15">
      <c r="B196" s="25"/>
      <c r="C196" s="25"/>
      <c r="E196" s="25"/>
      <c r="J196" s="20"/>
      <c r="L196" s="20"/>
      <c r="M196" s="20"/>
    </row>
    <row r="197" spans="2:13" ht="13" x14ac:dyDescent="0.15">
      <c r="B197" s="25"/>
      <c r="C197" s="25"/>
      <c r="E197" s="25"/>
      <c r="J197" s="20"/>
      <c r="L197" s="20"/>
      <c r="M197" s="20"/>
    </row>
    <row r="198" spans="2:13" ht="13" x14ac:dyDescent="0.15">
      <c r="B198" s="25"/>
      <c r="C198" s="25"/>
      <c r="E198" s="25"/>
      <c r="J198" s="20"/>
      <c r="L198" s="20"/>
      <c r="M198" s="20"/>
    </row>
    <row r="199" spans="2:13" ht="13" x14ac:dyDescent="0.15">
      <c r="B199" s="25"/>
      <c r="C199" s="25"/>
      <c r="E199" s="25"/>
      <c r="J199" s="20"/>
      <c r="L199" s="20"/>
      <c r="M199" s="20"/>
    </row>
    <row r="200" spans="2:13" ht="13" x14ac:dyDescent="0.15">
      <c r="B200" s="25"/>
      <c r="C200" s="25"/>
      <c r="E200" s="25"/>
      <c r="J200" s="20"/>
      <c r="L200" s="20"/>
      <c r="M200" s="20"/>
    </row>
    <row r="201" spans="2:13" ht="13" x14ac:dyDescent="0.15">
      <c r="B201" s="25"/>
      <c r="C201" s="25"/>
      <c r="E201" s="25"/>
      <c r="J201" s="20"/>
      <c r="L201" s="20"/>
      <c r="M201" s="20"/>
    </row>
    <row r="202" spans="2:13" ht="13" x14ac:dyDescent="0.15">
      <c r="B202" s="25"/>
      <c r="C202" s="25"/>
      <c r="E202" s="25"/>
      <c r="J202" s="20"/>
      <c r="L202" s="20"/>
      <c r="M202" s="20"/>
    </row>
    <row r="203" spans="2:13" ht="13" x14ac:dyDescent="0.15">
      <c r="B203" s="25"/>
      <c r="C203" s="25"/>
      <c r="E203" s="25"/>
      <c r="J203" s="20"/>
      <c r="L203" s="20"/>
      <c r="M203" s="20"/>
    </row>
    <row r="204" spans="2:13" ht="13" x14ac:dyDescent="0.15">
      <c r="B204" s="25"/>
      <c r="C204" s="25"/>
      <c r="E204" s="25"/>
      <c r="J204" s="20"/>
      <c r="L204" s="20"/>
      <c r="M204" s="20"/>
    </row>
    <row r="205" spans="2:13" ht="13" x14ac:dyDescent="0.15">
      <c r="B205" s="25"/>
      <c r="C205" s="25"/>
      <c r="E205" s="25"/>
      <c r="J205" s="20"/>
      <c r="L205" s="20"/>
      <c r="M205" s="20"/>
    </row>
    <row r="206" spans="2:13" ht="13" x14ac:dyDescent="0.15">
      <c r="B206" s="25"/>
      <c r="C206" s="25"/>
      <c r="E206" s="25"/>
      <c r="J206" s="20"/>
      <c r="L206" s="20"/>
      <c r="M206" s="20"/>
    </row>
    <row r="207" spans="2:13" ht="13" x14ac:dyDescent="0.15">
      <c r="B207" s="25"/>
      <c r="C207" s="25"/>
      <c r="E207" s="25"/>
      <c r="J207" s="20"/>
      <c r="L207" s="20"/>
      <c r="M207" s="20"/>
    </row>
    <row r="208" spans="2:13" ht="13" x14ac:dyDescent="0.15">
      <c r="B208" s="25"/>
      <c r="C208" s="25"/>
      <c r="E208" s="25"/>
      <c r="J208" s="20"/>
      <c r="L208" s="20"/>
      <c r="M208" s="20"/>
    </row>
    <row r="209" spans="2:13" ht="13" x14ac:dyDescent="0.15">
      <c r="B209" s="25"/>
      <c r="C209" s="25"/>
      <c r="E209" s="25"/>
      <c r="J209" s="20"/>
      <c r="L209" s="20"/>
      <c r="M209" s="20"/>
    </row>
    <row r="210" spans="2:13" ht="13" x14ac:dyDescent="0.15">
      <c r="B210" s="25"/>
      <c r="C210" s="25"/>
      <c r="E210" s="25"/>
      <c r="J210" s="20"/>
      <c r="L210" s="20"/>
      <c r="M210" s="20"/>
    </row>
    <row r="211" spans="2:13" ht="13" x14ac:dyDescent="0.15">
      <c r="B211" s="25"/>
      <c r="C211" s="25"/>
      <c r="E211" s="25"/>
      <c r="J211" s="20"/>
      <c r="L211" s="20"/>
      <c r="M211" s="20"/>
    </row>
    <row r="212" spans="2:13" ht="13" x14ac:dyDescent="0.15">
      <c r="B212" s="25"/>
      <c r="C212" s="25"/>
      <c r="E212" s="25"/>
      <c r="J212" s="20"/>
      <c r="L212" s="20"/>
      <c r="M212" s="20"/>
    </row>
    <row r="213" spans="2:13" ht="13" x14ac:dyDescent="0.15">
      <c r="B213" s="25"/>
      <c r="C213" s="25"/>
      <c r="E213" s="25"/>
      <c r="J213" s="20"/>
      <c r="L213" s="20"/>
      <c r="M213" s="20"/>
    </row>
    <row r="214" spans="2:13" ht="13" x14ac:dyDescent="0.15">
      <c r="B214" s="25"/>
      <c r="C214" s="25"/>
      <c r="E214" s="25"/>
      <c r="J214" s="20"/>
      <c r="L214" s="20"/>
      <c r="M214" s="20"/>
    </row>
    <row r="215" spans="2:13" ht="13" x14ac:dyDescent="0.15">
      <c r="B215" s="25"/>
      <c r="C215" s="25"/>
      <c r="E215" s="25"/>
      <c r="J215" s="20"/>
      <c r="L215" s="20"/>
      <c r="M215" s="20"/>
    </row>
    <row r="216" spans="2:13" ht="13" x14ac:dyDescent="0.15">
      <c r="B216" s="25"/>
      <c r="C216" s="25"/>
      <c r="E216" s="25"/>
      <c r="J216" s="20"/>
      <c r="L216" s="20"/>
      <c r="M216" s="20"/>
    </row>
    <row r="217" spans="2:13" ht="13" x14ac:dyDescent="0.15">
      <c r="B217" s="25"/>
      <c r="C217" s="25"/>
      <c r="E217" s="25"/>
      <c r="J217" s="20"/>
      <c r="L217" s="20"/>
      <c r="M217" s="20"/>
    </row>
    <row r="218" spans="2:13" ht="13" x14ac:dyDescent="0.15">
      <c r="B218" s="25"/>
      <c r="C218" s="25"/>
      <c r="E218" s="25"/>
      <c r="J218" s="20"/>
      <c r="L218" s="20"/>
      <c r="M218" s="20"/>
    </row>
    <row r="219" spans="2:13" ht="13" x14ac:dyDescent="0.15">
      <c r="B219" s="25"/>
      <c r="C219" s="25"/>
      <c r="E219" s="25"/>
      <c r="J219" s="20"/>
      <c r="L219" s="20"/>
      <c r="M219" s="20"/>
    </row>
    <row r="220" spans="2:13" ht="13" x14ac:dyDescent="0.15">
      <c r="B220" s="25"/>
      <c r="C220" s="25"/>
      <c r="E220" s="25"/>
      <c r="J220" s="20"/>
      <c r="L220" s="20"/>
      <c r="M220" s="20"/>
    </row>
    <row r="221" spans="2:13" ht="13" x14ac:dyDescent="0.15">
      <c r="B221" s="25"/>
      <c r="C221" s="25"/>
      <c r="E221" s="25"/>
      <c r="J221" s="20"/>
      <c r="L221" s="20"/>
      <c r="M221" s="20"/>
    </row>
    <row r="222" spans="2:13" ht="13" x14ac:dyDescent="0.15">
      <c r="B222" s="25"/>
      <c r="C222" s="25"/>
      <c r="E222" s="25"/>
      <c r="J222" s="20"/>
      <c r="L222" s="20"/>
      <c r="M222" s="20"/>
    </row>
    <row r="223" spans="2:13" ht="13" x14ac:dyDescent="0.15">
      <c r="B223" s="25"/>
      <c r="C223" s="25"/>
      <c r="E223" s="25"/>
      <c r="J223" s="20"/>
      <c r="L223" s="20"/>
      <c r="M223" s="20"/>
    </row>
    <row r="224" spans="2:13" ht="13" x14ac:dyDescent="0.15">
      <c r="B224" s="25"/>
      <c r="C224" s="25"/>
      <c r="E224" s="25"/>
      <c r="J224" s="20"/>
      <c r="L224" s="20"/>
      <c r="M224" s="20"/>
    </row>
    <row r="225" spans="2:13" ht="13" x14ac:dyDescent="0.15">
      <c r="B225" s="25"/>
      <c r="C225" s="25"/>
      <c r="E225" s="25"/>
      <c r="J225" s="20"/>
      <c r="L225" s="20"/>
      <c r="M225" s="20"/>
    </row>
    <row r="226" spans="2:13" ht="13" x14ac:dyDescent="0.15">
      <c r="B226" s="25"/>
      <c r="C226" s="25"/>
      <c r="E226" s="25"/>
      <c r="J226" s="20"/>
      <c r="L226" s="20"/>
      <c r="M226" s="20"/>
    </row>
    <row r="227" spans="2:13" ht="13" x14ac:dyDescent="0.15">
      <c r="B227" s="25"/>
      <c r="C227" s="25"/>
      <c r="E227" s="25"/>
      <c r="J227" s="20"/>
      <c r="L227" s="20"/>
      <c r="M227" s="20"/>
    </row>
    <row r="228" spans="2:13" ht="13" x14ac:dyDescent="0.15">
      <c r="B228" s="25"/>
      <c r="C228" s="25"/>
      <c r="E228" s="25"/>
      <c r="J228" s="20"/>
      <c r="L228" s="20"/>
      <c r="M228" s="20"/>
    </row>
    <row r="229" spans="2:13" ht="13" x14ac:dyDescent="0.15">
      <c r="B229" s="25"/>
      <c r="C229" s="25"/>
      <c r="E229" s="25"/>
      <c r="J229" s="20"/>
      <c r="L229" s="20"/>
      <c r="M229" s="20"/>
    </row>
    <row r="230" spans="2:13" ht="13" x14ac:dyDescent="0.15">
      <c r="B230" s="25"/>
      <c r="C230" s="25"/>
      <c r="E230" s="25"/>
      <c r="J230" s="20"/>
      <c r="L230" s="20"/>
      <c r="M230" s="20"/>
    </row>
    <row r="231" spans="2:13" ht="13" x14ac:dyDescent="0.15">
      <c r="B231" s="25"/>
      <c r="C231" s="25"/>
      <c r="E231" s="25"/>
      <c r="J231" s="20"/>
      <c r="L231" s="20"/>
      <c r="M231" s="20"/>
    </row>
    <row r="232" spans="2:13" ht="13" x14ac:dyDescent="0.15">
      <c r="B232" s="25"/>
      <c r="C232" s="25"/>
      <c r="E232" s="25"/>
      <c r="J232" s="20"/>
      <c r="L232" s="20"/>
      <c r="M232" s="20"/>
    </row>
    <row r="233" spans="2:13" ht="13" x14ac:dyDescent="0.15">
      <c r="B233" s="25"/>
      <c r="C233" s="25"/>
      <c r="E233" s="25"/>
      <c r="J233" s="20"/>
      <c r="L233" s="20"/>
      <c r="M233" s="20"/>
    </row>
    <row r="234" spans="2:13" ht="13" x14ac:dyDescent="0.15">
      <c r="B234" s="25"/>
      <c r="C234" s="25"/>
      <c r="E234" s="25"/>
      <c r="J234" s="20"/>
      <c r="L234" s="20"/>
      <c r="M234" s="20"/>
    </row>
    <row r="235" spans="2:13" ht="13" x14ac:dyDescent="0.15">
      <c r="B235" s="25"/>
      <c r="C235" s="25"/>
      <c r="E235" s="25"/>
      <c r="J235" s="20"/>
      <c r="L235" s="20"/>
      <c r="M235" s="20"/>
    </row>
    <row r="236" spans="2:13" ht="13" x14ac:dyDescent="0.15">
      <c r="B236" s="25"/>
      <c r="C236" s="25"/>
      <c r="E236" s="25"/>
      <c r="J236" s="20"/>
      <c r="L236" s="20"/>
      <c r="M236" s="20"/>
    </row>
    <row r="237" spans="2:13" ht="13" x14ac:dyDescent="0.15">
      <c r="B237" s="25"/>
      <c r="C237" s="25"/>
      <c r="E237" s="25"/>
      <c r="J237" s="20"/>
      <c r="L237" s="20"/>
      <c r="M237" s="20"/>
    </row>
    <row r="238" spans="2:13" ht="13" x14ac:dyDescent="0.15">
      <c r="B238" s="25"/>
      <c r="C238" s="25"/>
      <c r="E238" s="25"/>
      <c r="J238" s="20"/>
      <c r="L238" s="20"/>
      <c r="M238" s="20"/>
    </row>
    <row r="239" spans="2:13" ht="13" x14ac:dyDescent="0.15">
      <c r="B239" s="25"/>
      <c r="C239" s="25"/>
      <c r="E239" s="25"/>
      <c r="J239" s="20"/>
      <c r="L239" s="20"/>
      <c r="M239" s="20"/>
    </row>
    <row r="240" spans="2:13" ht="13" x14ac:dyDescent="0.15">
      <c r="B240" s="25"/>
      <c r="C240" s="25"/>
      <c r="E240" s="25"/>
      <c r="J240" s="20"/>
      <c r="L240" s="20"/>
      <c r="M240" s="20"/>
    </row>
    <row r="241" spans="2:13" ht="13" x14ac:dyDescent="0.15">
      <c r="B241" s="25"/>
      <c r="C241" s="25"/>
      <c r="E241" s="25"/>
      <c r="J241" s="20"/>
      <c r="L241" s="20"/>
      <c r="M241" s="20"/>
    </row>
    <row r="242" spans="2:13" ht="13" x14ac:dyDescent="0.15">
      <c r="B242" s="25"/>
      <c r="C242" s="25"/>
      <c r="E242" s="25"/>
      <c r="J242" s="20"/>
      <c r="L242" s="20"/>
      <c r="M242" s="20"/>
    </row>
    <row r="243" spans="2:13" ht="13" x14ac:dyDescent="0.15">
      <c r="B243" s="25"/>
      <c r="C243" s="25"/>
      <c r="E243" s="25"/>
      <c r="J243" s="20"/>
      <c r="L243" s="20"/>
      <c r="M243" s="20"/>
    </row>
    <row r="244" spans="2:13" ht="13" x14ac:dyDescent="0.15">
      <c r="B244" s="25"/>
      <c r="C244" s="25"/>
      <c r="E244" s="25"/>
      <c r="J244" s="20"/>
      <c r="L244" s="20"/>
      <c r="M244" s="20"/>
    </row>
    <row r="245" spans="2:13" ht="13" x14ac:dyDescent="0.15">
      <c r="B245" s="25"/>
      <c r="C245" s="25"/>
      <c r="E245" s="25"/>
      <c r="J245" s="20"/>
      <c r="L245" s="20"/>
      <c r="M245" s="20"/>
    </row>
    <row r="246" spans="2:13" ht="13" x14ac:dyDescent="0.15">
      <c r="B246" s="25"/>
      <c r="C246" s="25"/>
      <c r="E246" s="25"/>
      <c r="J246" s="20"/>
      <c r="L246" s="20"/>
      <c r="M246" s="20"/>
    </row>
    <row r="247" spans="2:13" ht="13" x14ac:dyDescent="0.15">
      <c r="B247" s="25"/>
      <c r="C247" s="25"/>
      <c r="E247" s="25"/>
      <c r="J247" s="20"/>
      <c r="L247" s="20"/>
      <c r="M247" s="20"/>
    </row>
    <row r="248" spans="2:13" ht="13" x14ac:dyDescent="0.15">
      <c r="B248" s="25"/>
      <c r="C248" s="25"/>
      <c r="E248" s="25"/>
      <c r="J248" s="20"/>
      <c r="L248" s="20"/>
      <c r="M248" s="20"/>
    </row>
    <row r="249" spans="2:13" ht="13" x14ac:dyDescent="0.15">
      <c r="B249" s="25"/>
      <c r="C249" s="25"/>
      <c r="E249" s="25"/>
      <c r="J249" s="20"/>
      <c r="L249" s="20"/>
      <c r="M249" s="20"/>
    </row>
    <row r="250" spans="2:13" ht="13" x14ac:dyDescent="0.15">
      <c r="B250" s="25"/>
      <c r="C250" s="25"/>
      <c r="E250" s="25"/>
      <c r="J250" s="20"/>
      <c r="L250" s="20"/>
      <c r="M250" s="20"/>
    </row>
    <row r="251" spans="2:13" ht="13" x14ac:dyDescent="0.15">
      <c r="B251" s="25"/>
      <c r="C251" s="25"/>
      <c r="E251" s="25"/>
      <c r="J251" s="20"/>
      <c r="L251" s="20"/>
      <c r="M251" s="20"/>
    </row>
    <row r="252" spans="2:13" ht="13" x14ac:dyDescent="0.15">
      <c r="B252" s="25"/>
      <c r="C252" s="25"/>
      <c r="E252" s="25"/>
      <c r="J252" s="20"/>
      <c r="L252" s="20"/>
      <c r="M252" s="20"/>
    </row>
    <row r="253" spans="2:13" ht="13" x14ac:dyDescent="0.15">
      <c r="B253" s="25"/>
      <c r="C253" s="25"/>
      <c r="E253" s="25"/>
      <c r="J253" s="20"/>
      <c r="L253" s="20"/>
      <c r="M253" s="20"/>
    </row>
    <row r="254" spans="2:13" ht="13" x14ac:dyDescent="0.15">
      <c r="B254" s="25"/>
      <c r="C254" s="25"/>
      <c r="E254" s="25"/>
      <c r="J254" s="20"/>
      <c r="L254" s="20"/>
      <c r="M254" s="20"/>
    </row>
    <row r="255" spans="2:13" ht="13" x14ac:dyDescent="0.15">
      <c r="B255" s="25"/>
      <c r="C255" s="25"/>
      <c r="E255" s="25"/>
      <c r="J255" s="20"/>
      <c r="L255" s="20"/>
      <c r="M255" s="20"/>
    </row>
    <row r="256" spans="2:13" ht="13" x14ac:dyDescent="0.15">
      <c r="B256" s="25"/>
      <c r="C256" s="25"/>
      <c r="E256" s="25"/>
      <c r="J256" s="20"/>
      <c r="L256" s="20"/>
      <c r="M256" s="20"/>
    </row>
    <row r="257" spans="2:13" ht="13" x14ac:dyDescent="0.15">
      <c r="B257" s="25"/>
      <c r="C257" s="25"/>
      <c r="E257" s="25"/>
      <c r="J257" s="20"/>
      <c r="L257" s="20"/>
      <c r="M257" s="20"/>
    </row>
    <row r="258" spans="2:13" ht="13" x14ac:dyDescent="0.15">
      <c r="B258" s="25"/>
      <c r="C258" s="25"/>
      <c r="E258" s="25"/>
      <c r="J258" s="20"/>
      <c r="L258" s="20"/>
      <c r="M258" s="20"/>
    </row>
    <row r="259" spans="2:13" ht="13" x14ac:dyDescent="0.15">
      <c r="B259" s="25"/>
      <c r="C259" s="25"/>
      <c r="E259" s="25"/>
      <c r="J259" s="20"/>
      <c r="L259" s="20"/>
      <c r="M259" s="20"/>
    </row>
    <row r="260" spans="2:13" ht="13" x14ac:dyDescent="0.15">
      <c r="B260" s="25"/>
      <c r="C260" s="25"/>
      <c r="E260" s="25"/>
      <c r="J260" s="20"/>
      <c r="L260" s="20"/>
      <c r="M260" s="20"/>
    </row>
    <row r="261" spans="2:13" ht="13" x14ac:dyDescent="0.15">
      <c r="B261" s="25"/>
      <c r="C261" s="25"/>
      <c r="E261" s="25"/>
      <c r="J261" s="20"/>
      <c r="L261" s="20"/>
      <c r="M261" s="20"/>
    </row>
    <row r="262" spans="2:13" ht="13" x14ac:dyDescent="0.15">
      <c r="B262" s="25"/>
      <c r="C262" s="25"/>
      <c r="E262" s="25"/>
      <c r="J262" s="20"/>
      <c r="L262" s="20"/>
      <c r="M262" s="20"/>
    </row>
    <row r="263" spans="2:13" ht="13" x14ac:dyDescent="0.15">
      <c r="B263" s="25"/>
      <c r="C263" s="25"/>
      <c r="E263" s="25"/>
      <c r="J263" s="20"/>
      <c r="L263" s="20"/>
      <c r="M263" s="20"/>
    </row>
    <row r="264" spans="2:13" ht="13" x14ac:dyDescent="0.15">
      <c r="B264" s="25"/>
      <c r="C264" s="25"/>
      <c r="E264" s="25"/>
      <c r="J264" s="20"/>
      <c r="L264" s="20"/>
      <c r="M264" s="20"/>
    </row>
    <row r="265" spans="2:13" ht="13" x14ac:dyDescent="0.15">
      <c r="B265" s="25"/>
      <c r="C265" s="25"/>
      <c r="E265" s="25"/>
      <c r="J265" s="20"/>
      <c r="L265" s="20"/>
      <c r="M265" s="20"/>
    </row>
    <row r="266" spans="2:13" ht="13" x14ac:dyDescent="0.15">
      <c r="B266" s="25"/>
      <c r="C266" s="25"/>
      <c r="E266" s="25"/>
      <c r="J266" s="20"/>
      <c r="L266" s="20"/>
      <c r="M266" s="20"/>
    </row>
    <row r="267" spans="2:13" ht="13" x14ac:dyDescent="0.15">
      <c r="B267" s="25"/>
      <c r="C267" s="25"/>
      <c r="E267" s="25"/>
      <c r="J267" s="20"/>
      <c r="L267" s="20"/>
      <c r="M267" s="20"/>
    </row>
    <row r="268" spans="2:13" ht="13" x14ac:dyDescent="0.15">
      <c r="B268" s="25"/>
      <c r="C268" s="25"/>
      <c r="E268" s="25"/>
      <c r="J268" s="20"/>
      <c r="L268" s="20"/>
      <c r="M268" s="20"/>
    </row>
    <row r="269" spans="2:13" ht="13" x14ac:dyDescent="0.15">
      <c r="B269" s="25"/>
      <c r="C269" s="25"/>
      <c r="E269" s="25"/>
      <c r="J269" s="20"/>
      <c r="L269" s="20"/>
      <c r="M269" s="20"/>
    </row>
    <row r="270" spans="2:13" ht="13" x14ac:dyDescent="0.15">
      <c r="B270" s="25"/>
      <c r="C270" s="25"/>
      <c r="E270" s="25"/>
      <c r="J270" s="20"/>
      <c r="L270" s="20"/>
      <c r="M270" s="20"/>
    </row>
    <row r="271" spans="2:13" ht="13" x14ac:dyDescent="0.15">
      <c r="B271" s="25"/>
      <c r="C271" s="25"/>
      <c r="E271" s="25"/>
      <c r="J271" s="20"/>
      <c r="L271" s="20"/>
      <c r="M271" s="20"/>
    </row>
    <row r="272" spans="2:13" ht="13" x14ac:dyDescent="0.15">
      <c r="B272" s="25"/>
      <c r="C272" s="25"/>
      <c r="E272" s="25"/>
      <c r="J272" s="20"/>
      <c r="L272" s="20"/>
      <c r="M272" s="20"/>
    </row>
    <row r="273" spans="2:13" ht="13" x14ac:dyDescent="0.15">
      <c r="B273" s="25"/>
      <c r="C273" s="25"/>
      <c r="E273" s="25"/>
      <c r="J273" s="20"/>
      <c r="L273" s="20"/>
      <c r="M273" s="20"/>
    </row>
    <row r="274" spans="2:13" ht="13" x14ac:dyDescent="0.15">
      <c r="B274" s="25"/>
      <c r="C274" s="25"/>
      <c r="E274" s="25"/>
      <c r="J274" s="20"/>
      <c r="L274" s="20"/>
      <c r="M274" s="20"/>
    </row>
    <row r="275" spans="2:13" ht="13" x14ac:dyDescent="0.15">
      <c r="B275" s="25"/>
      <c r="C275" s="25"/>
      <c r="E275" s="25"/>
      <c r="J275" s="20"/>
      <c r="L275" s="20"/>
      <c r="M275" s="20"/>
    </row>
    <row r="276" spans="2:13" ht="13" x14ac:dyDescent="0.15">
      <c r="B276" s="25"/>
      <c r="C276" s="25"/>
      <c r="E276" s="25"/>
      <c r="J276" s="20"/>
      <c r="L276" s="20"/>
      <c r="M276" s="20"/>
    </row>
    <row r="277" spans="2:13" ht="13" x14ac:dyDescent="0.15">
      <c r="B277" s="25"/>
      <c r="C277" s="25"/>
      <c r="E277" s="25"/>
      <c r="J277" s="20"/>
      <c r="L277" s="20"/>
      <c r="M277" s="20"/>
    </row>
    <row r="278" spans="2:13" ht="13" x14ac:dyDescent="0.15">
      <c r="B278" s="25"/>
      <c r="C278" s="25"/>
      <c r="E278" s="25"/>
      <c r="J278" s="20"/>
      <c r="L278" s="20"/>
      <c r="M278" s="20"/>
    </row>
    <row r="279" spans="2:13" ht="13" x14ac:dyDescent="0.15">
      <c r="B279" s="25"/>
      <c r="C279" s="25"/>
      <c r="E279" s="25"/>
      <c r="J279" s="20"/>
      <c r="L279" s="20"/>
      <c r="M279" s="20"/>
    </row>
    <row r="280" spans="2:13" ht="13" x14ac:dyDescent="0.15">
      <c r="B280" s="25"/>
      <c r="C280" s="25"/>
      <c r="E280" s="25"/>
      <c r="J280" s="20"/>
      <c r="L280" s="20"/>
      <c r="M280" s="20"/>
    </row>
    <row r="281" spans="2:13" ht="13" x14ac:dyDescent="0.15">
      <c r="B281" s="25"/>
      <c r="C281" s="25"/>
      <c r="E281" s="25"/>
      <c r="J281" s="20"/>
      <c r="L281" s="20"/>
      <c r="M281" s="20"/>
    </row>
    <row r="282" spans="2:13" ht="13" x14ac:dyDescent="0.15">
      <c r="B282" s="25"/>
      <c r="C282" s="25"/>
      <c r="E282" s="25"/>
      <c r="J282" s="20"/>
      <c r="L282" s="20"/>
      <c r="M282" s="20"/>
    </row>
    <row r="283" spans="2:13" ht="13" x14ac:dyDescent="0.15">
      <c r="B283" s="25"/>
      <c r="C283" s="25"/>
      <c r="E283" s="25"/>
      <c r="J283" s="20"/>
      <c r="L283" s="20"/>
      <c r="M283" s="20"/>
    </row>
    <row r="284" spans="2:13" ht="13" x14ac:dyDescent="0.15">
      <c r="B284" s="25"/>
      <c r="C284" s="25"/>
      <c r="E284" s="25"/>
      <c r="J284" s="20"/>
      <c r="L284" s="20"/>
      <c r="M284" s="20"/>
    </row>
    <row r="285" spans="2:13" ht="13" x14ac:dyDescent="0.15">
      <c r="B285" s="25"/>
      <c r="C285" s="25"/>
      <c r="E285" s="25"/>
      <c r="J285" s="20"/>
      <c r="L285" s="20"/>
      <c r="M285" s="20"/>
    </row>
    <row r="286" spans="2:13" ht="13" x14ac:dyDescent="0.15">
      <c r="B286" s="25"/>
      <c r="C286" s="25"/>
      <c r="E286" s="25"/>
      <c r="J286" s="20"/>
      <c r="L286" s="20"/>
      <c r="M286" s="20"/>
    </row>
    <row r="287" spans="2:13" ht="13" x14ac:dyDescent="0.15">
      <c r="B287" s="25"/>
      <c r="C287" s="25"/>
      <c r="E287" s="25"/>
      <c r="J287" s="20"/>
      <c r="L287" s="20"/>
      <c r="M287" s="20"/>
    </row>
    <row r="288" spans="2:13" ht="13" x14ac:dyDescent="0.15">
      <c r="B288" s="25"/>
      <c r="C288" s="25"/>
      <c r="E288" s="25"/>
      <c r="J288" s="20"/>
      <c r="L288" s="20"/>
      <c r="M288" s="20"/>
    </row>
    <row r="289" spans="2:13" ht="13" x14ac:dyDescent="0.15">
      <c r="B289" s="25"/>
      <c r="C289" s="25"/>
      <c r="E289" s="25"/>
      <c r="J289" s="20"/>
      <c r="L289" s="20"/>
      <c r="M289" s="20"/>
    </row>
    <row r="290" spans="2:13" ht="13" x14ac:dyDescent="0.15">
      <c r="B290" s="25"/>
      <c r="C290" s="25"/>
      <c r="E290" s="25"/>
      <c r="J290" s="20"/>
      <c r="L290" s="20"/>
      <c r="M290" s="20"/>
    </row>
    <row r="291" spans="2:13" ht="13" x14ac:dyDescent="0.15">
      <c r="B291" s="25"/>
      <c r="C291" s="25"/>
      <c r="E291" s="25"/>
      <c r="J291" s="20"/>
      <c r="L291" s="20"/>
      <c r="M291" s="20"/>
    </row>
    <row r="292" spans="2:13" ht="13" x14ac:dyDescent="0.15">
      <c r="B292" s="25"/>
      <c r="C292" s="25"/>
      <c r="E292" s="25"/>
      <c r="J292" s="20"/>
      <c r="L292" s="20"/>
      <c r="M292" s="20"/>
    </row>
    <row r="293" spans="2:13" ht="13" x14ac:dyDescent="0.15">
      <c r="B293" s="25"/>
      <c r="C293" s="25"/>
      <c r="E293" s="25"/>
      <c r="J293" s="20"/>
      <c r="L293" s="20"/>
      <c r="M293" s="20"/>
    </row>
    <row r="294" spans="2:13" ht="13" x14ac:dyDescent="0.15">
      <c r="B294" s="25"/>
      <c r="C294" s="25"/>
      <c r="E294" s="25"/>
      <c r="J294" s="20"/>
      <c r="L294" s="20"/>
      <c r="M294" s="20"/>
    </row>
    <row r="295" spans="2:13" ht="13" x14ac:dyDescent="0.15">
      <c r="B295" s="25"/>
      <c r="C295" s="25"/>
      <c r="E295" s="25"/>
      <c r="J295" s="20"/>
      <c r="L295" s="20"/>
      <c r="M295" s="20"/>
    </row>
    <row r="296" spans="2:13" ht="13" x14ac:dyDescent="0.15">
      <c r="B296" s="25"/>
      <c r="C296" s="25"/>
      <c r="E296" s="25"/>
      <c r="J296" s="20"/>
      <c r="L296" s="20"/>
      <c r="M296" s="20"/>
    </row>
    <row r="297" spans="2:13" ht="13" x14ac:dyDescent="0.15">
      <c r="B297" s="25"/>
      <c r="C297" s="25"/>
      <c r="E297" s="25"/>
      <c r="J297" s="20"/>
      <c r="L297" s="20"/>
      <c r="M297" s="20"/>
    </row>
    <row r="298" spans="2:13" ht="13" x14ac:dyDescent="0.15">
      <c r="B298" s="25"/>
      <c r="C298" s="25"/>
      <c r="E298" s="25"/>
      <c r="J298" s="20"/>
      <c r="L298" s="20"/>
      <c r="M298" s="20"/>
    </row>
    <row r="299" spans="2:13" ht="13" x14ac:dyDescent="0.15">
      <c r="B299" s="25"/>
      <c r="C299" s="25"/>
      <c r="E299" s="25"/>
      <c r="J299" s="20"/>
      <c r="L299" s="20"/>
      <c r="M299" s="20"/>
    </row>
    <row r="300" spans="2:13" ht="13" x14ac:dyDescent="0.15">
      <c r="B300" s="25"/>
      <c r="C300" s="25"/>
      <c r="E300" s="25"/>
      <c r="J300" s="20"/>
      <c r="L300" s="20"/>
      <c r="M300" s="20"/>
    </row>
    <row r="301" spans="2:13" ht="13" x14ac:dyDescent="0.15">
      <c r="B301" s="25"/>
      <c r="C301" s="25"/>
      <c r="E301" s="25"/>
      <c r="J301" s="20"/>
      <c r="L301" s="20"/>
      <c r="M301" s="20"/>
    </row>
    <row r="302" spans="2:13" ht="13" x14ac:dyDescent="0.15">
      <c r="B302" s="25"/>
      <c r="C302" s="25"/>
      <c r="E302" s="25"/>
      <c r="J302" s="20"/>
      <c r="L302" s="20"/>
      <c r="M302" s="20"/>
    </row>
    <row r="303" spans="2:13" ht="13" x14ac:dyDescent="0.15">
      <c r="B303" s="25"/>
      <c r="C303" s="25"/>
      <c r="E303" s="25"/>
      <c r="J303" s="20"/>
      <c r="L303" s="20"/>
      <c r="M303" s="20"/>
    </row>
    <row r="304" spans="2:13" ht="13" x14ac:dyDescent="0.15">
      <c r="B304" s="25"/>
      <c r="C304" s="25"/>
      <c r="E304" s="25"/>
      <c r="J304" s="20"/>
      <c r="L304" s="20"/>
      <c r="M304" s="20"/>
    </row>
    <row r="305" spans="2:13" ht="13" x14ac:dyDescent="0.15">
      <c r="B305" s="25"/>
      <c r="C305" s="25"/>
      <c r="E305" s="25"/>
      <c r="J305" s="20"/>
      <c r="L305" s="20"/>
      <c r="M305" s="20"/>
    </row>
    <row r="306" spans="2:13" ht="13" x14ac:dyDescent="0.15">
      <c r="B306" s="25"/>
      <c r="C306" s="25"/>
      <c r="E306" s="25"/>
      <c r="J306" s="20"/>
      <c r="L306" s="20"/>
      <c r="M306" s="20"/>
    </row>
    <row r="307" spans="2:13" ht="13" x14ac:dyDescent="0.15">
      <c r="B307" s="25"/>
      <c r="C307" s="25"/>
      <c r="E307" s="25"/>
      <c r="J307" s="20"/>
      <c r="L307" s="20"/>
      <c r="M307" s="20"/>
    </row>
    <row r="308" spans="2:13" ht="13" x14ac:dyDescent="0.15">
      <c r="B308" s="25"/>
      <c r="C308" s="25"/>
      <c r="E308" s="25"/>
      <c r="J308" s="20"/>
      <c r="L308" s="20"/>
      <c r="M308" s="20"/>
    </row>
    <row r="309" spans="2:13" ht="13" x14ac:dyDescent="0.15">
      <c r="B309" s="25"/>
      <c r="C309" s="25"/>
      <c r="E309" s="25"/>
      <c r="J309" s="20"/>
      <c r="L309" s="20"/>
      <c r="M309" s="20"/>
    </row>
    <row r="310" spans="2:13" ht="13" x14ac:dyDescent="0.15">
      <c r="B310" s="25"/>
      <c r="C310" s="25"/>
      <c r="E310" s="25"/>
      <c r="J310" s="20"/>
      <c r="L310" s="20"/>
      <c r="M310" s="20"/>
    </row>
    <row r="311" spans="2:13" ht="13" x14ac:dyDescent="0.15">
      <c r="B311" s="25"/>
      <c r="C311" s="25"/>
      <c r="E311" s="25"/>
      <c r="J311" s="20"/>
      <c r="L311" s="20"/>
      <c r="M311" s="20"/>
    </row>
    <row r="312" spans="2:13" ht="13" x14ac:dyDescent="0.15">
      <c r="B312" s="25"/>
      <c r="C312" s="25"/>
      <c r="E312" s="25"/>
      <c r="J312" s="20"/>
      <c r="L312" s="20"/>
      <c r="M312" s="20"/>
    </row>
    <row r="313" spans="2:13" ht="13" x14ac:dyDescent="0.15">
      <c r="B313" s="25"/>
      <c r="C313" s="25"/>
      <c r="E313" s="25"/>
      <c r="J313" s="20"/>
      <c r="L313" s="20"/>
      <c r="M313" s="20"/>
    </row>
    <row r="314" spans="2:13" ht="13" x14ac:dyDescent="0.15">
      <c r="B314" s="25"/>
      <c r="C314" s="25"/>
      <c r="E314" s="25"/>
      <c r="J314" s="20"/>
      <c r="L314" s="20"/>
      <c r="M314" s="20"/>
    </row>
    <row r="315" spans="2:13" ht="13" x14ac:dyDescent="0.15">
      <c r="B315" s="25"/>
      <c r="C315" s="25"/>
      <c r="E315" s="25"/>
      <c r="J315" s="20"/>
      <c r="L315" s="20"/>
      <c r="M315" s="20"/>
    </row>
    <row r="316" spans="2:13" ht="13" x14ac:dyDescent="0.15">
      <c r="B316" s="25"/>
      <c r="C316" s="25"/>
      <c r="E316" s="25"/>
      <c r="J316" s="20"/>
      <c r="L316" s="20"/>
      <c r="M316" s="20"/>
    </row>
    <row r="317" spans="2:13" ht="13" x14ac:dyDescent="0.15">
      <c r="B317" s="25"/>
      <c r="C317" s="25"/>
      <c r="E317" s="25"/>
      <c r="J317" s="20"/>
      <c r="L317" s="20"/>
      <c r="M317" s="20"/>
    </row>
    <row r="318" spans="2:13" ht="13" x14ac:dyDescent="0.15">
      <c r="B318" s="25"/>
      <c r="C318" s="25"/>
      <c r="E318" s="25"/>
      <c r="J318" s="20"/>
      <c r="L318" s="20"/>
      <c r="M318" s="20"/>
    </row>
    <row r="319" spans="2:13" ht="13" x14ac:dyDescent="0.15">
      <c r="B319" s="25"/>
      <c r="C319" s="25"/>
      <c r="E319" s="25"/>
      <c r="J319" s="20"/>
      <c r="L319" s="20"/>
      <c r="M319" s="20"/>
    </row>
    <row r="320" spans="2:13" ht="13" x14ac:dyDescent="0.15">
      <c r="B320" s="25"/>
      <c r="C320" s="25"/>
      <c r="E320" s="25"/>
      <c r="J320" s="20"/>
      <c r="L320" s="20"/>
      <c r="M320" s="20"/>
    </row>
    <row r="321" spans="2:13" ht="13" x14ac:dyDescent="0.15">
      <c r="B321" s="25"/>
      <c r="C321" s="25"/>
      <c r="E321" s="25"/>
      <c r="J321" s="20"/>
      <c r="L321" s="20"/>
      <c r="M321" s="20"/>
    </row>
    <row r="322" spans="2:13" ht="13" x14ac:dyDescent="0.15">
      <c r="B322" s="25"/>
      <c r="C322" s="25"/>
      <c r="E322" s="25"/>
      <c r="J322" s="20"/>
      <c r="L322" s="20"/>
      <c r="M322" s="20"/>
    </row>
    <row r="323" spans="2:13" ht="13" x14ac:dyDescent="0.15">
      <c r="B323" s="25"/>
      <c r="C323" s="25"/>
      <c r="E323" s="25"/>
      <c r="J323" s="20"/>
      <c r="L323" s="20"/>
      <c r="M323" s="20"/>
    </row>
    <row r="324" spans="2:13" ht="13" x14ac:dyDescent="0.15">
      <c r="B324" s="25"/>
      <c r="C324" s="25"/>
      <c r="E324" s="25"/>
      <c r="J324" s="20"/>
      <c r="L324" s="20"/>
      <c r="M324" s="20"/>
    </row>
    <row r="325" spans="2:13" ht="13" x14ac:dyDescent="0.15">
      <c r="B325" s="25"/>
      <c r="C325" s="25"/>
      <c r="E325" s="25"/>
      <c r="J325" s="20"/>
      <c r="L325" s="20"/>
      <c r="M325" s="20"/>
    </row>
    <row r="326" spans="2:13" ht="13" x14ac:dyDescent="0.15">
      <c r="B326" s="25"/>
      <c r="C326" s="25"/>
      <c r="E326" s="25"/>
      <c r="J326" s="20"/>
      <c r="L326" s="20"/>
      <c r="M326" s="20"/>
    </row>
    <row r="327" spans="2:13" ht="13" x14ac:dyDescent="0.15">
      <c r="B327" s="25"/>
      <c r="C327" s="25"/>
      <c r="E327" s="25"/>
      <c r="J327" s="20"/>
      <c r="L327" s="20"/>
      <c r="M327" s="20"/>
    </row>
    <row r="328" spans="2:13" ht="13" x14ac:dyDescent="0.15">
      <c r="B328" s="25"/>
      <c r="C328" s="25"/>
      <c r="E328" s="25"/>
      <c r="J328" s="20"/>
      <c r="L328" s="20"/>
      <c r="M328" s="20"/>
    </row>
    <row r="329" spans="2:13" ht="13" x14ac:dyDescent="0.15">
      <c r="B329" s="25"/>
      <c r="C329" s="25"/>
      <c r="E329" s="25"/>
      <c r="J329" s="20"/>
      <c r="L329" s="20"/>
      <c r="M329" s="20"/>
    </row>
    <row r="330" spans="2:13" ht="13" x14ac:dyDescent="0.15">
      <c r="B330" s="25"/>
      <c r="C330" s="25"/>
      <c r="E330" s="25"/>
      <c r="J330" s="20"/>
      <c r="L330" s="20"/>
      <c r="M330" s="20"/>
    </row>
    <row r="331" spans="2:13" ht="13" x14ac:dyDescent="0.15">
      <c r="B331" s="25"/>
      <c r="C331" s="25"/>
      <c r="E331" s="25"/>
      <c r="J331" s="20"/>
      <c r="L331" s="20"/>
      <c r="M331" s="20"/>
    </row>
    <row r="332" spans="2:13" ht="13" x14ac:dyDescent="0.15">
      <c r="B332" s="25"/>
      <c r="C332" s="25"/>
      <c r="E332" s="25"/>
      <c r="J332" s="20"/>
      <c r="L332" s="20"/>
      <c r="M332" s="20"/>
    </row>
    <row r="333" spans="2:13" ht="13" x14ac:dyDescent="0.15">
      <c r="B333" s="25"/>
      <c r="C333" s="25"/>
      <c r="E333" s="25"/>
      <c r="J333" s="20"/>
      <c r="L333" s="20"/>
      <c r="M333" s="20"/>
    </row>
    <row r="334" spans="2:13" ht="13" x14ac:dyDescent="0.15">
      <c r="B334" s="25"/>
      <c r="C334" s="25"/>
      <c r="E334" s="25"/>
      <c r="J334" s="20"/>
      <c r="L334" s="20"/>
      <c r="M334" s="20"/>
    </row>
    <row r="335" spans="2:13" ht="13" x14ac:dyDescent="0.15">
      <c r="B335" s="25"/>
      <c r="C335" s="25"/>
      <c r="E335" s="25"/>
      <c r="J335" s="20"/>
      <c r="L335" s="20"/>
      <c r="M335" s="20"/>
    </row>
    <row r="336" spans="2:13" ht="13" x14ac:dyDescent="0.15">
      <c r="B336" s="25"/>
      <c r="C336" s="25"/>
      <c r="E336" s="25"/>
      <c r="J336" s="20"/>
      <c r="L336" s="20"/>
      <c r="M336" s="20"/>
    </row>
    <row r="337" spans="2:13" ht="13" x14ac:dyDescent="0.15">
      <c r="B337" s="25"/>
      <c r="C337" s="25"/>
      <c r="E337" s="25"/>
      <c r="J337" s="20"/>
      <c r="L337" s="20"/>
      <c r="M337" s="20"/>
    </row>
    <row r="338" spans="2:13" ht="13" x14ac:dyDescent="0.15">
      <c r="B338" s="25"/>
      <c r="C338" s="25"/>
      <c r="E338" s="25"/>
      <c r="J338" s="20"/>
      <c r="L338" s="20"/>
      <c r="M338" s="20"/>
    </row>
    <row r="339" spans="2:13" ht="13" x14ac:dyDescent="0.15">
      <c r="B339" s="25"/>
      <c r="C339" s="25"/>
      <c r="E339" s="25"/>
      <c r="J339" s="20"/>
      <c r="L339" s="20"/>
      <c r="M339" s="20"/>
    </row>
    <row r="340" spans="2:13" ht="13" x14ac:dyDescent="0.15">
      <c r="B340" s="25"/>
      <c r="C340" s="25"/>
      <c r="E340" s="25"/>
      <c r="J340" s="20"/>
      <c r="L340" s="20"/>
      <c r="M340" s="20"/>
    </row>
    <row r="341" spans="2:13" ht="13" x14ac:dyDescent="0.15">
      <c r="B341" s="25"/>
      <c r="C341" s="25"/>
      <c r="E341" s="25"/>
      <c r="J341" s="20"/>
      <c r="L341" s="20"/>
      <c r="M341" s="20"/>
    </row>
    <row r="342" spans="2:13" ht="13" x14ac:dyDescent="0.15">
      <c r="B342" s="25"/>
      <c r="C342" s="25"/>
      <c r="E342" s="25"/>
      <c r="J342" s="20"/>
      <c r="L342" s="20"/>
      <c r="M342" s="20"/>
    </row>
    <row r="343" spans="2:13" ht="13" x14ac:dyDescent="0.15">
      <c r="B343" s="25"/>
      <c r="C343" s="25"/>
      <c r="E343" s="25"/>
      <c r="J343" s="20"/>
      <c r="L343" s="20"/>
      <c r="M343" s="20"/>
    </row>
    <row r="344" spans="2:13" ht="13" x14ac:dyDescent="0.15">
      <c r="B344" s="25"/>
      <c r="C344" s="25"/>
      <c r="E344" s="25"/>
      <c r="J344" s="20"/>
      <c r="L344" s="20"/>
      <c r="M344" s="20"/>
    </row>
    <row r="345" spans="2:13" ht="13" x14ac:dyDescent="0.15">
      <c r="B345" s="25"/>
      <c r="C345" s="25"/>
      <c r="E345" s="25"/>
      <c r="J345" s="20"/>
      <c r="L345" s="20"/>
      <c r="M345" s="20"/>
    </row>
    <row r="346" spans="2:13" ht="13" x14ac:dyDescent="0.15">
      <c r="B346" s="25"/>
      <c r="C346" s="25"/>
      <c r="E346" s="25"/>
      <c r="J346" s="20"/>
      <c r="L346" s="20"/>
      <c r="M346" s="20"/>
    </row>
    <row r="347" spans="2:13" ht="13" x14ac:dyDescent="0.15">
      <c r="B347" s="25"/>
      <c r="C347" s="25"/>
      <c r="E347" s="25"/>
      <c r="J347" s="20"/>
      <c r="L347" s="20"/>
      <c r="M347" s="20"/>
    </row>
    <row r="348" spans="2:13" ht="13" x14ac:dyDescent="0.15">
      <c r="B348" s="25"/>
      <c r="C348" s="25"/>
      <c r="E348" s="25"/>
      <c r="J348" s="20"/>
      <c r="L348" s="20"/>
      <c r="M348" s="20"/>
    </row>
    <row r="349" spans="2:13" ht="13" x14ac:dyDescent="0.15">
      <c r="B349" s="25"/>
      <c r="C349" s="25"/>
      <c r="E349" s="25"/>
      <c r="J349" s="20"/>
      <c r="L349" s="20"/>
      <c r="M349" s="20"/>
    </row>
    <row r="350" spans="2:13" ht="13" x14ac:dyDescent="0.15">
      <c r="B350" s="25"/>
      <c r="C350" s="25"/>
      <c r="E350" s="25"/>
      <c r="J350" s="20"/>
      <c r="L350" s="20"/>
      <c r="M350" s="20"/>
    </row>
    <row r="351" spans="2:13" ht="13" x14ac:dyDescent="0.15">
      <c r="B351" s="25"/>
      <c r="C351" s="25"/>
      <c r="E351" s="25"/>
      <c r="J351" s="20"/>
      <c r="L351" s="20"/>
      <c r="M351" s="20"/>
    </row>
    <row r="352" spans="2:13" ht="13" x14ac:dyDescent="0.15">
      <c r="B352" s="25"/>
      <c r="C352" s="25"/>
      <c r="E352" s="25"/>
      <c r="J352" s="20"/>
      <c r="L352" s="20"/>
      <c r="M352" s="20"/>
    </row>
    <row r="353" spans="2:13" ht="13" x14ac:dyDescent="0.15">
      <c r="B353" s="25"/>
      <c r="C353" s="25"/>
      <c r="E353" s="25"/>
      <c r="J353" s="20"/>
      <c r="L353" s="20"/>
      <c r="M353" s="20"/>
    </row>
    <row r="354" spans="2:13" ht="13" x14ac:dyDescent="0.15">
      <c r="B354" s="25"/>
      <c r="C354" s="25"/>
      <c r="E354" s="25"/>
      <c r="J354" s="20"/>
      <c r="L354" s="20"/>
      <c r="M354" s="20"/>
    </row>
    <row r="355" spans="2:13" ht="13" x14ac:dyDescent="0.15">
      <c r="B355" s="25"/>
      <c r="C355" s="25"/>
      <c r="E355" s="25"/>
      <c r="J355" s="20"/>
      <c r="L355" s="20"/>
      <c r="M355" s="20"/>
    </row>
    <row r="356" spans="2:13" ht="13" x14ac:dyDescent="0.15">
      <c r="B356" s="25"/>
      <c r="C356" s="25"/>
      <c r="E356" s="25"/>
      <c r="J356" s="20"/>
      <c r="L356" s="20"/>
      <c r="M356" s="20"/>
    </row>
    <row r="357" spans="2:13" ht="13" x14ac:dyDescent="0.15">
      <c r="B357" s="25"/>
      <c r="C357" s="25"/>
      <c r="E357" s="25"/>
      <c r="J357" s="20"/>
      <c r="L357" s="20"/>
      <c r="M357" s="20"/>
    </row>
    <row r="358" spans="2:13" ht="13" x14ac:dyDescent="0.15">
      <c r="B358" s="25"/>
      <c r="C358" s="25"/>
      <c r="E358" s="25"/>
      <c r="J358" s="20"/>
      <c r="L358" s="20"/>
      <c r="M358" s="20"/>
    </row>
    <row r="359" spans="2:13" ht="13" x14ac:dyDescent="0.15">
      <c r="B359" s="25"/>
      <c r="C359" s="25"/>
      <c r="E359" s="25"/>
      <c r="J359" s="20"/>
      <c r="L359" s="20"/>
      <c r="M359" s="20"/>
    </row>
    <row r="360" spans="2:13" ht="13" x14ac:dyDescent="0.15">
      <c r="B360" s="25"/>
      <c r="C360" s="25"/>
      <c r="E360" s="25"/>
      <c r="J360" s="20"/>
      <c r="L360" s="20"/>
      <c r="M360" s="20"/>
    </row>
    <row r="361" spans="2:13" ht="13" x14ac:dyDescent="0.15">
      <c r="B361" s="25"/>
      <c r="C361" s="25"/>
      <c r="E361" s="25"/>
      <c r="J361" s="20"/>
      <c r="L361" s="20"/>
      <c r="M361" s="20"/>
    </row>
    <row r="362" spans="2:13" ht="13" x14ac:dyDescent="0.15">
      <c r="B362" s="25"/>
      <c r="C362" s="25"/>
      <c r="E362" s="25"/>
      <c r="J362" s="20"/>
      <c r="L362" s="20"/>
      <c r="M362" s="20"/>
    </row>
    <row r="363" spans="2:13" ht="13" x14ac:dyDescent="0.15">
      <c r="B363" s="25"/>
      <c r="C363" s="25"/>
      <c r="E363" s="25"/>
      <c r="J363" s="20"/>
      <c r="L363" s="20"/>
      <c r="M363" s="20"/>
    </row>
    <row r="364" spans="2:13" ht="13" x14ac:dyDescent="0.15">
      <c r="B364" s="25"/>
      <c r="C364" s="25"/>
      <c r="E364" s="25"/>
      <c r="J364" s="20"/>
      <c r="L364" s="20"/>
      <c r="M364" s="20"/>
    </row>
    <row r="365" spans="2:13" ht="13" x14ac:dyDescent="0.15">
      <c r="B365" s="25"/>
      <c r="C365" s="25"/>
      <c r="E365" s="25"/>
      <c r="J365" s="20"/>
      <c r="L365" s="20"/>
      <c r="M365" s="20"/>
    </row>
    <row r="366" spans="2:13" ht="13" x14ac:dyDescent="0.15">
      <c r="B366" s="25"/>
      <c r="C366" s="25"/>
      <c r="E366" s="25"/>
      <c r="J366" s="20"/>
      <c r="L366" s="20"/>
      <c r="M366" s="20"/>
    </row>
    <row r="367" spans="2:13" ht="13" x14ac:dyDescent="0.15">
      <c r="B367" s="25"/>
      <c r="C367" s="25"/>
      <c r="E367" s="25"/>
      <c r="J367" s="20"/>
      <c r="L367" s="20"/>
      <c r="M367" s="20"/>
    </row>
    <row r="368" spans="2:13" ht="13" x14ac:dyDescent="0.15">
      <c r="B368" s="25"/>
      <c r="C368" s="25"/>
      <c r="E368" s="25"/>
      <c r="J368" s="20"/>
      <c r="L368" s="20"/>
      <c r="M368" s="20"/>
    </row>
    <row r="369" spans="2:13" ht="13" x14ac:dyDescent="0.15">
      <c r="B369" s="25"/>
      <c r="C369" s="25"/>
      <c r="E369" s="25"/>
      <c r="J369" s="20"/>
      <c r="L369" s="20"/>
      <c r="M369" s="20"/>
    </row>
    <row r="370" spans="2:13" ht="13" x14ac:dyDescent="0.15">
      <c r="B370" s="25"/>
      <c r="C370" s="25"/>
      <c r="E370" s="25"/>
      <c r="J370" s="20"/>
      <c r="L370" s="20"/>
      <c r="M370" s="20"/>
    </row>
    <row r="371" spans="2:13" ht="13" x14ac:dyDescent="0.15">
      <c r="B371" s="25"/>
      <c r="C371" s="25"/>
      <c r="E371" s="25"/>
      <c r="J371" s="20"/>
      <c r="L371" s="20"/>
      <c r="M371" s="20"/>
    </row>
    <row r="372" spans="2:13" ht="13" x14ac:dyDescent="0.15">
      <c r="B372" s="25"/>
      <c r="C372" s="25"/>
      <c r="E372" s="25"/>
      <c r="J372" s="20"/>
      <c r="L372" s="20"/>
      <c r="M372" s="20"/>
    </row>
    <row r="373" spans="2:13" ht="13" x14ac:dyDescent="0.15">
      <c r="B373" s="25"/>
      <c r="C373" s="25"/>
      <c r="E373" s="25"/>
      <c r="J373" s="20"/>
      <c r="L373" s="20"/>
      <c r="M373" s="20"/>
    </row>
    <row r="374" spans="2:13" ht="13" x14ac:dyDescent="0.15">
      <c r="B374" s="25"/>
      <c r="C374" s="25"/>
      <c r="E374" s="25"/>
      <c r="J374" s="20"/>
      <c r="L374" s="20"/>
      <c r="M374" s="20"/>
    </row>
    <row r="375" spans="2:13" ht="13" x14ac:dyDescent="0.15">
      <c r="B375" s="25"/>
      <c r="C375" s="25"/>
      <c r="E375" s="25"/>
      <c r="J375" s="20"/>
      <c r="L375" s="20"/>
      <c r="M375" s="20"/>
    </row>
    <row r="376" spans="2:13" ht="13" x14ac:dyDescent="0.15">
      <c r="B376" s="25"/>
      <c r="C376" s="25"/>
      <c r="E376" s="25"/>
      <c r="J376" s="20"/>
      <c r="L376" s="20"/>
      <c r="M376" s="20"/>
    </row>
    <row r="377" spans="2:13" ht="13" x14ac:dyDescent="0.15">
      <c r="B377" s="25"/>
      <c r="C377" s="25"/>
      <c r="E377" s="25"/>
      <c r="J377" s="20"/>
      <c r="L377" s="20"/>
      <c r="M377" s="20"/>
    </row>
    <row r="378" spans="2:13" ht="13" x14ac:dyDescent="0.15">
      <c r="B378" s="25"/>
      <c r="C378" s="25"/>
      <c r="E378" s="25"/>
      <c r="J378" s="20"/>
      <c r="L378" s="20"/>
      <c r="M378" s="20"/>
    </row>
    <row r="379" spans="2:13" ht="13" x14ac:dyDescent="0.15">
      <c r="B379" s="25"/>
      <c r="C379" s="25"/>
      <c r="E379" s="25"/>
      <c r="J379" s="20"/>
      <c r="L379" s="20"/>
      <c r="M379" s="20"/>
    </row>
    <row r="380" spans="2:13" ht="13" x14ac:dyDescent="0.15">
      <c r="B380" s="25"/>
      <c r="C380" s="25"/>
      <c r="E380" s="25"/>
      <c r="J380" s="20"/>
      <c r="L380" s="20"/>
      <c r="M380" s="20"/>
    </row>
    <row r="381" spans="2:13" ht="13" x14ac:dyDescent="0.15">
      <c r="B381" s="25"/>
      <c r="C381" s="25"/>
      <c r="E381" s="25"/>
      <c r="J381" s="20"/>
      <c r="L381" s="20"/>
      <c r="M381" s="20"/>
    </row>
    <row r="382" spans="2:13" ht="13" x14ac:dyDescent="0.15">
      <c r="B382" s="25"/>
      <c r="C382" s="25"/>
      <c r="E382" s="25"/>
      <c r="J382" s="20"/>
      <c r="L382" s="20"/>
      <c r="M382" s="20"/>
    </row>
    <row r="383" spans="2:13" ht="13" x14ac:dyDescent="0.15">
      <c r="B383" s="25"/>
      <c r="C383" s="25"/>
      <c r="E383" s="25"/>
      <c r="J383" s="20"/>
      <c r="L383" s="20"/>
      <c r="M383" s="20"/>
    </row>
    <row r="384" spans="2:13" ht="13" x14ac:dyDescent="0.15">
      <c r="B384" s="25"/>
      <c r="C384" s="25"/>
      <c r="E384" s="25"/>
      <c r="J384" s="20"/>
      <c r="L384" s="20"/>
      <c r="M384" s="20"/>
    </row>
    <row r="385" spans="2:13" ht="13" x14ac:dyDescent="0.15">
      <c r="B385" s="25"/>
      <c r="C385" s="25"/>
      <c r="E385" s="25"/>
      <c r="J385" s="20"/>
      <c r="L385" s="20"/>
      <c r="M385" s="20"/>
    </row>
    <row r="386" spans="2:13" ht="13" x14ac:dyDescent="0.15">
      <c r="B386" s="25"/>
      <c r="C386" s="25"/>
      <c r="E386" s="25"/>
      <c r="J386" s="20"/>
      <c r="L386" s="20"/>
      <c r="M386" s="20"/>
    </row>
    <row r="387" spans="2:13" ht="13" x14ac:dyDescent="0.15">
      <c r="B387" s="25"/>
      <c r="C387" s="25"/>
      <c r="E387" s="25"/>
      <c r="J387" s="20"/>
      <c r="L387" s="20"/>
      <c r="M387" s="20"/>
    </row>
    <row r="388" spans="2:13" ht="13" x14ac:dyDescent="0.15">
      <c r="B388" s="25"/>
      <c r="C388" s="25"/>
      <c r="E388" s="25"/>
      <c r="J388" s="20"/>
      <c r="L388" s="20"/>
      <c r="M388" s="20"/>
    </row>
    <row r="389" spans="2:13" ht="13" x14ac:dyDescent="0.15">
      <c r="B389" s="25"/>
      <c r="C389" s="25"/>
      <c r="E389" s="25"/>
      <c r="J389" s="20"/>
      <c r="L389" s="20"/>
      <c r="M389" s="20"/>
    </row>
    <row r="390" spans="2:13" ht="13" x14ac:dyDescent="0.15">
      <c r="B390" s="25"/>
      <c r="C390" s="25"/>
      <c r="E390" s="25"/>
      <c r="J390" s="20"/>
      <c r="L390" s="20"/>
      <c r="M390" s="20"/>
    </row>
    <row r="391" spans="2:13" ht="13" x14ac:dyDescent="0.15">
      <c r="B391" s="25"/>
      <c r="C391" s="25"/>
      <c r="E391" s="25"/>
      <c r="J391" s="20"/>
      <c r="L391" s="20"/>
      <c r="M391" s="20"/>
    </row>
    <row r="392" spans="2:13" ht="13" x14ac:dyDescent="0.15">
      <c r="B392" s="25"/>
      <c r="C392" s="25"/>
      <c r="E392" s="25"/>
      <c r="J392" s="20"/>
      <c r="L392" s="20"/>
      <c r="M392" s="20"/>
    </row>
    <row r="393" spans="2:13" ht="13" x14ac:dyDescent="0.15">
      <c r="B393" s="25"/>
      <c r="C393" s="25"/>
      <c r="E393" s="25"/>
      <c r="J393" s="20"/>
      <c r="L393" s="20"/>
      <c r="M393" s="20"/>
    </row>
    <row r="394" spans="2:13" ht="13" x14ac:dyDescent="0.15">
      <c r="B394" s="25"/>
      <c r="C394" s="25"/>
      <c r="E394" s="25"/>
      <c r="J394" s="20"/>
      <c r="L394" s="20"/>
      <c r="M394" s="20"/>
    </row>
    <row r="395" spans="2:13" ht="13" x14ac:dyDescent="0.15">
      <c r="B395" s="25"/>
      <c r="C395" s="25"/>
      <c r="E395" s="25"/>
      <c r="J395" s="20"/>
      <c r="L395" s="20"/>
      <c r="M395" s="20"/>
    </row>
    <row r="396" spans="2:13" ht="13" x14ac:dyDescent="0.15">
      <c r="B396" s="25"/>
      <c r="C396" s="25"/>
      <c r="E396" s="25"/>
      <c r="J396" s="20"/>
      <c r="L396" s="20"/>
      <c r="M396" s="20"/>
    </row>
    <row r="397" spans="2:13" ht="13" x14ac:dyDescent="0.15">
      <c r="B397" s="25"/>
      <c r="C397" s="25"/>
      <c r="E397" s="25"/>
      <c r="J397" s="20"/>
      <c r="L397" s="20"/>
      <c r="M397" s="20"/>
    </row>
    <row r="398" spans="2:13" ht="13" x14ac:dyDescent="0.15">
      <c r="B398" s="25"/>
      <c r="C398" s="25"/>
      <c r="E398" s="25"/>
      <c r="J398" s="20"/>
      <c r="L398" s="20"/>
      <c r="M398" s="20"/>
    </row>
    <row r="399" spans="2:13" ht="13" x14ac:dyDescent="0.15">
      <c r="B399" s="25"/>
      <c r="C399" s="25"/>
      <c r="E399" s="25"/>
      <c r="J399" s="20"/>
      <c r="L399" s="20"/>
      <c r="M399" s="20"/>
    </row>
    <row r="400" spans="2:13" ht="13" x14ac:dyDescent="0.15">
      <c r="B400" s="25"/>
      <c r="C400" s="25"/>
      <c r="E400" s="25"/>
      <c r="J400" s="20"/>
      <c r="L400" s="20"/>
      <c r="M400" s="20"/>
    </row>
    <row r="401" spans="2:13" ht="13" x14ac:dyDescent="0.15">
      <c r="B401" s="25"/>
      <c r="C401" s="25"/>
      <c r="E401" s="25"/>
      <c r="J401" s="20"/>
      <c r="L401" s="20"/>
      <c r="M401" s="20"/>
    </row>
    <row r="402" spans="2:13" ht="13" x14ac:dyDescent="0.15">
      <c r="B402" s="25"/>
      <c r="C402" s="25"/>
      <c r="E402" s="25"/>
      <c r="J402" s="20"/>
      <c r="L402" s="20"/>
      <c r="M402" s="20"/>
    </row>
    <row r="403" spans="2:13" ht="13" x14ac:dyDescent="0.15">
      <c r="B403" s="25"/>
      <c r="C403" s="25"/>
      <c r="E403" s="25"/>
      <c r="J403" s="20"/>
      <c r="L403" s="20"/>
      <c r="M403" s="20"/>
    </row>
    <row r="404" spans="2:13" ht="13" x14ac:dyDescent="0.15">
      <c r="B404" s="25"/>
      <c r="C404" s="25"/>
      <c r="E404" s="25"/>
      <c r="J404" s="20"/>
      <c r="L404" s="20"/>
      <c r="M404" s="20"/>
    </row>
    <row r="405" spans="2:13" ht="13" x14ac:dyDescent="0.15">
      <c r="B405" s="25"/>
      <c r="C405" s="25"/>
      <c r="E405" s="25"/>
      <c r="J405" s="20"/>
      <c r="L405" s="20"/>
      <c r="M405" s="20"/>
    </row>
    <row r="406" spans="2:13" ht="13" x14ac:dyDescent="0.15">
      <c r="B406" s="25"/>
      <c r="C406" s="25"/>
      <c r="E406" s="25"/>
      <c r="J406" s="20"/>
      <c r="L406" s="20"/>
      <c r="M406" s="20"/>
    </row>
    <row r="407" spans="2:13" ht="13" x14ac:dyDescent="0.15">
      <c r="B407" s="25"/>
      <c r="C407" s="25"/>
      <c r="E407" s="25"/>
      <c r="J407" s="20"/>
      <c r="L407" s="20"/>
      <c r="M407" s="20"/>
    </row>
    <row r="408" spans="2:13" ht="13" x14ac:dyDescent="0.15">
      <c r="B408" s="25"/>
      <c r="C408" s="25"/>
      <c r="E408" s="25"/>
      <c r="J408" s="20"/>
      <c r="L408" s="20"/>
      <c r="M408" s="20"/>
    </row>
    <row r="409" spans="2:13" ht="13" x14ac:dyDescent="0.15">
      <c r="B409" s="25"/>
      <c r="C409" s="25"/>
      <c r="E409" s="25"/>
      <c r="J409" s="20"/>
      <c r="L409" s="20"/>
      <c r="M409" s="20"/>
    </row>
    <row r="410" spans="2:13" ht="13" x14ac:dyDescent="0.15">
      <c r="B410" s="25"/>
      <c r="C410" s="25"/>
      <c r="E410" s="25"/>
      <c r="J410" s="20"/>
      <c r="L410" s="20"/>
      <c r="M410" s="20"/>
    </row>
    <row r="411" spans="2:13" ht="13" x14ac:dyDescent="0.15">
      <c r="B411" s="25"/>
      <c r="C411" s="25"/>
      <c r="E411" s="25"/>
      <c r="J411" s="20"/>
      <c r="L411" s="20"/>
      <c r="M411" s="20"/>
    </row>
    <row r="412" spans="2:13" ht="13" x14ac:dyDescent="0.15">
      <c r="B412" s="25"/>
      <c r="C412" s="25"/>
      <c r="E412" s="25"/>
      <c r="J412" s="20"/>
      <c r="L412" s="20"/>
      <c r="M412" s="20"/>
    </row>
    <row r="413" spans="2:13" ht="13" x14ac:dyDescent="0.15">
      <c r="B413" s="25"/>
      <c r="C413" s="25"/>
      <c r="E413" s="25"/>
      <c r="J413" s="20"/>
      <c r="L413" s="20"/>
      <c r="M413" s="20"/>
    </row>
    <row r="414" spans="2:13" ht="13" x14ac:dyDescent="0.15">
      <c r="B414" s="25"/>
      <c r="C414" s="25"/>
      <c r="E414" s="25"/>
      <c r="J414" s="20"/>
      <c r="L414" s="20"/>
      <c r="M414" s="20"/>
    </row>
    <row r="415" spans="2:13" ht="13" x14ac:dyDescent="0.15">
      <c r="B415" s="25"/>
      <c r="C415" s="25"/>
      <c r="E415" s="25"/>
      <c r="J415" s="20"/>
      <c r="L415" s="20"/>
      <c r="M415" s="20"/>
    </row>
    <row r="416" spans="2:13" ht="13" x14ac:dyDescent="0.15">
      <c r="B416" s="25"/>
      <c r="C416" s="25"/>
      <c r="E416" s="25"/>
      <c r="J416" s="20"/>
      <c r="L416" s="20"/>
      <c r="M416" s="20"/>
    </row>
    <row r="417" spans="2:13" ht="13" x14ac:dyDescent="0.15">
      <c r="B417" s="25"/>
      <c r="C417" s="25"/>
      <c r="E417" s="25"/>
      <c r="J417" s="20"/>
      <c r="L417" s="20"/>
      <c r="M417" s="20"/>
    </row>
    <row r="418" spans="2:13" ht="13" x14ac:dyDescent="0.15">
      <c r="B418" s="25"/>
      <c r="C418" s="25"/>
      <c r="E418" s="25"/>
      <c r="J418" s="20"/>
      <c r="L418" s="20"/>
      <c r="M418" s="20"/>
    </row>
    <row r="419" spans="2:13" ht="13" x14ac:dyDescent="0.15">
      <c r="B419" s="25"/>
      <c r="C419" s="25"/>
      <c r="E419" s="25"/>
      <c r="J419" s="20"/>
      <c r="L419" s="20"/>
      <c r="M419" s="20"/>
    </row>
    <row r="420" spans="2:13" ht="13" x14ac:dyDescent="0.15">
      <c r="B420" s="25"/>
      <c r="C420" s="25"/>
      <c r="E420" s="25"/>
      <c r="J420" s="20"/>
      <c r="L420" s="20"/>
      <c r="M420" s="20"/>
    </row>
    <row r="421" spans="2:13" ht="13" x14ac:dyDescent="0.15">
      <c r="B421" s="25"/>
      <c r="C421" s="25"/>
      <c r="E421" s="25"/>
      <c r="J421" s="20"/>
      <c r="L421" s="20"/>
      <c r="M421" s="20"/>
    </row>
    <row r="422" spans="2:13" ht="13" x14ac:dyDescent="0.15">
      <c r="B422" s="25"/>
      <c r="C422" s="25"/>
      <c r="E422" s="25"/>
      <c r="J422" s="20"/>
      <c r="L422" s="20"/>
      <c r="M422" s="20"/>
    </row>
    <row r="423" spans="2:13" ht="13" x14ac:dyDescent="0.15">
      <c r="B423" s="25"/>
      <c r="C423" s="25"/>
      <c r="E423" s="25"/>
      <c r="J423" s="20"/>
      <c r="L423" s="20"/>
      <c r="M423" s="20"/>
    </row>
    <row r="424" spans="2:13" ht="13" x14ac:dyDescent="0.15">
      <c r="B424" s="25"/>
      <c r="C424" s="25"/>
      <c r="E424" s="25"/>
      <c r="J424" s="20"/>
      <c r="L424" s="20"/>
      <c r="M424" s="20"/>
    </row>
    <row r="425" spans="2:13" ht="13" x14ac:dyDescent="0.15">
      <c r="B425" s="25"/>
      <c r="C425" s="25"/>
      <c r="E425" s="25"/>
      <c r="J425" s="20"/>
      <c r="L425" s="20"/>
      <c r="M425" s="20"/>
    </row>
    <row r="426" spans="2:13" ht="13" x14ac:dyDescent="0.15">
      <c r="B426" s="25"/>
      <c r="C426" s="25"/>
      <c r="E426" s="25"/>
      <c r="J426" s="20"/>
      <c r="L426" s="20"/>
      <c r="M426" s="20"/>
    </row>
    <row r="427" spans="2:13" ht="13" x14ac:dyDescent="0.15">
      <c r="B427" s="25"/>
      <c r="C427" s="25"/>
      <c r="E427" s="25"/>
      <c r="J427" s="20"/>
      <c r="L427" s="20"/>
      <c r="M427" s="20"/>
    </row>
    <row r="428" spans="2:13" ht="13" x14ac:dyDescent="0.15">
      <c r="B428" s="25"/>
      <c r="C428" s="25"/>
      <c r="E428" s="25"/>
      <c r="J428" s="20"/>
      <c r="L428" s="20"/>
      <c r="M428" s="20"/>
    </row>
    <row r="429" spans="2:13" ht="13" x14ac:dyDescent="0.15">
      <c r="B429" s="25"/>
      <c r="C429" s="25"/>
      <c r="E429" s="25"/>
      <c r="J429" s="20"/>
      <c r="L429" s="20"/>
      <c r="M429" s="20"/>
    </row>
    <row r="430" spans="2:13" ht="13" x14ac:dyDescent="0.15">
      <c r="B430" s="25"/>
      <c r="C430" s="25"/>
      <c r="E430" s="25"/>
      <c r="J430" s="20"/>
      <c r="L430" s="20"/>
      <c r="M430" s="20"/>
    </row>
    <row r="431" spans="2:13" ht="13" x14ac:dyDescent="0.15">
      <c r="B431" s="25"/>
      <c r="C431" s="25"/>
      <c r="E431" s="25"/>
      <c r="J431" s="20"/>
      <c r="L431" s="20"/>
      <c r="M431" s="20"/>
    </row>
    <row r="432" spans="2:13" ht="13" x14ac:dyDescent="0.15">
      <c r="B432" s="25"/>
      <c r="C432" s="25"/>
      <c r="E432" s="25"/>
      <c r="J432" s="20"/>
      <c r="L432" s="20"/>
      <c r="M432" s="20"/>
    </row>
    <row r="433" spans="2:13" ht="13" x14ac:dyDescent="0.15">
      <c r="B433" s="25"/>
      <c r="C433" s="25"/>
      <c r="E433" s="25"/>
      <c r="J433" s="20"/>
      <c r="L433" s="20"/>
      <c r="M433" s="20"/>
    </row>
    <row r="434" spans="2:13" ht="13" x14ac:dyDescent="0.15">
      <c r="B434" s="25"/>
      <c r="C434" s="25"/>
      <c r="E434" s="25"/>
      <c r="J434" s="20"/>
      <c r="L434" s="20"/>
      <c r="M434" s="20"/>
    </row>
    <row r="435" spans="2:13" ht="13" x14ac:dyDescent="0.15">
      <c r="B435" s="25"/>
      <c r="C435" s="25"/>
      <c r="E435" s="25"/>
      <c r="J435" s="20"/>
      <c r="L435" s="20"/>
      <c r="M435" s="20"/>
    </row>
    <row r="436" spans="2:13" ht="13" x14ac:dyDescent="0.15">
      <c r="B436" s="25"/>
      <c r="C436" s="25"/>
      <c r="E436" s="25"/>
      <c r="J436" s="20"/>
      <c r="L436" s="20"/>
      <c r="M436" s="20"/>
    </row>
    <row r="437" spans="2:13" ht="13" x14ac:dyDescent="0.15">
      <c r="B437" s="25"/>
      <c r="C437" s="25"/>
      <c r="E437" s="25"/>
      <c r="J437" s="20"/>
      <c r="L437" s="20"/>
      <c r="M437" s="20"/>
    </row>
    <row r="438" spans="2:13" ht="13" x14ac:dyDescent="0.15">
      <c r="B438" s="25"/>
      <c r="C438" s="25"/>
      <c r="E438" s="25"/>
      <c r="J438" s="20"/>
      <c r="L438" s="20"/>
      <c r="M438" s="20"/>
    </row>
    <row r="439" spans="2:13" ht="13" x14ac:dyDescent="0.15">
      <c r="B439" s="25"/>
      <c r="C439" s="25"/>
      <c r="E439" s="25"/>
      <c r="J439" s="20"/>
      <c r="L439" s="20"/>
      <c r="M439" s="20"/>
    </row>
    <row r="440" spans="2:13" ht="13" x14ac:dyDescent="0.15">
      <c r="B440" s="25"/>
      <c r="C440" s="25"/>
      <c r="E440" s="25"/>
      <c r="J440" s="20"/>
      <c r="L440" s="20"/>
      <c r="M440" s="20"/>
    </row>
    <row r="441" spans="2:13" ht="13" x14ac:dyDescent="0.15">
      <c r="B441" s="25"/>
      <c r="C441" s="25"/>
      <c r="E441" s="25"/>
      <c r="J441" s="20"/>
      <c r="L441" s="20"/>
      <c r="M441" s="20"/>
    </row>
    <row r="442" spans="2:13" ht="13" x14ac:dyDescent="0.15">
      <c r="B442" s="25"/>
      <c r="C442" s="25"/>
      <c r="E442" s="25"/>
      <c r="J442" s="20"/>
      <c r="L442" s="20"/>
      <c r="M442" s="20"/>
    </row>
    <row r="443" spans="2:13" ht="13" x14ac:dyDescent="0.15">
      <c r="B443" s="25"/>
      <c r="C443" s="25"/>
      <c r="E443" s="25"/>
      <c r="J443" s="20"/>
      <c r="L443" s="20"/>
      <c r="M443" s="20"/>
    </row>
    <row r="444" spans="2:13" ht="13" x14ac:dyDescent="0.15">
      <c r="B444" s="25"/>
      <c r="C444" s="25"/>
      <c r="E444" s="25"/>
      <c r="J444" s="20"/>
      <c r="L444" s="20"/>
      <c r="M444" s="20"/>
    </row>
    <row r="445" spans="2:13" ht="13" x14ac:dyDescent="0.15">
      <c r="B445" s="25"/>
      <c r="C445" s="25"/>
      <c r="E445" s="25"/>
      <c r="J445" s="20"/>
      <c r="L445" s="20"/>
      <c r="M445" s="20"/>
    </row>
    <row r="446" spans="2:13" ht="13" x14ac:dyDescent="0.15">
      <c r="B446" s="25"/>
      <c r="C446" s="25"/>
      <c r="E446" s="25"/>
      <c r="J446" s="20"/>
      <c r="L446" s="20"/>
      <c r="M446" s="20"/>
    </row>
    <row r="447" spans="2:13" ht="13" x14ac:dyDescent="0.15">
      <c r="B447" s="25"/>
      <c r="C447" s="25"/>
      <c r="E447" s="25"/>
      <c r="J447" s="20"/>
      <c r="L447" s="20"/>
      <c r="M447" s="20"/>
    </row>
    <row r="448" spans="2:13" ht="13" x14ac:dyDescent="0.15">
      <c r="B448" s="25"/>
      <c r="C448" s="25"/>
      <c r="E448" s="25"/>
      <c r="J448" s="20"/>
      <c r="L448" s="20"/>
      <c r="M448" s="20"/>
    </row>
    <row r="449" spans="2:13" ht="13" x14ac:dyDescent="0.15">
      <c r="B449" s="25"/>
      <c r="C449" s="25"/>
      <c r="E449" s="25"/>
      <c r="J449" s="20"/>
      <c r="L449" s="20"/>
      <c r="M449" s="20"/>
    </row>
    <row r="450" spans="2:13" ht="13" x14ac:dyDescent="0.15">
      <c r="B450" s="25"/>
      <c r="C450" s="25"/>
      <c r="E450" s="25"/>
      <c r="J450" s="20"/>
      <c r="L450" s="20"/>
      <c r="M450" s="20"/>
    </row>
    <row r="451" spans="2:13" ht="13" x14ac:dyDescent="0.15">
      <c r="B451" s="25"/>
      <c r="C451" s="25"/>
      <c r="E451" s="25"/>
      <c r="J451" s="20"/>
      <c r="L451" s="20"/>
      <c r="M451" s="20"/>
    </row>
    <row r="452" spans="2:13" ht="13" x14ac:dyDescent="0.15">
      <c r="B452" s="25"/>
      <c r="C452" s="25"/>
      <c r="E452" s="25"/>
      <c r="J452" s="20"/>
      <c r="L452" s="20"/>
      <c r="M452" s="20"/>
    </row>
    <row r="453" spans="2:13" ht="13" x14ac:dyDescent="0.15">
      <c r="B453" s="25"/>
      <c r="C453" s="25"/>
      <c r="E453" s="25"/>
      <c r="J453" s="20"/>
      <c r="L453" s="20"/>
      <c r="M453" s="20"/>
    </row>
    <row r="454" spans="2:13" ht="13" x14ac:dyDescent="0.15">
      <c r="B454" s="25"/>
      <c r="C454" s="25"/>
      <c r="E454" s="25"/>
      <c r="J454" s="20"/>
      <c r="L454" s="20"/>
      <c r="M454" s="20"/>
    </row>
    <row r="455" spans="2:13" ht="13" x14ac:dyDescent="0.15">
      <c r="B455" s="25"/>
      <c r="C455" s="25"/>
      <c r="E455" s="25"/>
      <c r="J455" s="20"/>
      <c r="L455" s="20"/>
      <c r="M455" s="20"/>
    </row>
    <row r="456" spans="2:13" ht="13" x14ac:dyDescent="0.15">
      <c r="B456" s="25"/>
      <c r="C456" s="25"/>
      <c r="E456" s="25"/>
      <c r="J456" s="20"/>
      <c r="L456" s="20"/>
      <c r="M456" s="20"/>
    </row>
    <row r="457" spans="2:13" ht="13" x14ac:dyDescent="0.15">
      <c r="B457" s="25"/>
      <c r="C457" s="25"/>
      <c r="E457" s="25"/>
      <c r="J457" s="20"/>
      <c r="L457" s="20"/>
      <c r="M457" s="20"/>
    </row>
    <row r="458" spans="2:13" ht="13" x14ac:dyDescent="0.15">
      <c r="B458" s="25"/>
      <c r="C458" s="25"/>
      <c r="E458" s="25"/>
      <c r="J458" s="20"/>
      <c r="L458" s="20"/>
      <c r="M458" s="20"/>
    </row>
    <row r="459" spans="2:13" ht="13" x14ac:dyDescent="0.15">
      <c r="B459" s="25"/>
      <c r="C459" s="25"/>
      <c r="E459" s="25"/>
      <c r="J459" s="20"/>
      <c r="L459" s="20"/>
      <c r="M459" s="20"/>
    </row>
    <row r="460" spans="2:13" ht="13" x14ac:dyDescent="0.15">
      <c r="B460" s="25"/>
      <c r="C460" s="25"/>
      <c r="E460" s="25"/>
      <c r="J460" s="20"/>
      <c r="L460" s="20"/>
      <c r="M460" s="20"/>
    </row>
    <row r="461" spans="2:13" ht="13" x14ac:dyDescent="0.15">
      <c r="B461" s="25"/>
      <c r="C461" s="25"/>
      <c r="E461" s="25"/>
      <c r="J461" s="20"/>
      <c r="L461" s="20"/>
      <c r="M461" s="20"/>
    </row>
    <row r="462" spans="2:13" ht="13" x14ac:dyDescent="0.15">
      <c r="B462" s="25"/>
      <c r="C462" s="25"/>
      <c r="E462" s="25"/>
      <c r="J462" s="20"/>
      <c r="L462" s="20"/>
      <c r="M462" s="20"/>
    </row>
    <row r="463" spans="2:13" ht="13" x14ac:dyDescent="0.15">
      <c r="B463" s="25"/>
      <c r="C463" s="25"/>
      <c r="E463" s="25"/>
      <c r="J463" s="20"/>
      <c r="L463" s="20"/>
      <c r="M463" s="20"/>
    </row>
    <row r="464" spans="2:13" ht="13" x14ac:dyDescent="0.15">
      <c r="B464" s="25"/>
      <c r="C464" s="25"/>
      <c r="E464" s="25"/>
      <c r="J464" s="20"/>
      <c r="L464" s="20"/>
      <c r="M464" s="20"/>
    </row>
    <row r="465" spans="2:13" ht="13" x14ac:dyDescent="0.15">
      <c r="B465" s="25"/>
      <c r="C465" s="25"/>
      <c r="E465" s="25"/>
      <c r="J465" s="20"/>
      <c r="L465" s="20"/>
      <c r="M465" s="20"/>
    </row>
    <row r="466" spans="2:13" ht="13" x14ac:dyDescent="0.15">
      <c r="B466" s="25"/>
      <c r="C466" s="25"/>
      <c r="E466" s="25"/>
      <c r="J466" s="20"/>
      <c r="L466" s="20"/>
      <c r="M466" s="20"/>
    </row>
    <row r="467" spans="2:13" ht="13" x14ac:dyDescent="0.15">
      <c r="B467" s="25"/>
      <c r="C467" s="25"/>
      <c r="E467" s="25"/>
      <c r="J467" s="20"/>
      <c r="L467" s="20"/>
      <c r="M467" s="20"/>
    </row>
    <row r="468" spans="2:13" ht="13" x14ac:dyDescent="0.15">
      <c r="B468" s="25"/>
      <c r="C468" s="25"/>
      <c r="E468" s="25"/>
      <c r="J468" s="20"/>
      <c r="L468" s="20"/>
      <c r="M468" s="20"/>
    </row>
    <row r="469" spans="2:13" ht="13" x14ac:dyDescent="0.15">
      <c r="B469" s="25"/>
      <c r="C469" s="25"/>
      <c r="E469" s="25"/>
      <c r="J469" s="20"/>
      <c r="L469" s="20"/>
      <c r="M469" s="20"/>
    </row>
    <row r="470" spans="2:13" ht="13" x14ac:dyDescent="0.15">
      <c r="B470" s="25"/>
      <c r="C470" s="25"/>
      <c r="E470" s="25"/>
      <c r="J470" s="20"/>
      <c r="L470" s="20"/>
      <c r="M470" s="20"/>
    </row>
    <row r="471" spans="2:13" ht="13" x14ac:dyDescent="0.15">
      <c r="B471" s="25"/>
      <c r="C471" s="25"/>
      <c r="E471" s="25"/>
      <c r="J471" s="20"/>
      <c r="L471" s="20"/>
      <c r="M471" s="20"/>
    </row>
    <row r="472" spans="2:13" ht="13" x14ac:dyDescent="0.15">
      <c r="B472" s="25"/>
      <c r="C472" s="25"/>
      <c r="E472" s="25"/>
      <c r="J472" s="20"/>
      <c r="L472" s="20"/>
      <c r="M472" s="20"/>
    </row>
    <row r="473" spans="2:13" ht="13" x14ac:dyDescent="0.15">
      <c r="B473" s="25"/>
      <c r="C473" s="25"/>
      <c r="E473" s="25"/>
      <c r="J473" s="20"/>
      <c r="L473" s="20"/>
      <c r="M473" s="20"/>
    </row>
    <row r="474" spans="2:13" ht="13" x14ac:dyDescent="0.15">
      <c r="B474" s="25"/>
      <c r="C474" s="25"/>
      <c r="E474" s="25"/>
      <c r="J474" s="20"/>
      <c r="L474" s="20"/>
      <c r="M474" s="20"/>
    </row>
    <row r="475" spans="2:13" ht="13" x14ac:dyDescent="0.15">
      <c r="B475" s="25"/>
      <c r="C475" s="25"/>
      <c r="E475" s="25"/>
      <c r="J475" s="20"/>
      <c r="L475" s="20"/>
      <c r="M475" s="20"/>
    </row>
    <row r="476" spans="2:13" ht="13" x14ac:dyDescent="0.15">
      <c r="B476" s="25"/>
      <c r="C476" s="25"/>
      <c r="E476" s="25"/>
      <c r="J476" s="20"/>
      <c r="L476" s="20"/>
      <c r="M476" s="20"/>
    </row>
    <row r="477" spans="2:13" ht="13" x14ac:dyDescent="0.15">
      <c r="B477" s="25"/>
      <c r="C477" s="25"/>
      <c r="E477" s="25"/>
      <c r="J477" s="20"/>
      <c r="L477" s="20"/>
      <c r="M477" s="20"/>
    </row>
    <row r="478" spans="2:13" ht="13" x14ac:dyDescent="0.15">
      <c r="B478" s="25"/>
      <c r="C478" s="25"/>
      <c r="E478" s="25"/>
      <c r="J478" s="20"/>
      <c r="L478" s="20"/>
      <c r="M478" s="20"/>
    </row>
    <row r="479" spans="2:13" ht="13" x14ac:dyDescent="0.15">
      <c r="B479" s="25"/>
      <c r="C479" s="25"/>
      <c r="E479" s="25"/>
      <c r="J479" s="20"/>
      <c r="L479" s="20"/>
      <c r="M479" s="20"/>
    </row>
    <row r="480" spans="2:13" ht="13" x14ac:dyDescent="0.15">
      <c r="B480" s="25"/>
      <c r="C480" s="25"/>
      <c r="E480" s="25"/>
      <c r="J480" s="20"/>
      <c r="L480" s="20"/>
      <c r="M480" s="20"/>
    </row>
    <row r="481" spans="2:13" ht="13" x14ac:dyDescent="0.15">
      <c r="B481" s="25"/>
      <c r="C481" s="25"/>
      <c r="E481" s="25"/>
      <c r="J481" s="20"/>
      <c r="L481" s="20"/>
      <c r="M481" s="20"/>
    </row>
    <row r="482" spans="2:13" ht="13" x14ac:dyDescent="0.15">
      <c r="B482" s="25"/>
      <c r="C482" s="25"/>
      <c r="E482" s="25"/>
      <c r="J482" s="20"/>
      <c r="L482" s="20"/>
      <c r="M482" s="20"/>
    </row>
    <row r="483" spans="2:13" ht="13" x14ac:dyDescent="0.15">
      <c r="B483" s="25"/>
      <c r="C483" s="25"/>
      <c r="E483" s="25"/>
      <c r="J483" s="20"/>
      <c r="L483" s="20"/>
      <c r="M483" s="20"/>
    </row>
    <row r="484" spans="2:13" ht="13" x14ac:dyDescent="0.15">
      <c r="B484" s="25"/>
      <c r="C484" s="25"/>
      <c r="E484" s="25"/>
      <c r="J484" s="20"/>
      <c r="L484" s="20"/>
      <c r="M484" s="20"/>
    </row>
    <row r="485" spans="2:13" ht="13" x14ac:dyDescent="0.15">
      <c r="B485" s="25"/>
      <c r="C485" s="25"/>
      <c r="E485" s="25"/>
      <c r="J485" s="20"/>
      <c r="L485" s="20"/>
      <c r="M485" s="20"/>
    </row>
    <row r="486" spans="2:13" ht="13" x14ac:dyDescent="0.15">
      <c r="B486" s="25"/>
      <c r="C486" s="25"/>
      <c r="E486" s="25"/>
      <c r="J486" s="20"/>
      <c r="L486" s="20"/>
      <c r="M486" s="20"/>
    </row>
    <row r="487" spans="2:13" ht="13" x14ac:dyDescent="0.15">
      <c r="B487" s="25"/>
      <c r="C487" s="25"/>
      <c r="E487" s="25"/>
      <c r="J487" s="20"/>
      <c r="L487" s="20"/>
      <c r="M487" s="20"/>
    </row>
    <row r="488" spans="2:13" ht="13" x14ac:dyDescent="0.15">
      <c r="B488" s="25"/>
      <c r="C488" s="25"/>
      <c r="E488" s="25"/>
      <c r="J488" s="20"/>
      <c r="L488" s="20"/>
      <c r="M488" s="20"/>
    </row>
    <row r="489" spans="2:13" ht="13" x14ac:dyDescent="0.15">
      <c r="B489" s="25"/>
      <c r="C489" s="25"/>
      <c r="E489" s="25"/>
      <c r="J489" s="20"/>
      <c r="L489" s="20"/>
      <c r="M489" s="20"/>
    </row>
    <row r="490" spans="2:13" ht="13" x14ac:dyDescent="0.15">
      <c r="B490" s="25"/>
      <c r="C490" s="25"/>
      <c r="E490" s="25"/>
      <c r="J490" s="20"/>
      <c r="L490" s="20"/>
      <c r="M490" s="20"/>
    </row>
    <row r="491" spans="2:13" ht="13" x14ac:dyDescent="0.15">
      <c r="B491" s="25"/>
      <c r="C491" s="25"/>
      <c r="E491" s="25"/>
      <c r="J491" s="20"/>
      <c r="L491" s="20"/>
      <c r="M491" s="20"/>
    </row>
    <row r="492" spans="2:13" ht="13" x14ac:dyDescent="0.15">
      <c r="B492" s="25"/>
      <c r="C492" s="25"/>
      <c r="E492" s="25"/>
      <c r="J492" s="20"/>
      <c r="L492" s="20"/>
      <c r="M492" s="20"/>
    </row>
    <row r="493" spans="2:13" ht="13" x14ac:dyDescent="0.15">
      <c r="B493" s="25"/>
      <c r="C493" s="25"/>
      <c r="E493" s="25"/>
      <c r="J493" s="20"/>
      <c r="L493" s="20"/>
      <c r="M493" s="20"/>
    </row>
    <row r="494" spans="2:13" ht="13" x14ac:dyDescent="0.15">
      <c r="B494" s="25"/>
      <c r="C494" s="25"/>
      <c r="E494" s="25"/>
      <c r="J494" s="20"/>
      <c r="L494" s="20"/>
      <c r="M494" s="20"/>
    </row>
    <row r="495" spans="2:13" ht="13" x14ac:dyDescent="0.15">
      <c r="B495" s="25"/>
      <c r="C495" s="25"/>
      <c r="E495" s="25"/>
      <c r="J495" s="20"/>
      <c r="L495" s="20"/>
      <c r="M495" s="20"/>
    </row>
    <row r="496" spans="2:13" ht="13" x14ac:dyDescent="0.15">
      <c r="B496" s="25"/>
      <c r="C496" s="25"/>
      <c r="E496" s="25"/>
      <c r="J496" s="20"/>
      <c r="L496" s="20"/>
      <c r="M496" s="20"/>
    </row>
    <row r="497" spans="2:13" ht="13" x14ac:dyDescent="0.15">
      <c r="B497" s="25"/>
      <c r="C497" s="25"/>
      <c r="E497" s="25"/>
      <c r="J497" s="20"/>
      <c r="L497" s="20"/>
      <c r="M497" s="20"/>
    </row>
    <row r="498" spans="2:13" ht="13" x14ac:dyDescent="0.15">
      <c r="B498" s="25"/>
      <c r="C498" s="25"/>
      <c r="E498" s="25"/>
      <c r="J498" s="20"/>
      <c r="L498" s="20"/>
      <c r="M498" s="20"/>
    </row>
    <row r="499" spans="2:13" ht="13" x14ac:dyDescent="0.15">
      <c r="B499" s="25"/>
      <c r="C499" s="25"/>
      <c r="E499" s="25"/>
      <c r="J499" s="20"/>
      <c r="L499" s="20"/>
      <c r="M499" s="20"/>
    </row>
    <row r="500" spans="2:13" ht="13" x14ac:dyDescent="0.15">
      <c r="B500" s="25"/>
      <c r="C500" s="25"/>
      <c r="E500" s="25"/>
      <c r="J500" s="20"/>
      <c r="L500" s="20"/>
      <c r="M500" s="20"/>
    </row>
    <row r="501" spans="2:13" ht="13" x14ac:dyDescent="0.15">
      <c r="B501" s="25"/>
      <c r="C501" s="25"/>
      <c r="E501" s="25"/>
      <c r="J501" s="20"/>
      <c r="L501" s="20"/>
      <c r="M501" s="20"/>
    </row>
    <row r="502" spans="2:13" ht="13" x14ac:dyDescent="0.15">
      <c r="B502" s="25"/>
      <c r="C502" s="25"/>
      <c r="E502" s="25"/>
      <c r="J502" s="20"/>
      <c r="L502" s="20"/>
      <c r="M502" s="20"/>
    </row>
    <row r="503" spans="2:13" ht="13" x14ac:dyDescent="0.15">
      <c r="B503" s="25"/>
      <c r="C503" s="25"/>
      <c r="E503" s="25"/>
      <c r="J503" s="20"/>
      <c r="L503" s="20"/>
      <c r="M503" s="20"/>
    </row>
    <row r="504" spans="2:13" ht="13" x14ac:dyDescent="0.15">
      <c r="B504" s="25"/>
      <c r="C504" s="25"/>
      <c r="E504" s="25"/>
      <c r="J504" s="20"/>
      <c r="L504" s="20"/>
      <c r="M504" s="20"/>
    </row>
    <row r="505" spans="2:13" ht="13" x14ac:dyDescent="0.15">
      <c r="B505" s="25"/>
      <c r="C505" s="25"/>
      <c r="E505" s="25"/>
      <c r="J505" s="20"/>
      <c r="L505" s="20"/>
      <c r="M505" s="20"/>
    </row>
    <row r="506" spans="2:13" ht="13" x14ac:dyDescent="0.15">
      <c r="B506" s="25"/>
      <c r="C506" s="25"/>
      <c r="E506" s="25"/>
      <c r="J506" s="20"/>
      <c r="L506" s="20"/>
      <c r="M506" s="20"/>
    </row>
    <row r="507" spans="2:13" ht="13" x14ac:dyDescent="0.15">
      <c r="B507" s="25"/>
      <c r="C507" s="25"/>
      <c r="E507" s="25"/>
      <c r="J507" s="20"/>
      <c r="L507" s="20"/>
      <c r="M507" s="20"/>
    </row>
    <row r="508" spans="2:13" ht="13" x14ac:dyDescent="0.15">
      <c r="B508" s="25"/>
      <c r="C508" s="25"/>
      <c r="E508" s="25"/>
      <c r="J508" s="20"/>
      <c r="L508" s="20"/>
      <c r="M508" s="20"/>
    </row>
    <row r="509" spans="2:13" ht="13" x14ac:dyDescent="0.15">
      <c r="B509" s="25"/>
      <c r="C509" s="25"/>
      <c r="E509" s="25"/>
      <c r="J509" s="20"/>
      <c r="L509" s="20"/>
      <c r="M509" s="20"/>
    </row>
    <row r="510" spans="2:13" ht="13" x14ac:dyDescent="0.15">
      <c r="B510" s="25"/>
      <c r="C510" s="25"/>
      <c r="E510" s="25"/>
      <c r="J510" s="20"/>
      <c r="L510" s="20"/>
      <c r="M510" s="20"/>
    </row>
    <row r="511" spans="2:13" ht="13" x14ac:dyDescent="0.15">
      <c r="B511" s="25"/>
      <c r="C511" s="25"/>
      <c r="E511" s="25"/>
      <c r="J511" s="20"/>
      <c r="L511" s="20"/>
      <c r="M511" s="20"/>
    </row>
    <row r="512" spans="2:13" ht="13" x14ac:dyDescent="0.15">
      <c r="B512" s="25"/>
      <c r="C512" s="25"/>
      <c r="E512" s="25"/>
      <c r="J512" s="20"/>
      <c r="L512" s="20"/>
      <c r="M512" s="20"/>
    </row>
    <row r="513" spans="2:13" ht="13" x14ac:dyDescent="0.15">
      <c r="B513" s="25"/>
      <c r="C513" s="25"/>
      <c r="E513" s="25"/>
      <c r="J513" s="20"/>
      <c r="L513" s="20"/>
      <c r="M513" s="20"/>
    </row>
    <row r="514" spans="2:13" ht="13" x14ac:dyDescent="0.15">
      <c r="B514" s="25"/>
      <c r="C514" s="25"/>
      <c r="E514" s="25"/>
      <c r="J514" s="20"/>
      <c r="L514" s="20"/>
      <c r="M514" s="20"/>
    </row>
    <row r="515" spans="2:13" ht="13" x14ac:dyDescent="0.15">
      <c r="B515" s="25"/>
      <c r="C515" s="25"/>
      <c r="E515" s="25"/>
      <c r="J515" s="20"/>
      <c r="L515" s="20"/>
      <c r="M515" s="20"/>
    </row>
    <row r="516" spans="2:13" ht="13" x14ac:dyDescent="0.15">
      <c r="B516" s="25"/>
      <c r="C516" s="25"/>
      <c r="E516" s="25"/>
      <c r="J516" s="20"/>
      <c r="L516" s="20"/>
      <c r="M516" s="20"/>
    </row>
    <row r="517" spans="2:13" ht="13" x14ac:dyDescent="0.15">
      <c r="B517" s="25"/>
      <c r="C517" s="25"/>
      <c r="E517" s="25"/>
      <c r="J517" s="20"/>
      <c r="L517" s="20"/>
      <c r="M517" s="20"/>
    </row>
    <row r="518" spans="2:13" ht="13" x14ac:dyDescent="0.15">
      <c r="B518" s="25"/>
      <c r="C518" s="25"/>
      <c r="E518" s="25"/>
      <c r="J518" s="20"/>
      <c r="L518" s="20"/>
      <c r="M518" s="20"/>
    </row>
    <row r="519" spans="2:13" ht="13" x14ac:dyDescent="0.15">
      <c r="B519" s="25"/>
      <c r="C519" s="25"/>
      <c r="E519" s="25"/>
      <c r="J519" s="20"/>
      <c r="L519" s="20"/>
      <c r="M519" s="20"/>
    </row>
    <row r="520" spans="2:13" ht="13" x14ac:dyDescent="0.15">
      <c r="B520" s="25"/>
      <c r="C520" s="25"/>
      <c r="E520" s="25"/>
      <c r="J520" s="20"/>
      <c r="L520" s="20"/>
      <c r="M520" s="20"/>
    </row>
    <row r="521" spans="2:13" ht="13" x14ac:dyDescent="0.15">
      <c r="B521" s="25"/>
      <c r="C521" s="25"/>
      <c r="E521" s="25"/>
      <c r="J521" s="20"/>
      <c r="L521" s="20"/>
      <c r="M521" s="20"/>
    </row>
    <row r="522" spans="2:13" ht="13" x14ac:dyDescent="0.15">
      <c r="B522" s="25"/>
      <c r="C522" s="25"/>
      <c r="E522" s="25"/>
      <c r="J522" s="20"/>
      <c r="L522" s="20"/>
      <c r="M522" s="20"/>
    </row>
    <row r="523" spans="2:13" ht="13" x14ac:dyDescent="0.15">
      <c r="B523" s="25"/>
      <c r="C523" s="25"/>
      <c r="E523" s="25"/>
      <c r="J523" s="20"/>
      <c r="L523" s="20"/>
      <c r="M523" s="20"/>
    </row>
    <row r="524" spans="2:13" ht="13" x14ac:dyDescent="0.15">
      <c r="B524" s="25"/>
      <c r="C524" s="25"/>
      <c r="E524" s="25"/>
      <c r="J524" s="20"/>
      <c r="L524" s="20"/>
      <c r="M524" s="20"/>
    </row>
    <row r="525" spans="2:13" ht="13" x14ac:dyDescent="0.15">
      <c r="B525" s="25"/>
      <c r="C525" s="25"/>
      <c r="E525" s="25"/>
      <c r="J525" s="20"/>
      <c r="L525" s="20"/>
      <c r="M525" s="20"/>
    </row>
    <row r="526" spans="2:13" ht="13" x14ac:dyDescent="0.15">
      <c r="B526" s="25"/>
      <c r="C526" s="25"/>
      <c r="E526" s="25"/>
      <c r="J526" s="20"/>
      <c r="L526" s="20"/>
      <c r="M526" s="20"/>
    </row>
    <row r="527" spans="2:13" ht="13" x14ac:dyDescent="0.15">
      <c r="B527" s="25"/>
      <c r="C527" s="25"/>
      <c r="E527" s="25"/>
      <c r="J527" s="20"/>
      <c r="L527" s="20"/>
      <c r="M527" s="20"/>
    </row>
    <row r="528" spans="2:13" ht="13" x14ac:dyDescent="0.15">
      <c r="B528" s="25"/>
      <c r="C528" s="25"/>
      <c r="E528" s="25"/>
      <c r="J528" s="20"/>
      <c r="L528" s="20"/>
      <c r="M528" s="20"/>
    </row>
    <row r="529" spans="2:13" ht="13" x14ac:dyDescent="0.15">
      <c r="B529" s="25"/>
      <c r="C529" s="25"/>
      <c r="E529" s="25"/>
      <c r="J529" s="20"/>
      <c r="L529" s="20"/>
      <c r="M529" s="20"/>
    </row>
    <row r="530" spans="2:13" ht="13" x14ac:dyDescent="0.15">
      <c r="B530" s="25"/>
      <c r="C530" s="25"/>
      <c r="E530" s="25"/>
      <c r="J530" s="20"/>
      <c r="L530" s="20"/>
      <c r="M530" s="20"/>
    </row>
    <row r="531" spans="2:13" ht="13" x14ac:dyDescent="0.15">
      <c r="B531" s="25"/>
      <c r="C531" s="25"/>
      <c r="E531" s="25"/>
      <c r="J531" s="20"/>
      <c r="L531" s="20"/>
      <c r="M531" s="20"/>
    </row>
    <row r="532" spans="2:13" ht="13" x14ac:dyDescent="0.15">
      <c r="B532" s="25"/>
      <c r="C532" s="25"/>
      <c r="E532" s="25"/>
      <c r="J532" s="20"/>
      <c r="L532" s="20"/>
      <c r="M532" s="20"/>
    </row>
    <row r="533" spans="2:13" ht="13" x14ac:dyDescent="0.15">
      <c r="B533" s="25"/>
      <c r="C533" s="25"/>
      <c r="E533" s="25"/>
      <c r="J533" s="20"/>
      <c r="L533" s="20"/>
      <c r="M533" s="20"/>
    </row>
    <row r="534" spans="2:13" ht="13" x14ac:dyDescent="0.15">
      <c r="B534" s="25"/>
      <c r="C534" s="25"/>
      <c r="E534" s="25"/>
      <c r="J534" s="20"/>
      <c r="L534" s="20"/>
      <c r="M534" s="20"/>
    </row>
    <row r="535" spans="2:13" ht="13" x14ac:dyDescent="0.15">
      <c r="B535" s="25"/>
      <c r="C535" s="25"/>
      <c r="E535" s="25"/>
      <c r="J535" s="20"/>
      <c r="L535" s="20"/>
      <c r="M535" s="20"/>
    </row>
    <row r="536" spans="2:13" ht="13" x14ac:dyDescent="0.15">
      <c r="B536" s="25"/>
      <c r="C536" s="25"/>
      <c r="E536" s="25"/>
      <c r="J536" s="20"/>
      <c r="L536" s="20"/>
      <c r="M536" s="20"/>
    </row>
    <row r="537" spans="2:13" ht="13" x14ac:dyDescent="0.15">
      <c r="B537" s="25"/>
      <c r="C537" s="25"/>
      <c r="E537" s="25"/>
      <c r="J537" s="20"/>
      <c r="L537" s="20"/>
      <c r="M537" s="20"/>
    </row>
    <row r="538" spans="2:13" ht="13" x14ac:dyDescent="0.15">
      <c r="B538" s="25"/>
      <c r="C538" s="25"/>
      <c r="E538" s="25"/>
      <c r="J538" s="20"/>
      <c r="L538" s="20"/>
      <c r="M538" s="20"/>
    </row>
    <row r="539" spans="2:13" ht="13" x14ac:dyDescent="0.15">
      <c r="B539" s="25"/>
      <c r="C539" s="25"/>
      <c r="E539" s="25"/>
      <c r="J539" s="20"/>
      <c r="L539" s="20"/>
      <c r="M539" s="20"/>
    </row>
    <row r="540" spans="2:13" ht="13" x14ac:dyDescent="0.15">
      <c r="B540" s="25"/>
      <c r="C540" s="25"/>
      <c r="E540" s="25"/>
      <c r="J540" s="20"/>
      <c r="L540" s="20"/>
      <c r="M540" s="20"/>
    </row>
    <row r="541" spans="2:13" ht="13" x14ac:dyDescent="0.15">
      <c r="B541" s="25"/>
      <c r="C541" s="25"/>
      <c r="E541" s="25"/>
      <c r="J541" s="20"/>
      <c r="L541" s="20"/>
      <c r="M541" s="20"/>
    </row>
    <row r="542" spans="2:13" ht="13" x14ac:dyDescent="0.15">
      <c r="B542" s="25"/>
      <c r="C542" s="25"/>
      <c r="E542" s="25"/>
      <c r="J542" s="20"/>
      <c r="L542" s="20"/>
      <c r="M542" s="20"/>
    </row>
    <row r="543" spans="2:13" ht="13" x14ac:dyDescent="0.15">
      <c r="B543" s="25"/>
      <c r="C543" s="25"/>
      <c r="E543" s="25"/>
      <c r="J543" s="20"/>
      <c r="L543" s="20"/>
      <c r="M543" s="20"/>
    </row>
    <row r="544" spans="2:13" ht="13" x14ac:dyDescent="0.15">
      <c r="B544" s="25"/>
      <c r="C544" s="25"/>
      <c r="E544" s="25"/>
      <c r="J544" s="20"/>
      <c r="L544" s="20"/>
      <c r="M544" s="20"/>
    </row>
    <row r="545" spans="2:13" ht="13" x14ac:dyDescent="0.15">
      <c r="B545" s="25"/>
      <c r="C545" s="25"/>
      <c r="E545" s="25"/>
      <c r="J545" s="20"/>
      <c r="L545" s="20"/>
      <c r="M545" s="20"/>
    </row>
    <row r="546" spans="2:13" ht="13" x14ac:dyDescent="0.15">
      <c r="B546" s="25"/>
      <c r="C546" s="25"/>
      <c r="E546" s="25"/>
      <c r="J546" s="20"/>
      <c r="L546" s="20"/>
      <c r="M546" s="20"/>
    </row>
    <row r="547" spans="2:13" ht="13" x14ac:dyDescent="0.15">
      <c r="B547" s="25"/>
      <c r="C547" s="25"/>
      <c r="E547" s="25"/>
      <c r="J547" s="20"/>
      <c r="L547" s="20"/>
      <c r="M547" s="20"/>
    </row>
    <row r="548" spans="2:13" ht="13" x14ac:dyDescent="0.15">
      <c r="B548" s="25"/>
      <c r="C548" s="25"/>
      <c r="E548" s="25"/>
      <c r="J548" s="20"/>
      <c r="L548" s="20"/>
      <c r="M548" s="20"/>
    </row>
    <row r="549" spans="2:13" ht="13" x14ac:dyDescent="0.15">
      <c r="B549" s="25"/>
      <c r="C549" s="25"/>
      <c r="E549" s="25"/>
      <c r="J549" s="20"/>
      <c r="L549" s="20"/>
      <c r="M549" s="20"/>
    </row>
    <row r="550" spans="2:13" ht="13" x14ac:dyDescent="0.15">
      <c r="B550" s="25"/>
      <c r="C550" s="25"/>
      <c r="E550" s="25"/>
      <c r="J550" s="20"/>
      <c r="L550" s="20"/>
      <c r="M550" s="20"/>
    </row>
    <row r="551" spans="2:13" ht="13" x14ac:dyDescent="0.15">
      <c r="B551" s="25"/>
      <c r="C551" s="25"/>
      <c r="E551" s="25"/>
      <c r="J551" s="20"/>
      <c r="L551" s="20"/>
      <c r="M551" s="20"/>
    </row>
    <row r="552" spans="2:13" ht="13" x14ac:dyDescent="0.15">
      <c r="B552" s="25"/>
      <c r="C552" s="25"/>
      <c r="E552" s="25"/>
      <c r="J552" s="20"/>
      <c r="L552" s="20"/>
      <c r="M552" s="20"/>
    </row>
    <row r="553" spans="2:13" ht="13" x14ac:dyDescent="0.15">
      <c r="B553" s="25"/>
      <c r="C553" s="25"/>
      <c r="E553" s="25"/>
      <c r="J553" s="20"/>
      <c r="L553" s="20"/>
      <c r="M553" s="20"/>
    </row>
    <row r="554" spans="2:13" ht="13" x14ac:dyDescent="0.15">
      <c r="B554" s="25"/>
      <c r="C554" s="25"/>
      <c r="E554" s="25"/>
      <c r="J554" s="20"/>
      <c r="L554" s="20"/>
      <c r="M554" s="20"/>
    </row>
    <row r="555" spans="2:13" ht="13" x14ac:dyDescent="0.15">
      <c r="B555" s="25"/>
      <c r="C555" s="25"/>
      <c r="E555" s="25"/>
      <c r="J555" s="20"/>
      <c r="L555" s="20"/>
      <c r="M555" s="20"/>
    </row>
    <row r="556" spans="2:13" ht="13" x14ac:dyDescent="0.15">
      <c r="B556" s="25"/>
      <c r="C556" s="25"/>
      <c r="E556" s="25"/>
      <c r="J556" s="20"/>
      <c r="L556" s="20"/>
      <c r="M556" s="20"/>
    </row>
    <row r="557" spans="2:13" ht="13" x14ac:dyDescent="0.15">
      <c r="B557" s="25"/>
      <c r="C557" s="25"/>
      <c r="E557" s="25"/>
      <c r="J557" s="20"/>
      <c r="L557" s="20"/>
      <c r="M557" s="20"/>
    </row>
    <row r="558" spans="2:13" ht="13" x14ac:dyDescent="0.15">
      <c r="B558" s="25"/>
      <c r="C558" s="25"/>
      <c r="E558" s="25"/>
      <c r="J558" s="20"/>
      <c r="L558" s="20"/>
      <c r="M558" s="20"/>
    </row>
    <row r="559" spans="2:13" ht="13" x14ac:dyDescent="0.15">
      <c r="B559" s="25"/>
      <c r="C559" s="25"/>
      <c r="E559" s="25"/>
      <c r="J559" s="20"/>
      <c r="L559" s="20"/>
      <c r="M559" s="20"/>
    </row>
    <row r="560" spans="2:13" ht="13" x14ac:dyDescent="0.15">
      <c r="B560" s="25"/>
      <c r="C560" s="25"/>
      <c r="E560" s="25"/>
      <c r="J560" s="20"/>
      <c r="L560" s="20"/>
      <c r="M560" s="20"/>
    </row>
    <row r="561" spans="2:13" ht="13" x14ac:dyDescent="0.15">
      <c r="B561" s="25"/>
      <c r="C561" s="25"/>
      <c r="E561" s="25"/>
      <c r="J561" s="20"/>
      <c r="L561" s="20"/>
      <c r="M561" s="20"/>
    </row>
    <row r="562" spans="2:13" ht="13" x14ac:dyDescent="0.15">
      <c r="B562" s="25"/>
      <c r="C562" s="25"/>
      <c r="E562" s="25"/>
      <c r="J562" s="20"/>
      <c r="L562" s="20"/>
      <c r="M562" s="20"/>
    </row>
    <row r="563" spans="2:13" ht="13" x14ac:dyDescent="0.15">
      <c r="B563" s="25"/>
      <c r="C563" s="25"/>
      <c r="E563" s="25"/>
      <c r="J563" s="20"/>
      <c r="L563" s="20"/>
      <c r="M563" s="20"/>
    </row>
    <row r="564" spans="2:13" ht="13" x14ac:dyDescent="0.15">
      <c r="B564" s="25"/>
      <c r="C564" s="25"/>
      <c r="E564" s="25"/>
      <c r="J564" s="20"/>
      <c r="L564" s="20"/>
      <c r="M564" s="20"/>
    </row>
    <row r="565" spans="2:13" ht="13" x14ac:dyDescent="0.15">
      <c r="B565" s="25"/>
      <c r="C565" s="25"/>
      <c r="E565" s="25"/>
      <c r="J565" s="20"/>
      <c r="L565" s="20"/>
      <c r="M565" s="20"/>
    </row>
    <row r="566" spans="2:13" ht="13" x14ac:dyDescent="0.15">
      <c r="B566" s="25"/>
      <c r="C566" s="25"/>
      <c r="E566" s="25"/>
      <c r="J566" s="20"/>
      <c r="L566" s="20"/>
      <c r="M566" s="20"/>
    </row>
    <row r="567" spans="2:13" ht="13" x14ac:dyDescent="0.15">
      <c r="B567" s="25"/>
      <c r="C567" s="25"/>
      <c r="E567" s="25"/>
      <c r="J567" s="20"/>
      <c r="L567" s="20"/>
      <c r="M567" s="20"/>
    </row>
    <row r="568" spans="2:13" ht="13" x14ac:dyDescent="0.15">
      <c r="B568" s="25"/>
      <c r="C568" s="25"/>
      <c r="E568" s="25"/>
      <c r="J568" s="20"/>
      <c r="L568" s="20"/>
      <c r="M568" s="20"/>
    </row>
    <row r="569" spans="2:13" ht="13" x14ac:dyDescent="0.15">
      <c r="B569" s="25"/>
      <c r="C569" s="25"/>
      <c r="E569" s="25"/>
      <c r="J569" s="20"/>
      <c r="L569" s="20"/>
      <c r="M569" s="20"/>
    </row>
    <row r="570" spans="2:13" ht="13" x14ac:dyDescent="0.15">
      <c r="B570" s="25"/>
      <c r="C570" s="25"/>
      <c r="E570" s="25"/>
      <c r="J570" s="20"/>
      <c r="L570" s="20"/>
      <c r="M570" s="20"/>
    </row>
    <row r="571" spans="2:13" ht="13" x14ac:dyDescent="0.15">
      <c r="B571" s="25"/>
      <c r="C571" s="25"/>
      <c r="E571" s="25"/>
      <c r="J571" s="20"/>
      <c r="L571" s="20"/>
      <c r="M571" s="20"/>
    </row>
    <row r="572" spans="2:13" ht="13" x14ac:dyDescent="0.15">
      <c r="B572" s="25"/>
      <c r="C572" s="25"/>
      <c r="E572" s="25"/>
      <c r="J572" s="20"/>
      <c r="L572" s="20"/>
      <c r="M572" s="20"/>
    </row>
    <row r="573" spans="2:13" ht="13" x14ac:dyDescent="0.15">
      <c r="B573" s="25"/>
      <c r="C573" s="25"/>
      <c r="E573" s="25"/>
      <c r="J573" s="20"/>
      <c r="L573" s="20"/>
      <c r="M573" s="20"/>
    </row>
    <row r="574" spans="2:13" ht="13" x14ac:dyDescent="0.15">
      <c r="B574" s="25"/>
      <c r="C574" s="25"/>
      <c r="E574" s="25"/>
      <c r="J574" s="20"/>
      <c r="L574" s="20"/>
      <c r="M574" s="20"/>
    </row>
    <row r="575" spans="2:13" ht="13" x14ac:dyDescent="0.15">
      <c r="B575" s="25"/>
      <c r="C575" s="25"/>
      <c r="E575" s="25"/>
      <c r="J575" s="20"/>
      <c r="L575" s="20"/>
      <c r="M575" s="20"/>
    </row>
    <row r="576" spans="2:13" ht="13" x14ac:dyDescent="0.15">
      <c r="B576" s="25"/>
      <c r="C576" s="25"/>
      <c r="E576" s="25"/>
      <c r="J576" s="20"/>
      <c r="L576" s="20"/>
      <c r="M576" s="20"/>
    </row>
    <row r="577" spans="2:13" ht="13" x14ac:dyDescent="0.15">
      <c r="B577" s="25"/>
      <c r="C577" s="25"/>
      <c r="E577" s="25"/>
      <c r="J577" s="20"/>
      <c r="L577" s="20"/>
      <c r="M577" s="20"/>
    </row>
    <row r="578" spans="2:13" ht="13" x14ac:dyDescent="0.15">
      <c r="B578" s="25"/>
      <c r="C578" s="25"/>
      <c r="E578" s="25"/>
      <c r="J578" s="20"/>
      <c r="L578" s="20"/>
      <c r="M578" s="20"/>
    </row>
    <row r="579" spans="2:13" ht="13" x14ac:dyDescent="0.15">
      <c r="B579" s="25"/>
      <c r="C579" s="25"/>
      <c r="E579" s="25"/>
      <c r="J579" s="20"/>
      <c r="L579" s="20"/>
      <c r="M579" s="20"/>
    </row>
    <row r="580" spans="2:13" ht="13" x14ac:dyDescent="0.15">
      <c r="B580" s="25"/>
      <c r="C580" s="25"/>
      <c r="E580" s="25"/>
      <c r="J580" s="20"/>
      <c r="L580" s="20"/>
      <c r="M580" s="20"/>
    </row>
    <row r="581" spans="2:13" ht="13" x14ac:dyDescent="0.15">
      <c r="B581" s="25"/>
      <c r="C581" s="25"/>
      <c r="E581" s="25"/>
      <c r="J581" s="20"/>
      <c r="L581" s="20"/>
      <c r="M581" s="20"/>
    </row>
    <row r="582" spans="2:13" ht="13" x14ac:dyDescent="0.15">
      <c r="B582" s="25"/>
      <c r="C582" s="25"/>
      <c r="E582" s="25"/>
      <c r="J582" s="20"/>
      <c r="L582" s="20"/>
      <c r="M582" s="20"/>
    </row>
    <row r="583" spans="2:13" ht="13" x14ac:dyDescent="0.15">
      <c r="B583" s="25"/>
      <c r="C583" s="25"/>
      <c r="E583" s="25"/>
      <c r="J583" s="20"/>
      <c r="L583" s="20"/>
      <c r="M583" s="20"/>
    </row>
    <row r="584" spans="2:13" ht="13" x14ac:dyDescent="0.15">
      <c r="B584" s="25"/>
      <c r="C584" s="25"/>
      <c r="E584" s="25"/>
      <c r="J584" s="20"/>
      <c r="L584" s="20"/>
      <c r="M584" s="20"/>
    </row>
    <row r="585" spans="2:13" ht="13" x14ac:dyDescent="0.15">
      <c r="B585" s="25"/>
      <c r="C585" s="25"/>
      <c r="E585" s="25"/>
      <c r="J585" s="20"/>
      <c r="L585" s="20"/>
      <c r="M585" s="20"/>
    </row>
    <row r="586" spans="2:13" ht="13" x14ac:dyDescent="0.15">
      <c r="B586" s="25"/>
      <c r="C586" s="25"/>
      <c r="E586" s="25"/>
      <c r="J586" s="20"/>
      <c r="L586" s="20"/>
      <c r="M586" s="20"/>
    </row>
    <row r="587" spans="2:13" ht="13" x14ac:dyDescent="0.15">
      <c r="B587" s="25"/>
      <c r="C587" s="25"/>
      <c r="E587" s="25"/>
      <c r="J587" s="20"/>
      <c r="L587" s="20"/>
      <c r="M587" s="20"/>
    </row>
    <row r="588" spans="2:13" ht="13" x14ac:dyDescent="0.15">
      <c r="B588" s="25"/>
      <c r="C588" s="25"/>
      <c r="E588" s="25"/>
      <c r="J588" s="20"/>
      <c r="L588" s="20"/>
      <c r="M588" s="20"/>
    </row>
    <row r="589" spans="2:13" ht="13" x14ac:dyDescent="0.15">
      <c r="B589" s="25"/>
      <c r="C589" s="25"/>
      <c r="E589" s="25"/>
      <c r="J589" s="20"/>
      <c r="L589" s="20"/>
      <c r="M589" s="20"/>
    </row>
    <row r="590" spans="2:13" ht="13" x14ac:dyDescent="0.15">
      <c r="B590" s="25"/>
      <c r="C590" s="25"/>
      <c r="E590" s="25"/>
      <c r="J590" s="20"/>
      <c r="L590" s="20"/>
      <c r="M590" s="20"/>
    </row>
    <row r="591" spans="2:13" ht="13" x14ac:dyDescent="0.15">
      <c r="B591" s="25"/>
      <c r="C591" s="25"/>
      <c r="E591" s="25"/>
      <c r="J591" s="20"/>
      <c r="L591" s="20"/>
      <c r="M591" s="20"/>
    </row>
    <row r="592" spans="2:13" ht="13" x14ac:dyDescent="0.15">
      <c r="B592" s="25"/>
      <c r="C592" s="25"/>
      <c r="E592" s="25"/>
      <c r="J592" s="20"/>
      <c r="L592" s="20"/>
      <c r="M592" s="20"/>
    </row>
    <row r="593" spans="2:13" ht="13" x14ac:dyDescent="0.15">
      <c r="B593" s="25"/>
      <c r="C593" s="25"/>
      <c r="E593" s="25"/>
      <c r="J593" s="20"/>
      <c r="L593" s="20"/>
      <c r="M593" s="20"/>
    </row>
    <row r="594" spans="2:13" ht="13" x14ac:dyDescent="0.15">
      <c r="B594" s="25"/>
      <c r="C594" s="25"/>
      <c r="E594" s="25"/>
      <c r="J594" s="20"/>
      <c r="L594" s="20"/>
      <c r="M594" s="20"/>
    </row>
    <row r="595" spans="2:13" ht="13" x14ac:dyDescent="0.15">
      <c r="B595" s="25"/>
      <c r="C595" s="25"/>
      <c r="E595" s="25"/>
      <c r="J595" s="20"/>
      <c r="L595" s="20"/>
      <c r="M595" s="20"/>
    </row>
    <row r="596" spans="2:13" ht="13" x14ac:dyDescent="0.15">
      <c r="B596" s="25"/>
      <c r="C596" s="25"/>
      <c r="E596" s="25"/>
      <c r="J596" s="20"/>
      <c r="L596" s="20"/>
      <c r="M596" s="20"/>
    </row>
    <row r="597" spans="2:13" ht="13" x14ac:dyDescent="0.15">
      <c r="B597" s="25"/>
      <c r="C597" s="25"/>
      <c r="E597" s="25"/>
      <c r="J597" s="20"/>
      <c r="L597" s="20"/>
      <c r="M597" s="20"/>
    </row>
    <row r="598" spans="2:13" ht="13" x14ac:dyDescent="0.15">
      <c r="B598" s="25"/>
      <c r="C598" s="25"/>
      <c r="E598" s="25"/>
      <c r="J598" s="20"/>
      <c r="L598" s="20"/>
      <c r="M598" s="20"/>
    </row>
    <row r="599" spans="2:13" ht="13" x14ac:dyDescent="0.15">
      <c r="B599" s="25"/>
      <c r="C599" s="25"/>
      <c r="E599" s="25"/>
      <c r="J599" s="20"/>
      <c r="L599" s="20"/>
      <c r="M599" s="20"/>
    </row>
    <row r="600" spans="2:13" ht="13" x14ac:dyDescent="0.15">
      <c r="B600" s="25"/>
      <c r="C600" s="25"/>
      <c r="E600" s="25"/>
      <c r="J600" s="20"/>
      <c r="L600" s="20"/>
      <c r="M600" s="20"/>
    </row>
    <row r="601" spans="2:13" ht="13" x14ac:dyDescent="0.15">
      <c r="B601" s="25"/>
      <c r="C601" s="25"/>
      <c r="E601" s="25"/>
      <c r="J601" s="20"/>
      <c r="L601" s="20"/>
      <c r="M601" s="20"/>
    </row>
    <row r="602" spans="2:13" ht="13" x14ac:dyDescent="0.15">
      <c r="B602" s="25"/>
      <c r="C602" s="25"/>
      <c r="E602" s="25"/>
      <c r="J602" s="20"/>
      <c r="L602" s="20"/>
      <c r="M602" s="20"/>
    </row>
    <row r="603" spans="2:13" ht="13" x14ac:dyDescent="0.15">
      <c r="B603" s="25"/>
      <c r="C603" s="25"/>
      <c r="E603" s="25"/>
      <c r="J603" s="20"/>
      <c r="L603" s="20"/>
      <c r="M603" s="20"/>
    </row>
    <row r="604" spans="2:13" ht="13" x14ac:dyDescent="0.15">
      <c r="B604" s="25"/>
      <c r="C604" s="25"/>
      <c r="E604" s="25"/>
      <c r="J604" s="20"/>
      <c r="L604" s="20"/>
      <c r="M604" s="20"/>
    </row>
    <row r="605" spans="2:13" ht="13" x14ac:dyDescent="0.15">
      <c r="B605" s="25"/>
      <c r="C605" s="25"/>
      <c r="E605" s="25"/>
      <c r="J605" s="20"/>
      <c r="L605" s="20"/>
      <c r="M605" s="20"/>
    </row>
    <row r="606" spans="2:13" ht="13" x14ac:dyDescent="0.15">
      <c r="B606" s="25"/>
      <c r="C606" s="25"/>
      <c r="E606" s="25"/>
      <c r="J606" s="20"/>
      <c r="L606" s="20"/>
      <c r="M606" s="20"/>
    </row>
    <row r="607" spans="2:13" ht="13" x14ac:dyDescent="0.15">
      <c r="B607" s="25"/>
      <c r="C607" s="25"/>
      <c r="E607" s="25"/>
      <c r="J607" s="20"/>
      <c r="L607" s="20"/>
      <c r="M607" s="20"/>
    </row>
    <row r="608" spans="2:13" ht="13" x14ac:dyDescent="0.15">
      <c r="B608" s="25"/>
      <c r="C608" s="25"/>
      <c r="E608" s="25"/>
      <c r="J608" s="20"/>
      <c r="L608" s="20"/>
      <c r="M608" s="20"/>
    </row>
    <row r="609" spans="2:13" ht="13" x14ac:dyDescent="0.15">
      <c r="B609" s="25"/>
      <c r="C609" s="25"/>
      <c r="E609" s="25"/>
      <c r="J609" s="20"/>
      <c r="L609" s="20"/>
      <c r="M609" s="20"/>
    </row>
    <row r="610" spans="2:13" ht="13" x14ac:dyDescent="0.15">
      <c r="B610" s="25"/>
      <c r="C610" s="25"/>
      <c r="E610" s="25"/>
      <c r="J610" s="20"/>
      <c r="L610" s="20"/>
      <c r="M610" s="20"/>
    </row>
    <row r="611" spans="2:13" ht="13" x14ac:dyDescent="0.15">
      <c r="B611" s="25"/>
      <c r="C611" s="25"/>
      <c r="E611" s="25"/>
      <c r="J611" s="20"/>
      <c r="L611" s="20"/>
      <c r="M611" s="20"/>
    </row>
    <row r="612" spans="2:13" ht="13" x14ac:dyDescent="0.15">
      <c r="B612" s="25"/>
      <c r="C612" s="25"/>
      <c r="E612" s="25"/>
      <c r="J612" s="20"/>
      <c r="L612" s="20"/>
      <c r="M612" s="20"/>
    </row>
    <row r="613" spans="2:13" ht="13" x14ac:dyDescent="0.15">
      <c r="B613" s="25"/>
      <c r="C613" s="25"/>
      <c r="E613" s="25"/>
      <c r="J613" s="20"/>
      <c r="L613" s="20"/>
      <c r="M613" s="20"/>
    </row>
    <row r="614" spans="2:13" ht="13" x14ac:dyDescent="0.15">
      <c r="B614" s="25"/>
      <c r="C614" s="25"/>
      <c r="E614" s="25"/>
      <c r="J614" s="20"/>
      <c r="L614" s="20"/>
      <c r="M614" s="20"/>
    </row>
    <row r="615" spans="2:13" ht="13" x14ac:dyDescent="0.15">
      <c r="B615" s="25"/>
      <c r="C615" s="25"/>
      <c r="E615" s="25"/>
      <c r="J615" s="20"/>
      <c r="L615" s="20"/>
      <c r="M615" s="20"/>
    </row>
    <row r="616" spans="2:13" ht="13" x14ac:dyDescent="0.15">
      <c r="B616" s="25"/>
      <c r="C616" s="25"/>
      <c r="E616" s="25"/>
      <c r="J616" s="20"/>
      <c r="L616" s="20"/>
      <c r="M616" s="20"/>
    </row>
    <row r="617" spans="2:13" ht="13" x14ac:dyDescent="0.15">
      <c r="B617" s="25"/>
      <c r="C617" s="25"/>
      <c r="E617" s="25"/>
      <c r="J617" s="20"/>
      <c r="L617" s="20"/>
      <c r="M617" s="20"/>
    </row>
    <row r="618" spans="2:13" ht="13" x14ac:dyDescent="0.15">
      <c r="B618" s="25"/>
      <c r="C618" s="25"/>
      <c r="E618" s="25"/>
      <c r="J618" s="20"/>
      <c r="L618" s="20"/>
      <c r="M618" s="20"/>
    </row>
    <row r="619" spans="2:13" ht="13" x14ac:dyDescent="0.15">
      <c r="B619" s="25"/>
      <c r="C619" s="25"/>
      <c r="E619" s="25"/>
      <c r="J619" s="20"/>
      <c r="L619" s="20"/>
      <c r="M619" s="20"/>
    </row>
    <row r="620" spans="2:13" ht="13" x14ac:dyDescent="0.15">
      <c r="B620" s="25"/>
      <c r="C620" s="25"/>
      <c r="E620" s="25"/>
      <c r="J620" s="20"/>
      <c r="L620" s="20"/>
      <c r="M620" s="20"/>
    </row>
    <row r="621" spans="2:13" ht="13" x14ac:dyDescent="0.15">
      <c r="B621" s="25"/>
      <c r="C621" s="25"/>
      <c r="E621" s="25"/>
      <c r="J621" s="20"/>
      <c r="L621" s="20"/>
      <c r="M621" s="20"/>
    </row>
    <row r="622" spans="2:13" ht="13" x14ac:dyDescent="0.15">
      <c r="B622" s="25"/>
      <c r="C622" s="25"/>
      <c r="E622" s="25"/>
      <c r="J622" s="20"/>
      <c r="L622" s="20"/>
      <c r="M622" s="20"/>
    </row>
    <row r="623" spans="2:13" ht="13" x14ac:dyDescent="0.15">
      <c r="B623" s="25"/>
      <c r="C623" s="25"/>
      <c r="E623" s="25"/>
      <c r="J623" s="20"/>
      <c r="L623" s="20"/>
      <c r="M623" s="20"/>
    </row>
    <row r="624" spans="2:13" ht="13" x14ac:dyDescent="0.15">
      <c r="B624" s="25"/>
      <c r="C624" s="25"/>
      <c r="E624" s="25"/>
      <c r="J624" s="20"/>
      <c r="L624" s="20"/>
      <c r="M624" s="20"/>
    </row>
    <row r="625" spans="2:13" ht="13" x14ac:dyDescent="0.15">
      <c r="B625" s="25"/>
      <c r="C625" s="25"/>
      <c r="E625" s="25"/>
      <c r="J625" s="20"/>
      <c r="L625" s="20"/>
      <c r="M625" s="20"/>
    </row>
    <row r="626" spans="2:13" ht="13" x14ac:dyDescent="0.15">
      <c r="B626" s="25"/>
      <c r="C626" s="25"/>
      <c r="E626" s="25"/>
      <c r="J626" s="20"/>
      <c r="L626" s="20"/>
      <c r="M626" s="20"/>
    </row>
    <row r="627" spans="2:13" ht="13" x14ac:dyDescent="0.15">
      <c r="B627" s="25"/>
      <c r="C627" s="25"/>
      <c r="E627" s="25"/>
      <c r="J627" s="20"/>
      <c r="L627" s="20"/>
      <c r="M627" s="20"/>
    </row>
    <row r="628" spans="2:13" ht="13" x14ac:dyDescent="0.15">
      <c r="B628" s="25"/>
      <c r="C628" s="25"/>
      <c r="E628" s="25"/>
      <c r="J628" s="20"/>
      <c r="L628" s="20"/>
      <c r="M628" s="20"/>
    </row>
    <row r="629" spans="2:13" ht="13" x14ac:dyDescent="0.15">
      <c r="B629" s="25"/>
      <c r="C629" s="25"/>
      <c r="E629" s="25"/>
      <c r="J629" s="20"/>
      <c r="L629" s="20"/>
      <c r="M629" s="20"/>
    </row>
    <row r="630" spans="2:13" ht="13" x14ac:dyDescent="0.15">
      <c r="B630" s="25"/>
      <c r="C630" s="25"/>
      <c r="E630" s="25"/>
      <c r="J630" s="20"/>
      <c r="L630" s="20"/>
      <c r="M630" s="20"/>
    </row>
    <row r="631" spans="2:13" ht="13" x14ac:dyDescent="0.15">
      <c r="B631" s="25"/>
      <c r="C631" s="25"/>
      <c r="E631" s="25"/>
      <c r="J631" s="20"/>
      <c r="L631" s="20"/>
      <c r="M631" s="20"/>
    </row>
    <row r="632" spans="2:13" ht="13" x14ac:dyDescent="0.15">
      <c r="B632" s="25"/>
      <c r="C632" s="25"/>
      <c r="E632" s="25"/>
      <c r="J632" s="20"/>
      <c r="L632" s="20"/>
      <c r="M632" s="20"/>
    </row>
    <row r="633" spans="2:13" ht="13" x14ac:dyDescent="0.15">
      <c r="B633" s="25"/>
      <c r="C633" s="25"/>
      <c r="E633" s="25"/>
      <c r="J633" s="20"/>
      <c r="L633" s="20"/>
      <c r="M633" s="20"/>
    </row>
    <row r="634" spans="2:13" ht="13" x14ac:dyDescent="0.15">
      <c r="B634" s="25"/>
      <c r="C634" s="25"/>
      <c r="E634" s="25"/>
      <c r="J634" s="20"/>
      <c r="L634" s="20"/>
      <c r="M634" s="20"/>
    </row>
    <row r="635" spans="2:13" ht="13" x14ac:dyDescent="0.15">
      <c r="B635" s="25"/>
      <c r="C635" s="25"/>
      <c r="E635" s="25"/>
      <c r="J635" s="20"/>
      <c r="L635" s="20"/>
      <c r="M635" s="20"/>
    </row>
    <row r="636" spans="2:13" ht="13" x14ac:dyDescent="0.15">
      <c r="B636" s="25"/>
      <c r="C636" s="25"/>
      <c r="E636" s="25"/>
      <c r="J636" s="20"/>
      <c r="L636" s="20"/>
      <c r="M636" s="20"/>
    </row>
    <row r="637" spans="2:13" ht="13" x14ac:dyDescent="0.15">
      <c r="B637" s="25"/>
      <c r="C637" s="25"/>
      <c r="E637" s="25"/>
      <c r="J637" s="20"/>
      <c r="L637" s="20"/>
      <c r="M637" s="20"/>
    </row>
    <row r="638" spans="2:13" ht="13" x14ac:dyDescent="0.15">
      <c r="B638" s="25"/>
      <c r="C638" s="25"/>
      <c r="E638" s="25"/>
      <c r="J638" s="20"/>
      <c r="L638" s="20"/>
      <c r="M638" s="20"/>
    </row>
    <row r="639" spans="2:13" ht="13" x14ac:dyDescent="0.15">
      <c r="B639" s="25"/>
      <c r="C639" s="25"/>
      <c r="E639" s="25"/>
      <c r="J639" s="20"/>
      <c r="L639" s="20"/>
      <c r="M639" s="20"/>
    </row>
    <row r="640" spans="2:13" ht="13" x14ac:dyDescent="0.15">
      <c r="B640" s="25"/>
      <c r="C640" s="25"/>
      <c r="E640" s="25"/>
      <c r="J640" s="20"/>
      <c r="L640" s="20"/>
      <c r="M640" s="20"/>
    </row>
    <row r="641" spans="2:13" ht="13" x14ac:dyDescent="0.15">
      <c r="B641" s="25"/>
      <c r="C641" s="25"/>
      <c r="E641" s="25"/>
      <c r="J641" s="20"/>
      <c r="L641" s="20"/>
      <c r="M641" s="20"/>
    </row>
    <row r="642" spans="2:13" ht="13" x14ac:dyDescent="0.15">
      <c r="B642" s="25"/>
      <c r="C642" s="25"/>
      <c r="E642" s="25"/>
      <c r="J642" s="20"/>
      <c r="L642" s="20"/>
      <c r="M642" s="20"/>
    </row>
    <row r="643" spans="2:13" ht="13" x14ac:dyDescent="0.15">
      <c r="B643" s="25"/>
      <c r="C643" s="25"/>
      <c r="E643" s="25"/>
      <c r="J643" s="20"/>
      <c r="L643" s="20"/>
      <c r="M643" s="20"/>
    </row>
    <row r="644" spans="2:13" ht="13" x14ac:dyDescent="0.15">
      <c r="B644" s="25"/>
      <c r="C644" s="25"/>
      <c r="E644" s="25"/>
      <c r="J644" s="20"/>
      <c r="L644" s="20"/>
      <c r="M644" s="20"/>
    </row>
    <row r="645" spans="2:13" ht="13" x14ac:dyDescent="0.15">
      <c r="B645" s="25"/>
      <c r="C645" s="25"/>
      <c r="E645" s="25"/>
      <c r="J645" s="20"/>
      <c r="L645" s="20"/>
      <c r="M645" s="20"/>
    </row>
    <row r="646" spans="2:13" ht="13" x14ac:dyDescent="0.15">
      <c r="B646" s="25"/>
      <c r="C646" s="25"/>
      <c r="E646" s="25"/>
      <c r="J646" s="20"/>
      <c r="L646" s="20"/>
      <c r="M646" s="20"/>
    </row>
    <row r="647" spans="2:13" ht="13" x14ac:dyDescent="0.15">
      <c r="B647" s="25"/>
      <c r="C647" s="25"/>
      <c r="E647" s="25"/>
      <c r="J647" s="20"/>
      <c r="L647" s="20"/>
      <c r="M647" s="20"/>
    </row>
    <row r="648" spans="2:13" ht="13" x14ac:dyDescent="0.15">
      <c r="B648" s="25"/>
      <c r="C648" s="25"/>
      <c r="E648" s="25"/>
      <c r="J648" s="20"/>
      <c r="L648" s="20"/>
      <c r="M648" s="20"/>
    </row>
    <row r="649" spans="2:13" ht="13" x14ac:dyDescent="0.15">
      <c r="B649" s="25"/>
      <c r="C649" s="25"/>
      <c r="E649" s="25"/>
      <c r="J649" s="20"/>
      <c r="L649" s="20"/>
      <c r="M649" s="20"/>
    </row>
    <row r="650" spans="2:13" ht="13" x14ac:dyDescent="0.15">
      <c r="B650" s="25"/>
      <c r="C650" s="25"/>
      <c r="E650" s="25"/>
      <c r="J650" s="20"/>
      <c r="L650" s="20"/>
      <c r="M650" s="20"/>
    </row>
    <row r="651" spans="2:13" ht="13" x14ac:dyDescent="0.15">
      <c r="B651" s="25"/>
      <c r="C651" s="25"/>
      <c r="E651" s="25"/>
      <c r="J651" s="20"/>
      <c r="L651" s="20"/>
      <c r="M651" s="20"/>
    </row>
    <row r="652" spans="2:13" ht="13" x14ac:dyDescent="0.15">
      <c r="B652" s="25"/>
      <c r="C652" s="25"/>
      <c r="E652" s="25"/>
      <c r="J652" s="20"/>
      <c r="L652" s="20"/>
      <c r="M652" s="20"/>
    </row>
    <row r="653" spans="2:13" ht="13" x14ac:dyDescent="0.15">
      <c r="B653" s="25"/>
      <c r="C653" s="25"/>
      <c r="E653" s="25"/>
      <c r="J653" s="20"/>
      <c r="L653" s="20"/>
      <c r="M653" s="20"/>
    </row>
    <row r="654" spans="2:13" ht="13" x14ac:dyDescent="0.15">
      <c r="B654" s="25"/>
      <c r="C654" s="25"/>
      <c r="E654" s="25"/>
      <c r="J654" s="20"/>
      <c r="L654" s="20"/>
      <c r="M654" s="20"/>
    </row>
    <row r="655" spans="2:13" ht="13" x14ac:dyDescent="0.15">
      <c r="B655" s="25"/>
      <c r="C655" s="25"/>
      <c r="E655" s="25"/>
      <c r="J655" s="20"/>
      <c r="L655" s="20"/>
      <c r="M655" s="20"/>
    </row>
    <row r="656" spans="2:13" ht="13" x14ac:dyDescent="0.15">
      <c r="B656" s="25"/>
      <c r="C656" s="25"/>
      <c r="E656" s="25"/>
      <c r="J656" s="20"/>
      <c r="L656" s="20"/>
      <c r="M656" s="20"/>
    </row>
    <row r="657" spans="2:13" ht="13" x14ac:dyDescent="0.15">
      <c r="B657" s="25"/>
      <c r="C657" s="25"/>
      <c r="E657" s="25"/>
      <c r="J657" s="20"/>
      <c r="L657" s="20"/>
      <c r="M657" s="20"/>
    </row>
    <row r="658" spans="2:13" ht="13" x14ac:dyDescent="0.15">
      <c r="B658" s="25"/>
      <c r="C658" s="25"/>
      <c r="E658" s="25"/>
      <c r="J658" s="20"/>
      <c r="L658" s="20"/>
      <c r="M658" s="20"/>
    </row>
    <row r="659" spans="2:13" ht="13" x14ac:dyDescent="0.15">
      <c r="B659" s="25"/>
      <c r="C659" s="25"/>
      <c r="E659" s="25"/>
      <c r="J659" s="20"/>
      <c r="L659" s="20"/>
      <c r="M659" s="20"/>
    </row>
    <row r="660" spans="2:13" ht="13" x14ac:dyDescent="0.15">
      <c r="B660" s="25"/>
      <c r="C660" s="25"/>
      <c r="E660" s="25"/>
      <c r="J660" s="20"/>
      <c r="L660" s="20"/>
      <c r="M660" s="20"/>
    </row>
    <row r="661" spans="2:13" ht="13" x14ac:dyDescent="0.15">
      <c r="B661" s="25"/>
      <c r="C661" s="25"/>
      <c r="E661" s="25"/>
      <c r="J661" s="20"/>
      <c r="L661" s="20"/>
      <c r="M661" s="20"/>
    </row>
    <row r="662" spans="2:13" ht="13" x14ac:dyDescent="0.15">
      <c r="B662" s="25"/>
      <c r="C662" s="25"/>
      <c r="E662" s="25"/>
      <c r="J662" s="20"/>
      <c r="L662" s="20"/>
      <c r="M662" s="20"/>
    </row>
    <row r="663" spans="2:13" ht="13" x14ac:dyDescent="0.15">
      <c r="B663" s="25"/>
      <c r="C663" s="25"/>
      <c r="E663" s="25"/>
      <c r="J663" s="20"/>
      <c r="L663" s="20"/>
      <c r="M663" s="20"/>
    </row>
    <row r="664" spans="2:13" ht="13" x14ac:dyDescent="0.15">
      <c r="B664" s="25"/>
      <c r="C664" s="25"/>
      <c r="E664" s="25"/>
      <c r="J664" s="20"/>
      <c r="L664" s="20"/>
      <c r="M664" s="20"/>
    </row>
    <row r="665" spans="2:13" ht="13" x14ac:dyDescent="0.15">
      <c r="B665" s="25"/>
      <c r="C665" s="25"/>
      <c r="E665" s="25"/>
      <c r="J665" s="20"/>
      <c r="L665" s="20"/>
      <c r="M665" s="20"/>
    </row>
    <row r="666" spans="2:13" ht="13" x14ac:dyDescent="0.15">
      <c r="B666" s="25"/>
      <c r="C666" s="25"/>
      <c r="E666" s="25"/>
      <c r="J666" s="20"/>
      <c r="L666" s="20"/>
      <c r="M666" s="20"/>
    </row>
    <row r="667" spans="2:13" ht="13" x14ac:dyDescent="0.15">
      <c r="B667" s="25"/>
      <c r="C667" s="25"/>
      <c r="E667" s="25"/>
      <c r="J667" s="20"/>
      <c r="L667" s="20"/>
      <c r="M667" s="20"/>
    </row>
    <row r="668" spans="2:13" ht="13" x14ac:dyDescent="0.15">
      <c r="B668" s="25"/>
      <c r="C668" s="25"/>
      <c r="E668" s="25"/>
      <c r="J668" s="20"/>
      <c r="L668" s="20"/>
      <c r="M668" s="20"/>
    </row>
    <row r="669" spans="2:13" ht="13" x14ac:dyDescent="0.15">
      <c r="B669" s="25"/>
      <c r="C669" s="25"/>
      <c r="E669" s="25"/>
      <c r="J669" s="20"/>
      <c r="L669" s="20"/>
      <c r="M669" s="20"/>
    </row>
    <row r="670" spans="2:13" ht="13" x14ac:dyDescent="0.15">
      <c r="B670" s="25"/>
      <c r="C670" s="25"/>
      <c r="E670" s="25"/>
      <c r="J670" s="20"/>
      <c r="L670" s="20"/>
      <c r="M670" s="20"/>
    </row>
    <row r="671" spans="2:13" ht="13" x14ac:dyDescent="0.15">
      <c r="B671" s="25"/>
      <c r="C671" s="25"/>
      <c r="E671" s="25"/>
      <c r="J671" s="20"/>
      <c r="L671" s="20"/>
      <c r="M671" s="20"/>
    </row>
    <row r="672" spans="2:13" ht="13" x14ac:dyDescent="0.15">
      <c r="B672" s="25"/>
      <c r="C672" s="25"/>
      <c r="E672" s="25"/>
      <c r="J672" s="20"/>
      <c r="L672" s="20"/>
      <c r="M672" s="20"/>
    </row>
    <row r="673" spans="2:13" ht="13" x14ac:dyDescent="0.15">
      <c r="B673" s="25"/>
      <c r="C673" s="25"/>
      <c r="E673" s="25"/>
      <c r="J673" s="20"/>
      <c r="L673" s="20"/>
      <c r="M673" s="20"/>
    </row>
    <row r="674" spans="2:13" ht="13" x14ac:dyDescent="0.15">
      <c r="B674" s="25"/>
      <c r="C674" s="25"/>
      <c r="E674" s="25"/>
      <c r="J674" s="20"/>
      <c r="L674" s="20"/>
      <c r="M674" s="20"/>
    </row>
    <row r="675" spans="2:13" ht="13" x14ac:dyDescent="0.15">
      <c r="B675" s="25"/>
      <c r="C675" s="25"/>
      <c r="E675" s="25"/>
      <c r="J675" s="20"/>
      <c r="L675" s="20"/>
      <c r="M675" s="20"/>
    </row>
    <row r="676" spans="2:13" ht="13" x14ac:dyDescent="0.15">
      <c r="B676" s="25"/>
      <c r="C676" s="25"/>
      <c r="E676" s="25"/>
      <c r="J676" s="20"/>
      <c r="L676" s="20"/>
      <c r="M676" s="20"/>
    </row>
    <row r="677" spans="2:13" ht="13" x14ac:dyDescent="0.15">
      <c r="B677" s="25"/>
      <c r="C677" s="25"/>
      <c r="E677" s="25"/>
      <c r="J677" s="20"/>
      <c r="L677" s="20"/>
      <c r="M677" s="20"/>
    </row>
    <row r="678" spans="2:13" ht="13" x14ac:dyDescent="0.15">
      <c r="B678" s="25"/>
      <c r="C678" s="25"/>
      <c r="E678" s="25"/>
      <c r="J678" s="20"/>
      <c r="L678" s="20"/>
      <c r="M678" s="20"/>
    </row>
    <row r="679" spans="2:13" ht="13" x14ac:dyDescent="0.15">
      <c r="B679" s="25"/>
      <c r="C679" s="25"/>
      <c r="E679" s="25"/>
      <c r="J679" s="20"/>
      <c r="L679" s="20"/>
      <c r="M679" s="20"/>
    </row>
    <row r="680" spans="2:13" ht="13" x14ac:dyDescent="0.15">
      <c r="B680" s="25"/>
      <c r="C680" s="25"/>
      <c r="E680" s="25"/>
      <c r="J680" s="20"/>
      <c r="L680" s="20"/>
      <c r="M680" s="20"/>
    </row>
    <row r="681" spans="2:13" ht="13" x14ac:dyDescent="0.15">
      <c r="B681" s="25"/>
      <c r="C681" s="25"/>
      <c r="E681" s="25"/>
      <c r="J681" s="20"/>
      <c r="L681" s="20"/>
      <c r="M681" s="20"/>
    </row>
    <row r="682" spans="2:13" ht="13" x14ac:dyDescent="0.15">
      <c r="B682" s="25"/>
      <c r="C682" s="25"/>
      <c r="E682" s="25"/>
      <c r="J682" s="20"/>
      <c r="L682" s="20"/>
      <c r="M682" s="20"/>
    </row>
    <row r="683" spans="2:13" ht="13" x14ac:dyDescent="0.15">
      <c r="B683" s="25"/>
      <c r="C683" s="25"/>
      <c r="E683" s="25"/>
      <c r="J683" s="20"/>
      <c r="L683" s="20"/>
      <c r="M683" s="20"/>
    </row>
    <row r="684" spans="2:13" ht="13" x14ac:dyDescent="0.15">
      <c r="B684" s="25"/>
      <c r="C684" s="25"/>
      <c r="E684" s="25"/>
      <c r="J684" s="20"/>
      <c r="L684" s="20"/>
      <c r="M684" s="20"/>
    </row>
    <row r="685" spans="2:13" ht="13" x14ac:dyDescent="0.15">
      <c r="B685" s="25"/>
      <c r="C685" s="25"/>
      <c r="E685" s="25"/>
      <c r="J685" s="20"/>
      <c r="L685" s="20"/>
      <c r="M685" s="20"/>
    </row>
    <row r="686" spans="2:13" ht="13" x14ac:dyDescent="0.15">
      <c r="B686" s="25"/>
      <c r="C686" s="25"/>
      <c r="E686" s="25"/>
      <c r="J686" s="20"/>
      <c r="L686" s="20"/>
      <c r="M686" s="20"/>
    </row>
    <row r="687" spans="2:13" ht="13" x14ac:dyDescent="0.15">
      <c r="B687" s="25"/>
      <c r="C687" s="25"/>
      <c r="E687" s="25"/>
      <c r="J687" s="20"/>
      <c r="L687" s="20"/>
      <c r="M687" s="20"/>
    </row>
    <row r="688" spans="2:13" ht="13" x14ac:dyDescent="0.15">
      <c r="B688" s="25"/>
      <c r="C688" s="25"/>
      <c r="E688" s="25"/>
      <c r="J688" s="20"/>
      <c r="L688" s="20"/>
      <c r="M688" s="20"/>
    </row>
    <row r="689" spans="2:13" ht="13" x14ac:dyDescent="0.15">
      <c r="B689" s="25"/>
      <c r="C689" s="25"/>
      <c r="E689" s="25"/>
      <c r="J689" s="20"/>
      <c r="L689" s="20"/>
      <c r="M689" s="20"/>
    </row>
    <row r="690" spans="2:13" ht="13" x14ac:dyDescent="0.15">
      <c r="B690" s="25"/>
      <c r="C690" s="25"/>
      <c r="E690" s="25"/>
      <c r="J690" s="20"/>
      <c r="L690" s="20"/>
      <c r="M690" s="20"/>
    </row>
    <row r="691" spans="2:13" ht="13" x14ac:dyDescent="0.15">
      <c r="B691" s="25"/>
      <c r="C691" s="25"/>
      <c r="E691" s="25"/>
      <c r="J691" s="20"/>
      <c r="L691" s="20"/>
      <c r="M691" s="20"/>
    </row>
    <row r="692" spans="2:13" ht="13" x14ac:dyDescent="0.15">
      <c r="B692" s="25"/>
      <c r="C692" s="25"/>
      <c r="E692" s="25"/>
      <c r="J692" s="20"/>
      <c r="L692" s="20"/>
      <c r="M692" s="20"/>
    </row>
    <row r="693" spans="2:13" ht="13" x14ac:dyDescent="0.15">
      <c r="B693" s="25"/>
      <c r="C693" s="25"/>
      <c r="E693" s="25"/>
      <c r="J693" s="20"/>
      <c r="L693" s="20"/>
      <c r="M693" s="20"/>
    </row>
    <row r="694" spans="2:13" ht="13" x14ac:dyDescent="0.15">
      <c r="B694" s="25"/>
      <c r="C694" s="25"/>
      <c r="E694" s="25"/>
      <c r="J694" s="20"/>
      <c r="L694" s="20"/>
      <c r="M694" s="20"/>
    </row>
    <row r="695" spans="2:13" ht="13" x14ac:dyDescent="0.15">
      <c r="B695" s="25"/>
      <c r="C695" s="25"/>
      <c r="E695" s="25"/>
      <c r="J695" s="20"/>
      <c r="L695" s="20"/>
      <c r="M695" s="20"/>
    </row>
    <row r="696" spans="2:13" ht="13" x14ac:dyDescent="0.15">
      <c r="B696" s="25"/>
      <c r="C696" s="25"/>
      <c r="E696" s="25"/>
      <c r="J696" s="20"/>
      <c r="L696" s="20"/>
      <c r="M696" s="20"/>
    </row>
    <row r="697" spans="2:13" ht="13" x14ac:dyDescent="0.15">
      <c r="B697" s="25"/>
      <c r="C697" s="25"/>
      <c r="E697" s="25"/>
      <c r="J697" s="20"/>
      <c r="L697" s="20"/>
      <c r="M697" s="20"/>
    </row>
    <row r="698" spans="2:13" ht="13" x14ac:dyDescent="0.15">
      <c r="B698" s="25"/>
      <c r="C698" s="25"/>
      <c r="E698" s="25"/>
      <c r="J698" s="20"/>
      <c r="L698" s="20"/>
      <c r="M698" s="20"/>
    </row>
    <row r="699" spans="2:13" ht="13" x14ac:dyDescent="0.15">
      <c r="B699" s="25"/>
      <c r="C699" s="25"/>
      <c r="E699" s="25"/>
      <c r="J699" s="20"/>
      <c r="L699" s="20"/>
      <c r="M699" s="20"/>
    </row>
    <row r="700" spans="2:13" ht="13" x14ac:dyDescent="0.15">
      <c r="B700" s="25"/>
      <c r="C700" s="25"/>
      <c r="E700" s="25"/>
      <c r="J700" s="20"/>
      <c r="L700" s="20"/>
      <c r="M700" s="20"/>
    </row>
    <row r="701" spans="2:13" ht="13" x14ac:dyDescent="0.15">
      <c r="B701" s="25"/>
      <c r="C701" s="25"/>
      <c r="E701" s="25"/>
      <c r="J701" s="20"/>
      <c r="L701" s="20"/>
      <c r="M701" s="20"/>
    </row>
    <row r="702" spans="2:13" ht="13" x14ac:dyDescent="0.15">
      <c r="B702" s="25"/>
      <c r="C702" s="25"/>
      <c r="E702" s="25"/>
      <c r="J702" s="20"/>
      <c r="L702" s="20"/>
      <c r="M702" s="20"/>
    </row>
    <row r="703" spans="2:13" ht="13" x14ac:dyDescent="0.15">
      <c r="B703" s="25"/>
      <c r="C703" s="25"/>
      <c r="E703" s="25"/>
      <c r="J703" s="20"/>
      <c r="L703" s="20"/>
      <c r="M703" s="20"/>
    </row>
    <row r="704" spans="2:13" ht="13" x14ac:dyDescent="0.15">
      <c r="B704" s="25"/>
      <c r="C704" s="25"/>
      <c r="E704" s="25"/>
      <c r="J704" s="20"/>
      <c r="L704" s="20"/>
      <c r="M704" s="20"/>
    </row>
    <row r="705" spans="2:13" ht="13" x14ac:dyDescent="0.15">
      <c r="B705" s="25"/>
      <c r="C705" s="25"/>
      <c r="E705" s="25"/>
      <c r="J705" s="20"/>
      <c r="L705" s="20"/>
      <c r="M705" s="20"/>
    </row>
    <row r="706" spans="2:13" ht="13" x14ac:dyDescent="0.15">
      <c r="B706" s="25"/>
      <c r="C706" s="25"/>
      <c r="E706" s="25"/>
      <c r="J706" s="20"/>
      <c r="L706" s="20"/>
      <c r="M706" s="20"/>
    </row>
    <row r="707" spans="2:13" ht="13" x14ac:dyDescent="0.15">
      <c r="B707" s="25"/>
      <c r="C707" s="25"/>
      <c r="E707" s="25"/>
      <c r="J707" s="20"/>
      <c r="L707" s="20"/>
      <c r="M707" s="20"/>
    </row>
    <row r="708" spans="2:13" ht="13" x14ac:dyDescent="0.15">
      <c r="B708" s="25"/>
      <c r="C708" s="25"/>
      <c r="E708" s="25"/>
      <c r="J708" s="20"/>
      <c r="L708" s="20"/>
      <c r="M708" s="20"/>
    </row>
    <row r="709" spans="2:13" ht="13" x14ac:dyDescent="0.15">
      <c r="B709" s="25"/>
      <c r="C709" s="25"/>
      <c r="E709" s="25"/>
      <c r="J709" s="20"/>
      <c r="L709" s="20"/>
      <c r="M709" s="20"/>
    </row>
    <row r="710" spans="2:13" ht="13" x14ac:dyDescent="0.15">
      <c r="B710" s="25"/>
      <c r="C710" s="25"/>
      <c r="E710" s="25"/>
      <c r="J710" s="20"/>
      <c r="L710" s="20"/>
      <c r="M710" s="20"/>
    </row>
    <row r="711" spans="2:13" ht="13" x14ac:dyDescent="0.15">
      <c r="B711" s="25"/>
      <c r="C711" s="25"/>
      <c r="E711" s="25"/>
      <c r="J711" s="20"/>
      <c r="L711" s="20"/>
      <c r="M711" s="20"/>
    </row>
    <row r="712" spans="2:13" ht="13" x14ac:dyDescent="0.15">
      <c r="B712" s="25"/>
      <c r="C712" s="25"/>
      <c r="E712" s="25"/>
      <c r="J712" s="20"/>
      <c r="L712" s="20"/>
      <c r="M712" s="20"/>
    </row>
    <row r="713" spans="2:13" ht="13" x14ac:dyDescent="0.15">
      <c r="B713" s="25"/>
      <c r="C713" s="25"/>
      <c r="E713" s="25"/>
      <c r="J713" s="20"/>
      <c r="L713" s="20"/>
      <c r="M713" s="20"/>
    </row>
    <row r="714" spans="2:13" ht="13" x14ac:dyDescent="0.15">
      <c r="B714" s="25"/>
      <c r="C714" s="25"/>
      <c r="E714" s="25"/>
      <c r="J714" s="20"/>
      <c r="L714" s="20"/>
      <c r="M714" s="20"/>
    </row>
    <row r="715" spans="2:13" ht="13" x14ac:dyDescent="0.15">
      <c r="B715" s="25"/>
      <c r="C715" s="25"/>
      <c r="E715" s="25"/>
      <c r="J715" s="20"/>
      <c r="L715" s="20"/>
      <c r="M715" s="20"/>
    </row>
    <row r="716" spans="2:13" ht="13" x14ac:dyDescent="0.15">
      <c r="B716" s="25"/>
      <c r="C716" s="25"/>
      <c r="E716" s="25"/>
      <c r="J716" s="20"/>
      <c r="L716" s="20"/>
      <c r="M716" s="20"/>
    </row>
    <row r="717" spans="2:13" ht="13" x14ac:dyDescent="0.15">
      <c r="B717" s="25"/>
      <c r="C717" s="25"/>
      <c r="E717" s="25"/>
      <c r="J717" s="20"/>
      <c r="L717" s="20"/>
      <c r="M717" s="20"/>
    </row>
    <row r="718" spans="2:13" ht="13" x14ac:dyDescent="0.15">
      <c r="B718" s="25"/>
      <c r="C718" s="25"/>
      <c r="E718" s="25"/>
      <c r="J718" s="20"/>
      <c r="L718" s="20"/>
      <c r="M718" s="20"/>
    </row>
    <row r="719" spans="2:13" ht="13" x14ac:dyDescent="0.15">
      <c r="B719" s="25"/>
      <c r="C719" s="25"/>
      <c r="E719" s="25"/>
      <c r="J719" s="20"/>
      <c r="L719" s="20"/>
      <c r="M719" s="20"/>
    </row>
    <row r="720" spans="2:13" ht="13" x14ac:dyDescent="0.15">
      <c r="B720" s="25"/>
      <c r="C720" s="25"/>
      <c r="E720" s="25"/>
      <c r="J720" s="20"/>
      <c r="L720" s="20"/>
      <c r="M720" s="20"/>
    </row>
    <row r="721" spans="2:13" ht="13" x14ac:dyDescent="0.15">
      <c r="B721" s="25"/>
      <c r="C721" s="25"/>
      <c r="E721" s="25"/>
      <c r="J721" s="20"/>
      <c r="L721" s="20"/>
      <c r="M721" s="20"/>
    </row>
    <row r="722" spans="2:13" ht="13" x14ac:dyDescent="0.15">
      <c r="B722" s="25"/>
      <c r="C722" s="25"/>
      <c r="E722" s="25"/>
      <c r="J722" s="20"/>
      <c r="L722" s="20"/>
      <c r="M722" s="20"/>
    </row>
    <row r="723" spans="2:13" ht="13" x14ac:dyDescent="0.15">
      <c r="B723" s="25"/>
      <c r="C723" s="25"/>
      <c r="E723" s="25"/>
      <c r="J723" s="20"/>
      <c r="L723" s="20"/>
      <c r="M723" s="20"/>
    </row>
    <row r="724" spans="2:13" ht="13" x14ac:dyDescent="0.15">
      <c r="B724" s="25"/>
      <c r="C724" s="25"/>
      <c r="E724" s="25"/>
      <c r="J724" s="20"/>
      <c r="L724" s="20"/>
      <c r="M724" s="20"/>
    </row>
    <row r="725" spans="2:13" ht="13" x14ac:dyDescent="0.15">
      <c r="B725" s="25"/>
      <c r="C725" s="25"/>
      <c r="E725" s="25"/>
      <c r="J725" s="20"/>
      <c r="L725" s="20"/>
      <c r="M725" s="20"/>
    </row>
    <row r="726" spans="2:13" ht="13" x14ac:dyDescent="0.15">
      <c r="B726" s="25"/>
      <c r="C726" s="25"/>
      <c r="E726" s="25"/>
      <c r="J726" s="20"/>
      <c r="L726" s="20"/>
      <c r="M726" s="20"/>
    </row>
    <row r="727" spans="2:13" ht="13" x14ac:dyDescent="0.15">
      <c r="B727" s="25"/>
      <c r="C727" s="25"/>
      <c r="E727" s="25"/>
      <c r="J727" s="20"/>
      <c r="L727" s="20"/>
      <c r="M727" s="20"/>
    </row>
    <row r="728" spans="2:13" ht="13" x14ac:dyDescent="0.15">
      <c r="B728" s="25"/>
      <c r="C728" s="25"/>
      <c r="E728" s="25"/>
      <c r="J728" s="20"/>
      <c r="L728" s="20"/>
      <c r="M728" s="20"/>
    </row>
    <row r="729" spans="2:13" ht="13" x14ac:dyDescent="0.15">
      <c r="B729" s="25"/>
      <c r="C729" s="25"/>
      <c r="E729" s="25"/>
      <c r="J729" s="20"/>
      <c r="L729" s="20"/>
      <c r="M729" s="20"/>
    </row>
    <row r="730" spans="2:13" ht="13" x14ac:dyDescent="0.15">
      <c r="B730" s="25"/>
      <c r="C730" s="25"/>
      <c r="E730" s="25"/>
      <c r="J730" s="20"/>
      <c r="L730" s="20"/>
      <c r="M730" s="20"/>
    </row>
    <row r="731" spans="2:13" ht="13" x14ac:dyDescent="0.15">
      <c r="B731" s="25"/>
      <c r="C731" s="25"/>
      <c r="E731" s="25"/>
      <c r="J731" s="20"/>
      <c r="L731" s="20"/>
      <c r="M731" s="20"/>
    </row>
    <row r="732" spans="2:13" ht="13" x14ac:dyDescent="0.15">
      <c r="B732" s="25"/>
      <c r="C732" s="25"/>
      <c r="E732" s="25"/>
      <c r="J732" s="20"/>
      <c r="L732" s="20"/>
      <c r="M732" s="20"/>
    </row>
    <row r="733" spans="2:13" ht="13" x14ac:dyDescent="0.15">
      <c r="B733" s="25"/>
      <c r="C733" s="25"/>
      <c r="E733" s="25"/>
      <c r="J733" s="20"/>
      <c r="L733" s="20"/>
      <c r="M733" s="20"/>
    </row>
    <row r="734" spans="2:13" ht="13" x14ac:dyDescent="0.15">
      <c r="B734" s="25"/>
      <c r="C734" s="25"/>
      <c r="E734" s="25"/>
      <c r="J734" s="20"/>
      <c r="L734" s="20"/>
      <c r="M734" s="20"/>
    </row>
    <row r="735" spans="2:13" ht="13" x14ac:dyDescent="0.15">
      <c r="B735" s="25"/>
      <c r="C735" s="25"/>
      <c r="E735" s="25"/>
      <c r="J735" s="20"/>
      <c r="L735" s="20"/>
      <c r="M735" s="20"/>
    </row>
    <row r="736" spans="2:13" ht="13" x14ac:dyDescent="0.15">
      <c r="B736" s="25"/>
      <c r="C736" s="25"/>
      <c r="E736" s="25"/>
      <c r="J736" s="20"/>
      <c r="L736" s="20"/>
      <c r="M736" s="20"/>
    </row>
    <row r="737" spans="2:13" ht="13" x14ac:dyDescent="0.15">
      <c r="B737" s="25"/>
      <c r="C737" s="25"/>
      <c r="E737" s="25"/>
      <c r="J737" s="20"/>
      <c r="L737" s="20"/>
      <c r="M737" s="20"/>
    </row>
    <row r="738" spans="2:13" ht="13" x14ac:dyDescent="0.15">
      <c r="B738" s="25"/>
      <c r="C738" s="25"/>
      <c r="E738" s="25"/>
      <c r="J738" s="20"/>
      <c r="L738" s="20"/>
      <c r="M738" s="20"/>
    </row>
    <row r="739" spans="2:13" ht="13" x14ac:dyDescent="0.15">
      <c r="B739" s="25"/>
      <c r="C739" s="25"/>
      <c r="E739" s="25"/>
      <c r="J739" s="20"/>
      <c r="L739" s="20"/>
      <c r="M739" s="20"/>
    </row>
    <row r="740" spans="2:13" ht="13" x14ac:dyDescent="0.15">
      <c r="B740" s="25"/>
      <c r="C740" s="25"/>
      <c r="E740" s="25"/>
      <c r="J740" s="20"/>
      <c r="L740" s="20"/>
      <c r="M740" s="20"/>
    </row>
    <row r="741" spans="2:13" ht="13" x14ac:dyDescent="0.15">
      <c r="B741" s="25"/>
      <c r="C741" s="25"/>
      <c r="E741" s="25"/>
      <c r="J741" s="20"/>
      <c r="L741" s="20"/>
      <c r="M741" s="20"/>
    </row>
    <row r="742" spans="2:13" ht="13" x14ac:dyDescent="0.15">
      <c r="B742" s="25"/>
      <c r="C742" s="25"/>
      <c r="E742" s="25"/>
      <c r="J742" s="20"/>
      <c r="L742" s="20"/>
      <c r="M742" s="20"/>
    </row>
    <row r="743" spans="2:13" ht="13" x14ac:dyDescent="0.15">
      <c r="B743" s="25"/>
      <c r="C743" s="25"/>
      <c r="E743" s="25"/>
      <c r="J743" s="20"/>
      <c r="L743" s="20"/>
      <c r="M743" s="20"/>
    </row>
    <row r="744" spans="2:13" ht="13" x14ac:dyDescent="0.15">
      <c r="B744" s="25"/>
      <c r="C744" s="25"/>
      <c r="E744" s="25"/>
      <c r="J744" s="20"/>
      <c r="L744" s="20"/>
      <c r="M744" s="20"/>
    </row>
    <row r="745" spans="2:13" ht="13" x14ac:dyDescent="0.15">
      <c r="B745" s="25"/>
      <c r="C745" s="25"/>
      <c r="E745" s="25"/>
      <c r="J745" s="20"/>
      <c r="L745" s="20"/>
      <c r="M745" s="20"/>
    </row>
    <row r="746" spans="2:13" ht="13" x14ac:dyDescent="0.15">
      <c r="B746" s="25"/>
      <c r="C746" s="25"/>
      <c r="E746" s="25"/>
      <c r="J746" s="20"/>
      <c r="L746" s="20"/>
      <c r="M746" s="20"/>
    </row>
    <row r="747" spans="2:13" ht="13" x14ac:dyDescent="0.15">
      <c r="B747" s="25"/>
      <c r="C747" s="25"/>
      <c r="E747" s="25"/>
      <c r="J747" s="20"/>
      <c r="L747" s="20"/>
      <c r="M747" s="20"/>
    </row>
    <row r="748" spans="2:13" ht="13" x14ac:dyDescent="0.15">
      <c r="B748" s="25"/>
      <c r="C748" s="25"/>
      <c r="E748" s="25"/>
      <c r="J748" s="20"/>
      <c r="L748" s="20"/>
      <c r="M748" s="20"/>
    </row>
    <row r="749" spans="2:13" ht="13" x14ac:dyDescent="0.15">
      <c r="B749" s="25"/>
      <c r="C749" s="25"/>
      <c r="E749" s="25"/>
      <c r="J749" s="20"/>
      <c r="L749" s="20"/>
      <c r="M749" s="20"/>
    </row>
    <row r="750" spans="2:13" ht="13" x14ac:dyDescent="0.15">
      <c r="B750" s="25"/>
      <c r="C750" s="25"/>
      <c r="E750" s="25"/>
      <c r="J750" s="20"/>
      <c r="L750" s="20"/>
      <c r="M750" s="20"/>
    </row>
    <row r="751" spans="2:13" ht="13" x14ac:dyDescent="0.15">
      <c r="B751" s="25"/>
      <c r="C751" s="25"/>
      <c r="E751" s="25"/>
      <c r="J751" s="20"/>
      <c r="L751" s="20"/>
      <c r="M751" s="20"/>
    </row>
    <row r="752" spans="2:13" ht="13" x14ac:dyDescent="0.15">
      <c r="B752" s="25"/>
      <c r="C752" s="25"/>
      <c r="E752" s="25"/>
      <c r="J752" s="20"/>
      <c r="L752" s="20"/>
      <c r="M752" s="20"/>
    </row>
    <row r="753" spans="2:13" ht="13" x14ac:dyDescent="0.15">
      <c r="B753" s="25"/>
      <c r="C753" s="25"/>
      <c r="E753" s="25"/>
      <c r="J753" s="20"/>
      <c r="L753" s="20"/>
      <c r="M753" s="20"/>
    </row>
    <row r="754" spans="2:13" ht="13" x14ac:dyDescent="0.15">
      <c r="B754" s="25"/>
      <c r="C754" s="25"/>
      <c r="E754" s="25"/>
      <c r="J754" s="20"/>
      <c r="L754" s="20"/>
      <c r="M754" s="20"/>
    </row>
    <row r="755" spans="2:13" ht="13" x14ac:dyDescent="0.15">
      <c r="B755" s="25"/>
      <c r="C755" s="25"/>
      <c r="E755" s="25"/>
      <c r="J755" s="20"/>
      <c r="L755" s="20"/>
      <c r="M755" s="20"/>
    </row>
    <row r="756" spans="2:13" ht="13" x14ac:dyDescent="0.15">
      <c r="B756" s="25"/>
      <c r="C756" s="25"/>
      <c r="E756" s="25"/>
      <c r="J756" s="20"/>
      <c r="L756" s="20"/>
      <c r="M756" s="20"/>
    </row>
    <row r="757" spans="2:13" ht="13" x14ac:dyDescent="0.15">
      <c r="B757" s="25"/>
      <c r="C757" s="25"/>
      <c r="E757" s="25"/>
      <c r="J757" s="20"/>
      <c r="L757" s="20"/>
      <c r="M757" s="20"/>
    </row>
    <row r="758" spans="2:13" ht="13" x14ac:dyDescent="0.15">
      <c r="B758" s="25"/>
      <c r="C758" s="25"/>
      <c r="E758" s="25"/>
      <c r="J758" s="20"/>
      <c r="L758" s="20"/>
      <c r="M758" s="20"/>
    </row>
    <row r="759" spans="2:13" ht="13" x14ac:dyDescent="0.15">
      <c r="B759" s="25"/>
      <c r="C759" s="25"/>
      <c r="E759" s="25"/>
      <c r="J759" s="20"/>
      <c r="L759" s="20"/>
      <c r="M759" s="20"/>
    </row>
    <row r="760" spans="2:13" ht="13" x14ac:dyDescent="0.15">
      <c r="B760" s="25"/>
      <c r="C760" s="25"/>
      <c r="E760" s="25"/>
      <c r="J760" s="20"/>
      <c r="L760" s="20"/>
      <c r="M760" s="20"/>
    </row>
    <row r="761" spans="2:13" ht="13" x14ac:dyDescent="0.15">
      <c r="B761" s="25"/>
      <c r="C761" s="25"/>
      <c r="E761" s="25"/>
      <c r="J761" s="20"/>
      <c r="L761" s="20"/>
      <c r="M761" s="20"/>
    </row>
    <row r="762" spans="2:13" ht="13" x14ac:dyDescent="0.15">
      <c r="B762" s="25"/>
      <c r="C762" s="25"/>
      <c r="E762" s="25"/>
      <c r="J762" s="20"/>
      <c r="L762" s="20"/>
      <c r="M762" s="20"/>
    </row>
    <row r="763" spans="2:13" ht="13" x14ac:dyDescent="0.15">
      <c r="B763" s="25"/>
      <c r="C763" s="25"/>
      <c r="E763" s="25"/>
      <c r="J763" s="20"/>
      <c r="L763" s="20"/>
      <c r="M763" s="20"/>
    </row>
    <row r="764" spans="2:13" ht="13" x14ac:dyDescent="0.15">
      <c r="B764" s="25"/>
      <c r="C764" s="25"/>
      <c r="E764" s="25"/>
      <c r="J764" s="20"/>
      <c r="L764" s="20"/>
      <c r="M764" s="20"/>
    </row>
    <row r="765" spans="2:13" ht="13" x14ac:dyDescent="0.15">
      <c r="B765" s="25"/>
      <c r="C765" s="25"/>
      <c r="E765" s="25"/>
      <c r="J765" s="20"/>
      <c r="L765" s="20"/>
      <c r="M765" s="20"/>
    </row>
    <row r="766" spans="2:13" ht="13" x14ac:dyDescent="0.15">
      <c r="B766" s="25"/>
      <c r="C766" s="25"/>
      <c r="E766" s="25"/>
      <c r="J766" s="20"/>
      <c r="L766" s="20"/>
      <c r="M766" s="20"/>
    </row>
    <row r="767" spans="2:13" ht="13" x14ac:dyDescent="0.15">
      <c r="B767" s="25"/>
      <c r="C767" s="25"/>
      <c r="E767" s="25"/>
      <c r="J767" s="20"/>
      <c r="L767" s="20"/>
      <c r="M767" s="20"/>
    </row>
    <row r="768" spans="2:13" ht="13" x14ac:dyDescent="0.15">
      <c r="B768" s="25"/>
      <c r="C768" s="25"/>
      <c r="E768" s="25"/>
      <c r="J768" s="20"/>
      <c r="L768" s="20"/>
      <c r="M768" s="20"/>
    </row>
    <row r="769" spans="2:13" ht="13" x14ac:dyDescent="0.15">
      <c r="B769" s="25"/>
      <c r="C769" s="25"/>
      <c r="E769" s="25"/>
      <c r="J769" s="20"/>
      <c r="L769" s="20"/>
      <c r="M769" s="20"/>
    </row>
    <row r="770" spans="2:13" ht="13" x14ac:dyDescent="0.15">
      <c r="B770" s="25"/>
      <c r="C770" s="25"/>
      <c r="E770" s="25"/>
      <c r="J770" s="20"/>
      <c r="L770" s="20"/>
      <c r="M770" s="20"/>
    </row>
    <row r="771" spans="2:13" ht="13" x14ac:dyDescent="0.15">
      <c r="B771" s="25"/>
      <c r="C771" s="25"/>
      <c r="E771" s="25"/>
      <c r="J771" s="20"/>
      <c r="L771" s="20"/>
      <c r="M771" s="20"/>
    </row>
    <row r="772" spans="2:13" ht="13" x14ac:dyDescent="0.15">
      <c r="B772" s="25"/>
      <c r="C772" s="25"/>
      <c r="E772" s="25"/>
      <c r="J772" s="20"/>
      <c r="L772" s="20"/>
      <c r="M772" s="20"/>
    </row>
    <row r="773" spans="2:13" ht="13" x14ac:dyDescent="0.15">
      <c r="B773" s="25"/>
      <c r="C773" s="25"/>
      <c r="E773" s="25"/>
      <c r="J773" s="20"/>
      <c r="L773" s="20"/>
      <c r="M773" s="20"/>
    </row>
    <row r="774" spans="2:13" ht="13" x14ac:dyDescent="0.15">
      <c r="B774" s="25"/>
      <c r="C774" s="25"/>
      <c r="E774" s="25"/>
      <c r="J774" s="20"/>
      <c r="L774" s="20"/>
      <c r="M774" s="20"/>
    </row>
    <row r="775" spans="2:13" ht="13" x14ac:dyDescent="0.15">
      <c r="B775" s="25"/>
      <c r="C775" s="25"/>
      <c r="E775" s="25"/>
      <c r="J775" s="20"/>
      <c r="L775" s="20"/>
      <c r="M775" s="20"/>
    </row>
    <row r="776" spans="2:13" ht="13" x14ac:dyDescent="0.15">
      <c r="B776" s="25"/>
      <c r="C776" s="25"/>
      <c r="E776" s="25"/>
      <c r="J776" s="20"/>
      <c r="L776" s="20"/>
      <c r="M776" s="20"/>
    </row>
    <row r="777" spans="2:13" ht="13" x14ac:dyDescent="0.15">
      <c r="B777" s="25"/>
      <c r="C777" s="25"/>
      <c r="E777" s="25"/>
      <c r="J777" s="20"/>
      <c r="L777" s="20"/>
      <c r="M777" s="20"/>
    </row>
    <row r="778" spans="2:13" ht="13" x14ac:dyDescent="0.15">
      <c r="B778" s="25"/>
      <c r="C778" s="25"/>
      <c r="E778" s="25"/>
      <c r="J778" s="20"/>
      <c r="L778" s="20"/>
      <c r="M778" s="20"/>
    </row>
    <row r="779" spans="2:13" ht="13" x14ac:dyDescent="0.15">
      <c r="B779" s="25"/>
      <c r="C779" s="25"/>
      <c r="E779" s="25"/>
      <c r="J779" s="20"/>
      <c r="L779" s="20"/>
      <c r="M779" s="20"/>
    </row>
    <row r="780" spans="2:13" ht="13" x14ac:dyDescent="0.15">
      <c r="B780" s="25"/>
      <c r="C780" s="25"/>
      <c r="E780" s="25"/>
      <c r="J780" s="20"/>
      <c r="L780" s="20"/>
      <c r="M780" s="20"/>
    </row>
    <row r="781" spans="2:13" ht="13" x14ac:dyDescent="0.15">
      <c r="B781" s="25"/>
      <c r="C781" s="25"/>
      <c r="E781" s="25"/>
      <c r="J781" s="20"/>
      <c r="L781" s="20"/>
      <c r="M781" s="20"/>
    </row>
    <row r="782" spans="2:13" ht="13" x14ac:dyDescent="0.15">
      <c r="B782" s="25"/>
      <c r="C782" s="25"/>
      <c r="E782" s="25"/>
      <c r="J782" s="20"/>
      <c r="L782" s="20"/>
      <c r="M782" s="20"/>
    </row>
    <row r="783" spans="2:13" ht="13" x14ac:dyDescent="0.15">
      <c r="B783" s="25"/>
      <c r="C783" s="25"/>
      <c r="E783" s="25"/>
      <c r="J783" s="20"/>
      <c r="L783" s="20"/>
      <c r="M783" s="20"/>
    </row>
    <row r="784" spans="2:13" ht="13" x14ac:dyDescent="0.15">
      <c r="B784" s="25"/>
      <c r="C784" s="25"/>
      <c r="E784" s="25"/>
      <c r="J784" s="20"/>
      <c r="L784" s="20"/>
      <c r="M784" s="20"/>
    </row>
    <row r="785" spans="2:13" ht="13" x14ac:dyDescent="0.15">
      <c r="B785" s="25"/>
      <c r="C785" s="25"/>
      <c r="E785" s="25"/>
      <c r="J785" s="20"/>
      <c r="L785" s="20"/>
      <c r="M785" s="20"/>
    </row>
    <row r="786" spans="2:13" ht="13" x14ac:dyDescent="0.15">
      <c r="B786" s="25"/>
      <c r="C786" s="25"/>
      <c r="E786" s="25"/>
      <c r="J786" s="20"/>
      <c r="L786" s="20"/>
      <c r="M786" s="20"/>
    </row>
    <row r="787" spans="2:13" ht="13" x14ac:dyDescent="0.15">
      <c r="B787" s="25"/>
      <c r="C787" s="25"/>
      <c r="E787" s="25"/>
      <c r="J787" s="20"/>
      <c r="L787" s="20"/>
      <c r="M787" s="20"/>
    </row>
    <row r="788" spans="2:13" ht="13" x14ac:dyDescent="0.15">
      <c r="B788" s="25"/>
      <c r="C788" s="25"/>
      <c r="E788" s="25"/>
      <c r="J788" s="20"/>
      <c r="L788" s="20"/>
      <c r="M788" s="20"/>
    </row>
    <row r="789" spans="2:13" ht="13" x14ac:dyDescent="0.15">
      <c r="B789" s="25"/>
      <c r="C789" s="25"/>
      <c r="E789" s="25"/>
      <c r="J789" s="20"/>
      <c r="L789" s="20"/>
      <c r="M789" s="20"/>
    </row>
    <row r="790" spans="2:13" ht="13" x14ac:dyDescent="0.15">
      <c r="B790" s="25"/>
      <c r="C790" s="25"/>
      <c r="E790" s="25"/>
      <c r="J790" s="20"/>
      <c r="L790" s="20"/>
      <c r="M790" s="20"/>
    </row>
    <row r="791" spans="2:13" ht="13" x14ac:dyDescent="0.15">
      <c r="B791" s="25"/>
      <c r="C791" s="25"/>
      <c r="E791" s="25"/>
      <c r="J791" s="20"/>
      <c r="L791" s="20"/>
      <c r="M791" s="20"/>
    </row>
    <row r="792" spans="2:13" ht="13" x14ac:dyDescent="0.15">
      <c r="B792" s="25"/>
      <c r="C792" s="25"/>
      <c r="E792" s="25"/>
      <c r="J792" s="20"/>
      <c r="L792" s="20"/>
      <c r="M792" s="20"/>
    </row>
    <row r="793" spans="2:13" ht="13" x14ac:dyDescent="0.15">
      <c r="B793" s="25"/>
      <c r="C793" s="25"/>
      <c r="E793" s="25"/>
      <c r="J793" s="20"/>
      <c r="L793" s="20"/>
      <c r="M793" s="20"/>
    </row>
    <row r="794" spans="2:13" ht="13" x14ac:dyDescent="0.15">
      <c r="B794" s="25"/>
      <c r="C794" s="25"/>
      <c r="E794" s="25"/>
      <c r="J794" s="20"/>
      <c r="L794" s="20"/>
      <c r="M794" s="20"/>
    </row>
    <row r="795" spans="2:13" ht="13" x14ac:dyDescent="0.15">
      <c r="B795" s="25"/>
      <c r="C795" s="25"/>
      <c r="E795" s="25"/>
      <c r="J795" s="20"/>
      <c r="L795" s="20"/>
      <c r="M795" s="20"/>
    </row>
    <row r="796" spans="2:13" ht="13" x14ac:dyDescent="0.15">
      <c r="B796" s="25"/>
      <c r="C796" s="25"/>
      <c r="E796" s="25"/>
      <c r="J796" s="20"/>
      <c r="L796" s="20"/>
      <c r="M796" s="20"/>
    </row>
    <row r="797" spans="2:13" ht="13" x14ac:dyDescent="0.15">
      <c r="B797" s="25"/>
      <c r="C797" s="25"/>
      <c r="E797" s="25"/>
      <c r="J797" s="20"/>
      <c r="L797" s="20"/>
      <c r="M797" s="20"/>
    </row>
    <row r="798" spans="2:13" ht="13" x14ac:dyDescent="0.15">
      <c r="B798" s="25"/>
      <c r="C798" s="25"/>
      <c r="E798" s="25"/>
      <c r="J798" s="20"/>
      <c r="L798" s="20"/>
      <c r="M798" s="20"/>
    </row>
    <row r="799" spans="2:13" ht="13" x14ac:dyDescent="0.15">
      <c r="B799" s="25"/>
      <c r="C799" s="25"/>
      <c r="E799" s="25"/>
      <c r="J799" s="20"/>
      <c r="L799" s="20"/>
      <c r="M799" s="20"/>
    </row>
    <row r="800" spans="2:13" ht="13" x14ac:dyDescent="0.15">
      <c r="B800" s="25"/>
      <c r="C800" s="25"/>
      <c r="E800" s="25"/>
      <c r="J800" s="20"/>
      <c r="L800" s="20"/>
      <c r="M800" s="20"/>
    </row>
    <row r="801" spans="2:13" ht="13" x14ac:dyDescent="0.15">
      <c r="B801" s="25"/>
      <c r="C801" s="25"/>
      <c r="E801" s="25"/>
      <c r="J801" s="20"/>
      <c r="L801" s="20"/>
      <c r="M801" s="20"/>
    </row>
    <row r="802" spans="2:13" ht="13" x14ac:dyDescent="0.15">
      <c r="B802" s="25"/>
      <c r="C802" s="25"/>
      <c r="E802" s="25"/>
      <c r="J802" s="20"/>
      <c r="L802" s="20"/>
      <c r="M802" s="20"/>
    </row>
    <row r="803" spans="2:13" ht="13" x14ac:dyDescent="0.15">
      <c r="B803" s="25"/>
      <c r="C803" s="25"/>
      <c r="E803" s="25"/>
      <c r="J803" s="20"/>
      <c r="L803" s="20"/>
      <c r="M803" s="20"/>
    </row>
    <row r="804" spans="2:13" ht="13" x14ac:dyDescent="0.15">
      <c r="B804" s="25"/>
      <c r="C804" s="25"/>
      <c r="E804" s="25"/>
      <c r="J804" s="20"/>
      <c r="L804" s="20"/>
      <c r="M804" s="20"/>
    </row>
    <row r="805" spans="2:13" ht="13" x14ac:dyDescent="0.15">
      <c r="B805" s="25"/>
      <c r="C805" s="25"/>
      <c r="E805" s="25"/>
      <c r="J805" s="20"/>
      <c r="L805" s="20"/>
      <c r="M805" s="20"/>
    </row>
    <row r="806" spans="2:13" ht="13" x14ac:dyDescent="0.15">
      <c r="B806" s="25"/>
      <c r="C806" s="25"/>
      <c r="E806" s="25"/>
      <c r="J806" s="20"/>
      <c r="L806" s="20"/>
      <c r="M806" s="20"/>
    </row>
    <row r="807" spans="2:13" ht="13" x14ac:dyDescent="0.15">
      <c r="B807" s="25"/>
      <c r="C807" s="25"/>
      <c r="E807" s="25"/>
      <c r="J807" s="20"/>
      <c r="L807" s="20"/>
      <c r="M807" s="20"/>
    </row>
    <row r="808" spans="2:13" ht="13" x14ac:dyDescent="0.15">
      <c r="B808" s="25"/>
      <c r="C808" s="25"/>
      <c r="E808" s="25"/>
      <c r="J808" s="20"/>
      <c r="L808" s="20"/>
      <c r="M808" s="20"/>
    </row>
    <row r="809" spans="2:13" ht="13" x14ac:dyDescent="0.15">
      <c r="B809" s="25"/>
      <c r="C809" s="25"/>
      <c r="E809" s="25"/>
      <c r="J809" s="20"/>
      <c r="L809" s="20"/>
      <c r="M809" s="20"/>
    </row>
    <row r="810" spans="2:13" ht="13" x14ac:dyDescent="0.15">
      <c r="B810" s="25"/>
      <c r="C810" s="25"/>
      <c r="E810" s="25"/>
      <c r="J810" s="20"/>
      <c r="L810" s="20"/>
      <c r="M810" s="20"/>
    </row>
    <row r="811" spans="2:13" ht="13" x14ac:dyDescent="0.15">
      <c r="B811" s="25"/>
      <c r="C811" s="25"/>
      <c r="E811" s="25"/>
      <c r="J811" s="20"/>
      <c r="L811" s="20"/>
      <c r="M811" s="20"/>
    </row>
    <row r="812" spans="2:13" ht="13" x14ac:dyDescent="0.15">
      <c r="B812" s="25"/>
      <c r="C812" s="25"/>
      <c r="E812" s="25"/>
      <c r="J812" s="20"/>
      <c r="L812" s="20"/>
      <c r="M812" s="20"/>
    </row>
    <row r="813" spans="2:13" ht="13" x14ac:dyDescent="0.15">
      <c r="B813" s="25"/>
      <c r="C813" s="25"/>
      <c r="E813" s="25"/>
      <c r="J813" s="20"/>
      <c r="L813" s="20"/>
      <c r="M813" s="20"/>
    </row>
    <row r="814" spans="2:13" ht="13" x14ac:dyDescent="0.15">
      <c r="B814" s="25"/>
      <c r="C814" s="25"/>
      <c r="E814" s="25"/>
      <c r="J814" s="20"/>
      <c r="L814" s="20"/>
      <c r="M814" s="20"/>
    </row>
    <row r="815" spans="2:13" ht="13" x14ac:dyDescent="0.15">
      <c r="B815" s="25"/>
      <c r="C815" s="25"/>
      <c r="E815" s="25"/>
      <c r="J815" s="20"/>
      <c r="L815" s="20"/>
      <c r="M815" s="20"/>
    </row>
    <row r="816" spans="2:13" ht="13" x14ac:dyDescent="0.15">
      <c r="B816" s="25"/>
      <c r="C816" s="25"/>
      <c r="E816" s="25"/>
      <c r="J816" s="20"/>
      <c r="L816" s="20"/>
      <c r="M816" s="20"/>
    </row>
    <row r="817" spans="2:13" ht="13" x14ac:dyDescent="0.15">
      <c r="B817" s="25"/>
      <c r="C817" s="25"/>
      <c r="E817" s="25"/>
      <c r="J817" s="20"/>
      <c r="L817" s="20"/>
      <c r="M817" s="20"/>
    </row>
    <row r="818" spans="2:13" ht="13" x14ac:dyDescent="0.15">
      <c r="B818" s="25"/>
      <c r="C818" s="25"/>
      <c r="E818" s="25"/>
      <c r="J818" s="20"/>
      <c r="L818" s="20"/>
      <c r="M818" s="20"/>
    </row>
    <row r="819" spans="2:13" ht="13" x14ac:dyDescent="0.15">
      <c r="B819" s="25"/>
      <c r="C819" s="25"/>
      <c r="E819" s="25"/>
      <c r="J819" s="20"/>
      <c r="L819" s="20"/>
      <c r="M819" s="20"/>
    </row>
    <row r="820" spans="2:13" ht="13" x14ac:dyDescent="0.15">
      <c r="B820" s="25"/>
      <c r="C820" s="25"/>
      <c r="E820" s="25"/>
      <c r="J820" s="20"/>
      <c r="L820" s="20"/>
      <c r="M820" s="20"/>
    </row>
    <row r="821" spans="2:13" ht="13" x14ac:dyDescent="0.15">
      <c r="B821" s="25"/>
      <c r="C821" s="25"/>
      <c r="E821" s="25"/>
      <c r="J821" s="20"/>
      <c r="L821" s="20"/>
      <c r="M821" s="20"/>
    </row>
    <row r="822" spans="2:13" ht="13" x14ac:dyDescent="0.15">
      <c r="B822" s="25"/>
      <c r="C822" s="25"/>
      <c r="E822" s="25"/>
      <c r="J822" s="20"/>
      <c r="L822" s="20"/>
      <c r="M822" s="20"/>
    </row>
    <row r="823" spans="2:13" ht="13" x14ac:dyDescent="0.15">
      <c r="B823" s="25"/>
      <c r="C823" s="25"/>
      <c r="E823" s="25"/>
      <c r="J823" s="20"/>
      <c r="L823" s="20"/>
      <c r="M823" s="20"/>
    </row>
    <row r="824" spans="2:13" ht="13" x14ac:dyDescent="0.15">
      <c r="B824" s="25"/>
      <c r="C824" s="25"/>
      <c r="E824" s="25"/>
      <c r="J824" s="20"/>
      <c r="L824" s="20"/>
      <c r="M824" s="20"/>
    </row>
    <row r="825" spans="2:13" ht="13" x14ac:dyDescent="0.15">
      <c r="B825" s="25"/>
      <c r="C825" s="25"/>
      <c r="E825" s="25"/>
      <c r="J825" s="20"/>
      <c r="L825" s="20"/>
      <c r="M825" s="20"/>
    </row>
    <row r="826" spans="2:13" ht="13" x14ac:dyDescent="0.15">
      <c r="B826" s="25"/>
      <c r="C826" s="25"/>
      <c r="E826" s="25"/>
      <c r="J826" s="20"/>
      <c r="L826" s="20"/>
      <c r="M826" s="20"/>
    </row>
    <row r="827" spans="2:13" ht="13" x14ac:dyDescent="0.15">
      <c r="B827" s="25"/>
      <c r="C827" s="25"/>
      <c r="E827" s="25"/>
      <c r="J827" s="20"/>
      <c r="L827" s="20"/>
      <c r="M827" s="20"/>
    </row>
    <row r="828" spans="2:13" ht="13" x14ac:dyDescent="0.15">
      <c r="B828" s="25"/>
      <c r="C828" s="25"/>
      <c r="E828" s="25"/>
      <c r="J828" s="20"/>
      <c r="L828" s="20"/>
      <c r="M828" s="20"/>
    </row>
    <row r="829" spans="2:13" ht="13" x14ac:dyDescent="0.15">
      <c r="B829" s="25"/>
      <c r="C829" s="25"/>
      <c r="E829" s="25"/>
      <c r="J829" s="20"/>
      <c r="L829" s="20"/>
      <c r="M829" s="20"/>
    </row>
    <row r="830" spans="2:13" ht="13" x14ac:dyDescent="0.15">
      <c r="B830" s="25"/>
      <c r="C830" s="25"/>
      <c r="E830" s="25"/>
      <c r="J830" s="20"/>
      <c r="L830" s="20"/>
      <c r="M830" s="20"/>
    </row>
    <row r="831" spans="2:13" ht="13" x14ac:dyDescent="0.15">
      <c r="B831" s="25"/>
      <c r="C831" s="25"/>
      <c r="E831" s="25"/>
      <c r="J831" s="20"/>
      <c r="L831" s="20"/>
      <c r="M831" s="20"/>
    </row>
    <row r="832" spans="2:13" ht="13" x14ac:dyDescent="0.15">
      <c r="B832" s="25"/>
      <c r="C832" s="25"/>
      <c r="E832" s="25"/>
      <c r="J832" s="20"/>
      <c r="L832" s="20"/>
      <c r="M832" s="20"/>
    </row>
    <row r="833" spans="2:13" ht="13" x14ac:dyDescent="0.15">
      <c r="B833" s="25"/>
      <c r="C833" s="25"/>
      <c r="E833" s="25"/>
      <c r="J833" s="20"/>
      <c r="L833" s="20"/>
      <c r="M833" s="20"/>
    </row>
    <row r="834" spans="2:13" ht="13" x14ac:dyDescent="0.15">
      <c r="B834" s="25"/>
      <c r="C834" s="25"/>
      <c r="E834" s="25"/>
      <c r="J834" s="20"/>
      <c r="L834" s="20"/>
      <c r="M834" s="20"/>
    </row>
    <row r="835" spans="2:13" ht="13" x14ac:dyDescent="0.15">
      <c r="B835" s="25"/>
      <c r="C835" s="25"/>
      <c r="E835" s="25"/>
      <c r="J835" s="20"/>
      <c r="L835" s="20"/>
      <c r="M835" s="20"/>
    </row>
    <row r="836" spans="2:13" ht="13" x14ac:dyDescent="0.15">
      <c r="B836" s="25"/>
      <c r="C836" s="25"/>
      <c r="E836" s="25"/>
      <c r="J836" s="20"/>
      <c r="L836" s="20"/>
      <c r="M836" s="20"/>
    </row>
    <row r="837" spans="2:13" ht="13" x14ac:dyDescent="0.15">
      <c r="B837" s="25"/>
      <c r="C837" s="25"/>
      <c r="E837" s="25"/>
      <c r="J837" s="20"/>
      <c r="L837" s="20"/>
      <c r="M837" s="20"/>
    </row>
    <row r="838" spans="2:13" ht="13" x14ac:dyDescent="0.15">
      <c r="B838" s="25"/>
      <c r="C838" s="25"/>
      <c r="E838" s="25"/>
      <c r="J838" s="20"/>
      <c r="L838" s="20"/>
      <c r="M838" s="20"/>
    </row>
    <row r="839" spans="2:13" ht="13" x14ac:dyDescent="0.15">
      <c r="B839" s="25"/>
      <c r="C839" s="25"/>
      <c r="E839" s="25"/>
      <c r="J839" s="20"/>
      <c r="L839" s="20"/>
      <c r="M839" s="20"/>
    </row>
    <row r="840" spans="2:13" ht="13" x14ac:dyDescent="0.15">
      <c r="B840" s="25"/>
      <c r="C840" s="25"/>
      <c r="E840" s="25"/>
      <c r="J840" s="20"/>
      <c r="L840" s="20"/>
      <c r="M840" s="20"/>
    </row>
    <row r="841" spans="2:13" ht="13" x14ac:dyDescent="0.15">
      <c r="B841" s="25"/>
      <c r="C841" s="25"/>
      <c r="E841" s="25"/>
      <c r="J841" s="20"/>
      <c r="L841" s="20"/>
      <c r="M841" s="20"/>
    </row>
    <row r="842" spans="2:13" ht="13" x14ac:dyDescent="0.15">
      <c r="B842" s="25"/>
      <c r="C842" s="25"/>
      <c r="E842" s="25"/>
      <c r="J842" s="20"/>
      <c r="L842" s="20"/>
      <c r="M842" s="20"/>
    </row>
    <row r="843" spans="2:13" ht="13" x14ac:dyDescent="0.15">
      <c r="B843" s="25"/>
      <c r="C843" s="25"/>
      <c r="E843" s="25"/>
      <c r="J843" s="20"/>
      <c r="L843" s="20"/>
      <c r="M843" s="20"/>
    </row>
    <row r="844" spans="2:13" ht="13" x14ac:dyDescent="0.15">
      <c r="B844" s="25"/>
      <c r="C844" s="25"/>
      <c r="E844" s="25"/>
      <c r="J844" s="20"/>
      <c r="L844" s="20"/>
      <c r="M844" s="20"/>
    </row>
    <row r="845" spans="2:13" ht="13" x14ac:dyDescent="0.15">
      <c r="B845" s="25"/>
      <c r="C845" s="25"/>
      <c r="E845" s="25"/>
      <c r="J845" s="20"/>
      <c r="L845" s="20"/>
      <c r="M845" s="20"/>
    </row>
    <row r="846" spans="2:13" ht="13" x14ac:dyDescent="0.15">
      <c r="B846" s="25"/>
      <c r="C846" s="25"/>
      <c r="E846" s="25"/>
      <c r="J846" s="20"/>
      <c r="L846" s="20"/>
      <c r="M846" s="20"/>
    </row>
    <row r="847" spans="2:13" ht="13" x14ac:dyDescent="0.15">
      <c r="B847" s="25"/>
      <c r="C847" s="25"/>
      <c r="E847" s="25"/>
      <c r="J847" s="20"/>
      <c r="L847" s="20"/>
      <c r="M847" s="20"/>
    </row>
    <row r="848" spans="2:13" ht="13" x14ac:dyDescent="0.15">
      <c r="B848" s="25"/>
      <c r="C848" s="25"/>
      <c r="E848" s="25"/>
      <c r="J848" s="20"/>
      <c r="L848" s="20"/>
      <c r="M848" s="20"/>
    </row>
    <row r="849" spans="2:13" ht="13" x14ac:dyDescent="0.15">
      <c r="B849" s="25"/>
      <c r="C849" s="25"/>
      <c r="E849" s="25"/>
      <c r="J849" s="20"/>
      <c r="L849" s="20"/>
      <c r="M849" s="20"/>
    </row>
    <row r="850" spans="2:13" ht="13" x14ac:dyDescent="0.15">
      <c r="B850" s="25"/>
      <c r="C850" s="25"/>
      <c r="E850" s="25"/>
      <c r="J850" s="20"/>
      <c r="L850" s="20"/>
      <c r="M850" s="20"/>
    </row>
    <row r="851" spans="2:13" ht="13" x14ac:dyDescent="0.15">
      <c r="B851" s="25"/>
      <c r="C851" s="25"/>
      <c r="E851" s="25"/>
      <c r="J851" s="20"/>
      <c r="L851" s="20"/>
      <c r="M851" s="20"/>
    </row>
    <row r="852" spans="2:13" ht="13" x14ac:dyDescent="0.15">
      <c r="B852" s="25"/>
      <c r="C852" s="25"/>
      <c r="E852" s="25"/>
      <c r="J852" s="20"/>
      <c r="L852" s="20"/>
      <c r="M852" s="20"/>
    </row>
    <row r="853" spans="2:13" ht="13" x14ac:dyDescent="0.15">
      <c r="B853" s="25"/>
      <c r="C853" s="25"/>
      <c r="E853" s="25"/>
      <c r="J853" s="20"/>
      <c r="L853" s="20"/>
      <c r="M853" s="20"/>
    </row>
    <row r="854" spans="2:13" ht="13" x14ac:dyDescent="0.15">
      <c r="B854" s="25"/>
      <c r="C854" s="25"/>
      <c r="E854" s="25"/>
      <c r="J854" s="20"/>
      <c r="L854" s="20"/>
      <c r="M854" s="20"/>
    </row>
    <row r="855" spans="2:13" ht="13" x14ac:dyDescent="0.15">
      <c r="B855" s="25"/>
      <c r="C855" s="25"/>
      <c r="E855" s="25"/>
      <c r="J855" s="20"/>
      <c r="L855" s="20"/>
      <c r="M855" s="20"/>
    </row>
    <row r="856" spans="2:13" ht="13" x14ac:dyDescent="0.15">
      <c r="B856" s="25"/>
      <c r="C856" s="25"/>
      <c r="E856" s="25"/>
      <c r="J856" s="20"/>
      <c r="L856" s="20"/>
      <c r="M856" s="20"/>
    </row>
    <row r="857" spans="2:13" ht="13" x14ac:dyDescent="0.15">
      <c r="B857" s="25"/>
      <c r="C857" s="25"/>
      <c r="E857" s="25"/>
      <c r="J857" s="20"/>
      <c r="L857" s="20"/>
      <c r="M857" s="20"/>
    </row>
    <row r="858" spans="2:13" ht="13" x14ac:dyDescent="0.15">
      <c r="B858" s="25"/>
      <c r="C858" s="25"/>
      <c r="E858" s="25"/>
      <c r="J858" s="20"/>
      <c r="L858" s="20"/>
      <c r="M858" s="20"/>
    </row>
    <row r="859" spans="2:13" ht="13" x14ac:dyDescent="0.15">
      <c r="B859" s="25"/>
      <c r="C859" s="25"/>
      <c r="E859" s="25"/>
      <c r="J859" s="20"/>
      <c r="L859" s="20"/>
      <c r="M859" s="20"/>
    </row>
    <row r="860" spans="2:13" ht="13" x14ac:dyDescent="0.15">
      <c r="B860" s="25"/>
      <c r="C860" s="25"/>
      <c r="E860" s="25"/>
      <c r="J860" s="20"/>
      <c r="L860" s="20"/>
      <c r="M860" s="20"/>
    </row>
    <row r="861" spans="2:13" ht="13" x14ac:dyDescent="0.15">
      <c r="B861" s="25"/>
      <c r="C861" s="25"/>
      <c r="E861" s="25"/>
      <c r="J861" s="20"/>
      <c r="L861" s="20"/>
      <c r="M861" s="20"/>
    </row>
    <row r="862" spans="2:13" ht="13" x14ac:dyDescent="0.15">
      <c r="B862" s="25"/>
      <c r="C862" s="25"/>
      <c r="E862" s="25"/>
      <c r="J862" s="20"/>
      <c r="L862" s="20"/>
      <c r="M862" s="20"/>
    </row>
    <row r="863" spans="2:13" ht="13" x14ac:dyDescent="0.15">
      <c r="B863" s="25"/>
      <c r="C863" s="25"/>
      <c r="E863" s="25"/>
      <c r="J863" s="20"/>
      <c r="L863" s="20"/>
      <c r="M863" s="20"/>
    </row>
    <row r="864" spans="2:13" ht="13" x14ac:dyDescent="0.15">
      <c r="B864" s="25"/>
      <c r="C864" s="25"/>
      <c r="E864" s="25"/>
      <c r="J864" s="20"/>
      <c r="L864" s="20"/>
      <c r="M864" s="20"/>
    </row>
    <row r="865" spans="2:13" ht="13" x14ac:dyDescent="0.15">
      <c r="B865" s="25"/>
      <c r="C865" s="25"/>
      <c r="E865" s="25"/>
      <c r="J865" s="20"/>
      <c r="L865" s="20"/>
      <c r="M865" s="20"/>
    </row>
    <row r="866" spans="2:13" ht="13" x14ac:dyDescent="0.15">
      <c r="B866" s="25"/>
      <c r="C866" s="25"/>
      <c r="E866" s="25"/>
      <c r="J866" s="20"/>
      <c r="L866" s="20"/>
      <c r="M866" s="20"/>
    </row>
    <row r="867" spans="2:13" ht="13" x14ac:dyDescent="0.15">
      <c r="B867" s="25"/>
      <c r="C867" s="25"/>
      <c r="E867" s="25"/>
      <c r="J867" s="20"/>
      <c r="L867" s="20"/>
      <c r="M867" s="20"/>
    </row>
    <row r="868" spans="2:13" ht="13" x14ac:dyDescent="0.15">
      <c r="B868" s="25"/>
      <c r="C868" s="25"/>
      <c r="E868" s="25"/>
      <c r="J868" s="20"/>
      <c r="L868" s="20"/>
      <c r="M868" s="20"/>
    </row>
    <row r="869" spans="2:13" ht="13" x14ac:dyDescent="0.15">
      <c r="B869" s="25"/>
      <c r="C869" s="25"/>
      <c r="E869" s="25"/>
      <c r="J869" s="20"/>
      <c r="L869" s="20"/>
      <c r="M869" s="20"/>
    </row>
    <row r="870" spans="2:13" ht="13" x14ac:dyDescent="0.15">
      <c r="B870" s="25"/>
      <c r="C870" s="25"/>
      <c r="E870" s="25"/>
      <c r="J870" s="20"/>
      <c r="L870" s="20"/>
      <c r="M870" s="20"/>
    </row>
    <row r="871" spans="2:13" ht="13" x14ac:dyDescent="0.15">
      <c r="B871" s="25"/>
      <c r="C871" s="25"/>
      <c r="E871" s="25"/>
      <c r="J871" s="20"/>
      <c r="L871" s="20"/>
      <c r="M871" s="20"/>
    </row>
    <row r="872" spans="2:13" ht="13" x14ac:dyDescent="0.15">
      <c r="B872" s="25"/>
      <c r="C872" s="25"/>
      <c r="E872" s="25"/>
      <c r="J872" s="20"/>
      <c r="L872" s="20"/>
      <c r="M872" s="20"/>
    </row>
    <row r="873" spans="2:13" ht="13" x14ac:dyDescent="0.15">
      <c r="B873" s="25"/>
      <c r="C873" s="25"/>
      <c r="E873" s="25"/>
      <c r="J873" s="20"/>
      <c r="L873" s="20"/>
      <c r="M873" s="20"/>
    </row>
    <row r="874" spans="2:13" ht="13" x14ac:dyDescent="0.15">
      <c r="B874" s="25"/>
      <c r="C874" s="25"/>
      <c r="E874" s="25"/>
      <c r="J874" s="20"/>
      <c r="L874" s="20"/>
      <c r="M874" s="20"/>
    </row>
    <row r="875" spans="2:13" ht="13" x14ac:dyDescent="0.15">
      <c r="B875" s="25"/>
      <c r="C875" s="25"/>
      <c r="E875" s="25"/>
      <c r="J875" s="20"/>
      <c r="L875" s="20"/>
      <c r="M875" s="20"/>
    </row>
    <row r="876" spans="2:13" ht="13" x14ac:dyDescent="0.15">
      <c r="B876" s="25"/>
      <c r="C876" s="25"/>
      <c r="E876" s="25"/>
      <c r="J876" s="20"/>
      <c r="L876" s="20"/>
      <c r="M876" s="20"/>
    </row>
    <row r="877" spans="2:13" ht="13" x14ac:dyDescent="0.15">
      <c r="B877" s="25"/>
      <c r="C877" s="25"/>
      <c r="E877" s="25"/>
      <c r="J877" s="20"/>
      <c r="L877" s="20"/>
      <c r="M877" s="20"/>
    </row>
    <row r="878" spans="2:13" ht="13" x14ac:dyDescent="0.15">
      <c r="B878" s="25"/>
      <c r="C878" s="25"/>
      <c r="E878" s="25"/>
      <c r="J878" s="20"/>
      <c r="L878" s="20"/>
      <c r="M878" s="20"/>
    </row>
    <row r="879" spans="2:13" ht="13" x14ac:dyDescent="0.15">
      <c r="B879" s="25"/>
      <c r="C879" s="25"/>
      <c r="E879" s="25"/>
      <c r="J879" s="20"/>
      <c r="L879" s="20"/>
      <c r="M879" s="20"/>
    </row>
    <row r="880" spans="2:13" ht="13" x14ac:dyDescent="0.15">
      <c r="B880" s="25"/>
      <c r="C880" s="25"/>
      <c r="E880" s="25"/>
      <c r="J880" s="20"/>
      <c r="L880" s="20"/>
      <c r="M880" s="20"/>
    </row>
    <row r="881" spans="2:13" ht="13" x14ac:dyDescent="0.15">
      <c r="B881" s="25"/>
      <c r="C881" s="25"/>
      <c r="E881" s="25"/>
      <c r="J881" s="20"/>
      <c r="L881" s="20"/>
      <c r="M881" s="20"/>
    </row>
    <row r="882" spans="2:13" ht="13" x14ac:dyDescent="0.15">
      <c r="B882" s="25"/>
      <c r="C882" s="25"/>
      <c r="E882" s="25"/>
      <c r="J882" s="20"/>
      <c r="L882" s="20"/>
      <c r="M882" s="20"/>
    </row>
    <row r="883" spans="2:13" ht="13" x14ac:dyDescent="0.15">
      <c r="B883" s="25"/>
      <c r="C883" s="25"/>
      <c r="E883" s="25"/>
      <c r="J883" s="20"/>
      <c r="L883" s="20"/>
      <c r="M883" s="20"/>
    </row>
    <row r="884" spans="2:13" ht="13" x14ac:dyDescent="0.15">
      <c r="B884" s="25"/>
      <c r="C884" s="25"/>
      <c r="E884" s="25"/>
      <c r="J884" s="20"/>
      <c r="L884" s="20"/>
      <c r="M884" s="20"/>
    </row>
    <row r="885" spans="2:13" ht="13" x14ac:dyDescent="0.15">
      <c r="B885" s="25"/>
      <c r="C885" s="25"/>
      <c r="E885" s="25"/>
      <c r="J885" s="20"/>
      <c r="L885" s="20"/>
      <c r="M885" s="20"/>
    </row>
    <row r="886" spans="2:13" ht="13" x14ac:dyDescent="0.15">
      <c r="B886" s="25"/>
      <c r="C886" s="25"/>
      <c r="E886" s="25"/>
      <c r="J886" s="20"/>
      <c r="L886" s="20"/>
      <c r="M886" s="20"/>
    </row>
    <row r="887" spans="2:13" ht="13" x14ac:dyDescent="0.15">
      <c r="B887" s="25"/>
      <c r="C887" s="25"/>
      <c r="E887" s="25"/>
      <c r="J887" s="20"/>
      <c r="L887" s="20"/>
      <c r="M887" s="20"/>
    </row>
    <row r="888" spans="2:13" ht="13" x14ac:dyDescent="0.15">
      <c r="B888" s="25"/>
      <c r="C888" s="25"/>
      <c r="E888" s="25"/>
      <c r="J888" s="20"/>
      <c r="L888" s="20"/>
      <c r="M888" s="20"/>
    </row>
    <row r="889" spans="2:13" ht="13" x14ac:dyDescent="0.15">
      <c r="B889" s="25"/>
      <c r="C889" s="25"/>
      <c r="E889" s="25"/>
      <c r="J889" s="20"/>
      <c r="L889" s="20"/>
      <c r="M889" s="20"/>
    </row>
    <row r="890" spans="2:13" ht="13" x14ac:dyDescent="0.15">
      <c r="B890" s="25"/>
      <c r="C890" s="25"/>
      <c r="E890" s="25"/>
      <c r="J890" s="20"/>
      <c r="L890" s="20"/>
      <c r="M890" s="20"/>
    </row>
    <row r="891" spans="2:13" ht="13" x14ac:dyDescent="0.15">
      <c r="B891" s="25"/>
      <c r="C891" s="25"/>
      <c r="E891" s="25"/>
      <c r="J891" s="20"/>
      <c r="L891" s="20"/>
      <c r="M891" s="20"/>
    </row>
    <row r="892" spans="2:13" ht="13" x14ac:dyDescent="0.15">
      <c r="B892" s="25"/>
      <c r="C892" s="25"/>
      <c r="E892" s="25"/>
      <c r="J892" s="20"/>
      <c r="L892" s="20"/>
      <c r="M892" s="20"/>
    </row>
    <row r="893" spans="2:13" ht="13" x14ac:dyDescent="0.15">
      <c r="B893" s="25"/>
      <c r="C893" s="25"/>
      <c r="E893" s="25"/>
      <c r="J893" s="20"/>
      <c r="L893" s="20"/>
      <c r="M893" s="20"/>
    </row>
    <row r="894" spans="2:13" ht="13" x14ac:dyDescent="0.15">
      <c r="B894" s="25"/>
      <c r="C894" s="25"/>
      <c r="E894" s="25"/>
      <c r="J894" s="20"/>
      <c r="L894" s="20"/>
      <c r="M894" s="20"/>
    </row>
    <row r="895" spans="2:13" ht="13" x14ac:dyDescent="0.15">
      <c r="B895" s="25"/>
      <c r="C895" s="25"/>
      <c r="E895" s="25"/>
      <c r="J895" s="20"/>
      <c r="L895" s="20"/>
      <c r="M895" s="20"/>
    </row>
    <row r="896" spans="2:13" ht="13" x14ac:dyDescent="0.15">
      <c r="B896" s="25"/>
      <c r="C896" s="25"/>
      <c r="E896" s="25"/>
      <c r="J896" s="20"/>
      <c r="L896" s="20"/>
      <c r="M896" s="20"/>
    </row>
    <row r="897" spans="2:13" ht="13" x14ac:dyDescent="0.15">
      <c r="B897" s="25"/>
      <c r="C897" s="25"/>
      <c r="E897" s="25"/>
      <c r="J897" s="20"/>
      <c r="L897" s="20"/>
      <c r="M897" s="20"/>
    </row>
    <row r="898" spans="2:13" ht="13" x14ac:dyDescent="0.15">
      <c r="B898" s="25"/>
      <c r="C898" s="25"/>
      <c r="E898" s="25"/>
      <c r="J898" s="20"/>
      <c r="L898" s="20"/>
      <c r="M898" s="20"/>
    </row>
    <row r="899" spans="2:13" ht="13" x14ac:dyDescent="0.15">
      <c r="B899" s="25"/>
      <c r="C899" s="25"/>
      <c r="E899" s="25"/>
      <c r="J899" s="20"/>
      <c r="L899" s="20"/>
      <c r="M899" s="20"/>
    </row>
    <row r="900" spans="2:13" ht="13" x14ac:dyDescent="0.15">
      <c r="B900" s="25"/>
      <c r="C900" s="25"/>
      <c r="E900" s="25"/>
      <c r="J900" s="20"/>
      <c r="L900" s="20"/>
      <c r="M900" s="20"/>
    </row>
    <row r="901" spans="2:13" ht="13" x14ac:dyDescent="0.15">
      <c r="B901" s="25"/>
      <c r="C901" s="25"/>
      <c r="E901" s="25"/>
      <c r="J901" s="20"/>
      <c r="L901" s="20"/>
      <c r="M901" s="20"/>
    </row>
    <row r="902" spans="2:13" ht="13" x14ac:dyDescent="0.15">
      <c r="B902" s="25"/>
      <c r="C902" s="25"/>
      <c r="E902" s="25"/>
      <c r="J902" s="20"/>
      <c r="L902" s="20"/>
      <c r="M902" s="20"/>
    </row>
    <row r="903" spans="2:13" ht="13" x14ac:dyDescent="0.15">
      <c r="B903" s="25"/>
      <c r="C903" s="25"/>
      <c r="E903" s="25"/>
      <c r="J903" s="20"/>
      <c r="L903" s="20"/>
      <c r="M903" s="20"/>
    </row>
    <row r="904" spans="2:13" ht="13" x14ac:dyDescent="0.15">
      <c r="B904" s="25"/>
      <c r="C904" s="25"/>
      <c r="E904" s="25"/>
      <c r="J904" s="20"/>
      <c r="L904" s="20"/>
      <c r="M904" s="20"/>
    </row>
    <row r="905" spans="2:13" ht="13" x14ac:dyDescent="0.15">
      <c r="B905" s="25"/>
      <c r="C905" s="25"/>
      <c r="E905" s="25"/>
      <c r="J905" s="20"/>
      <c r="L905" s="20"/>
      <c r="M905" s="20"/>
    </row>
    <row r="906" spans="2:13" ht="13" x14ac:dyDescent="0.15">
      <c r="B906" s="25"/>
      <c r="C906" s="25"/>
      <c r="E906" s="25"/>
      <c r="J906" s="20"/>
      <c r="L906" s="20"/>
      <c r="M906" s="20"/>
    </row>
    <row r="907" spans="2:13" ht="13" x14ac:dyDescent="0.15">
      <c r="B907" s="25"/>
      <c r="C907" s="25"/>
      <c r="E907" s="25"/>
      <c r="J907" s="20"/>
      <c r="L907" s="20"/>
      <c r="M907" s="20"/>
    </row>
    <row r="908" spans="2:13" ht="13" x14ac:dyDescent="0.15">
      <c r="B908" s="25"/>
      <c r="C908" s="25"/>
      <c r="E908" s="25"/>
      <c r="J908" s="20"/>
      <c r="L908" s="20"/>
      <c r="M908" s="20"/>
    </row>
    <row r="909" spans="2:13" ht="13" x14ac:dyDescent="0.15">
      <c r="B909" s="25"/>
      <c r="C909" s="25"/>
      <c r="E909" s="25"/>
      <c r="J909" s="20"/>
      <c r="L909" s="20"/>
      <c r="M909" s="20"/>
    </row>
    <row r="910" spans="2:13" ht="13" x14ac:dyDescent="0.15">
      <c r="B910" s="25"/>
      <c r="C910" s="25"/>
      <c r="E910" s="25"/>
      <c r="J910" s="20"/>
      <c r="L910" s="20"/>
      <c r="M910" s="20"/>
    </row>
    <row r="911" spans="2:13" ht="13" x14ac:dyDescent="0.15">
      <c r="B911" s="25"/>
      <c r="C911" s="25"/>
      <c r="E911" s="25"/>
      <c r="J911" s="20"/>
      <c r="L911" s="20"/>
      <c r="M911" s="20"/>
    </row>
    <row r="912" spans="2:13" ht="13" x14ac:dyDescent="0.15">
      <c r="B912" s="25"/>
      <c r="C912" s="25"/>
      <c r="E912" s="25"/>
      <c r="J912" s="20"/>
      <c r="L912" s="20"/>
      <c r="M912" s="20"/>
    </row>
    <row r="913" spans="2:13" ht="13" x14ac:dyDescent="0.15">
      <c r="B913" s="25"/>
      <c r="C913" s="25"/>
      <c r="E913" s="25"/>
      <c r="J913" s="20"/>
      <c r="L913" s="20"/>
      <c r="M913" s="20"/>
    </row>
    <row r="914" spans="2:13" ht="13" x14ac:dyDescent="0.15">
      <c r="B914" s="25"/>
      <c r="C914" s="25"/>
      <c r="E914" s="25"/>
      <c r="J914" s="20"/>
      <c r="L914" s="20"/>
      <c r="M914" s="20"/>
    </row>
    <row r="915" spans="2:13" ht="13" x14ac:dyDescent="0.15">
      <c r="B915" s="25"/>
      <c r="C915" s="25"/>
      <c r="E915" s="25"/>
      <c r="J915" s="20"/>
      <c r="L915" s="20"/>
      <c r="M915" s="20"/>
    </row>
    <row r="916" spans="2:13" ht="13" x14ac:dyDescent="0.15">
      <c r="B916" s="25"/>
      <c r="C916" s="25"/>
      <c r="E916" s="25"/>
      <c r="J916" s="20"/>
      <c r="L916" s="20"/>
      <c r="M916" s="20"/>
    </row>
    <row r="917" spans="2:13" ht="13" x14ac:dyDescent="0.15">
      <c r="B917" s="25"/>
      <c r="C917" s="25"/>
      <c r="E917" s="25"/>
      <c r="J917" s="20"/>
      <c r="L917" s="20"/>
      <c r="M917" s="20"/>
    </row>
    <row r="918" spans="2:13" ht="13" x14ac:dyDescent="0.15">
      <c r="B918" s="25"/>
      <c r="C918" s="25"/>
      <c r="E918" s="25"/>
      <c r="J918" s="20"/>
      <c r="L918" s="20"/>
      <c r="M918" s="20"/>
    </row>
    <row r="919" spans="2:13" ht="13" x14ac:dyDescent="0.15">
      <c r="B919" s="25"/>
      <c r="C919" s="25"/>
      <c r="E919" s="25"/>
      <c r="J919" s="20"/>
      <c r="L919" s="20"/>
      <c r="M919" s="20"/>
    </row>
    <row r="920" spans="2:13" ht="13" x14ac:dyDescent="0.15">
      <c r="B920" s="25"/>
      <c r="C920" s="25"/>
      <c r="E920" s="25"/>
      <c r="J920" s="20"/>
      <c r="L920" s="20"/>
      <c r="M920" s="20"/>
    </row>
    <row r="921" spans="2:13" ht="13" x14ac:dyDescent="0.15">
      <c r="B921" s="25"/>
      <c r="C921" s="25"/>
      <c r="E921" s="25"/>
      <c r="J921" s="20"/>
      <c r="L921" s="20"/>
      <c r="M921" s="20"/>
    </row>
    <row r="922" spans="2:13" ht="13" x14ac:dyDescent="0.15">
      <c r="B922" s="25"/>
      <c r="C922" s="25"/>
      <c r="E922" s="25"/>
      <c r="J922" s="20"/>
      <c r="L922" s="20"/>
      <c r="M922" s="20"/>
    </row>
    <row r="923" spans="2:13" ht="13" x14ac:dyDescent="0.15">
      <c r="B923" s="25"/>
      <c r="C923" s="25"/>
      <c r="E923" s="25"/>
      <c r="J923" s="20"/>
      <c r="L923" s="20"/>
      <c r="M923" s="20"/>
    </row>
    <row r="924" spans="2:13" ht="13" x14ac:dyDescent="0.15">
      <c r="B924" s="25"/>
      <c r="C924" s="25"/>
      <c r="E924" s="25"/>
      <c r="J924" s="20"/>
      <c r="L924" s="20"/>
      <c r="M924" s="20"/>
    </row>
    <row r="925" spans="2:13" ht="13" x14ac:dyDescent="0.15">
      <c r="B925" s="25"/>
      <c r="C925" s="25"/>
      <c r="E925" s="25"/>
      <c r="J925" s="20"/>
      <c r="L925" s="20"/>
      <c r="M925" s="20"/>
    </row>
    <row r="926" spans="2:13" ht="13" x14ac:dyDescent="0.15">
      <c r="B926" s="25"/>
      <c r="C926" s="25"/>
      <c r="E926" s="25"/>
      <c r="J926" s="20"/>
      <c r="L926" s="20"/>
      <c r="M926" s="20"/>
    </row>
    <row r="927" spans="2:13" ht="13" x14ac:dyDescent="0.15">
      <c r="B927" s="25"/>
      <c r="C927" s="25"/>
      <c r="E927" s="25"/>
      <c r="J927" s="20"/>
      <c r="L927" s="20"/>
      <c r="M927" s="20"/>
    </row>
    <row r="928" spans="2:13" ht="13" x14ac:dyDescent="0.15">
      <c r="B928" s="25"/>
      <c r="C928" s="25"/>
      <c r="E928" s="25"/>
      <c r="J928" s="20"/>
      <c r="L928" s="20"/>
      <c r="M928" s="20"/>
    </row>
    <row r="929" spans="2:13" ht="13" x14ac:dyDescent="0.15">
      <c r="B929" s="25"/>
      <c r="C929" s="25"/>
      <c r="E929" s="25"/>
      <c r="J929" s="20"/>
      <c r="L929" s="20"/>
      <c r="M929" s="20"/>
    </row>
    <row r="930" spans="2:13" ht="13" x14ac:dyDescent="0.15">
      <c r="B930" s="25"/>
      <c r="C930" s="25"/>
      <c r="E930" s="25"/>
      <c r="J930" s="20"/>
      <c r="L930" s="20"/>
      <c r="M930" s="20"/>
    </row>
    <row r="931" spans="2:13" ht="13" x14ac:dyDescent="0.15">
      <c r="B931" s="25"/>
      <c r="C931" s="25"/>
      <c r="E931" s="25"/>
      <c r="J931" s="20"/>
      <c r="L931" s="20"/>
      <c r="M931" s="20"/>
    </row>
    <row r="932" spans="2:13" ht="13" x14ac:dyDescent="0.15">
      <c r="B932" s="25"/>
      <c r="C932" s="25"/>
      <c r="E932" s="25"/>
      <c r="J932" s="20"/>
      <c r="L932" s="20"/>
      <c r="M932" s="20"/>
    </row>
    <row r="933" spans="2:13" ht="13" x14ac:dyDescent="0.15">
      <c r="B933" s="25"/>
      <c r="C933" s="25"/>
      <c r="E933" s="25"/>
      <c r="J933" s="20"/>
      <c r="L933" s="20"/>
      <c r="M933" s="20"/>
    </row>
    <row r="934" spans="2:13" ht="13" x14ac:dyDescent="0.15">
      <c r="B934" s="25"/>
      <c r="C934" s="25"/>
      <c r="E934" s="25"/>
      <c r="J934" s="20"/>
      <c r="L934" s="20"/>
      <c r="M934" s="20"/>
    </row>
    <row r="935" spans="2:13" ht="13" x14ac:dyDescent="0.15">
      <c r="B935" s="25"/>
      <c r="C935" s="25"/>
      <c r="E935" s="25"/>
      <c r="J935" s="20"/>
      <c r="L935" s="20"/>
      <c r="M935" s="20"/>
    </row>
    <row r="936" spans="2:13" ht="13" x14ac:dyDescent="0.15">
      <c r="B936" s="25"/>
      <c r="C936" s="25"/>
      <c r="E936" s="25"/>
      <c r="J936" s="20"/>
      <c r="L936" s="20"/>
      <c r="M936" s="20"/>
    </row>
    <row r="937" spans="2:13" ht="13" x14ac:dyDescent="0.15">
      <c r="B937" s="25"/>
      <c r="C937" s="25"/>
      <c r="E937" s="25"/>
      <c r="J937" s="20"/>
      <c r="L937" s="20"/>
      <c r="M937" s="20"/>
    </row>
    <row r="938" spans="2:13" ht="13" x14ac:dyDescent="0.15">
      <c r="B938" s="25"/>
      <c r="C938" s="25"/>
      <c r="E938" s="25"/>
      <c r="J938" s="20"/>
      <c r="L938" s="20"/>
      <c r="M938" s="20"/>
    </row>
    <row r="939" spans="2:13" ht="13" x14ac:dyDescent="0.15">
      <c r="B939" s="25"/>
      <c r="C939" s="25"/>
      <c r="E939" s="25"/>
      <c r="J939" s="20"/>
      <c r="L939" s="20"/>
      <c r="M939" s="20"/>
    </row>
    <row r="940" spans="2:13" ht="13" x14ac:dyDescent="0.15">
      <c r="B940" s="25"/>
      <c r="C940" s="25"/>
      <c r="E940" s="25"/>
      <c r="J940" s="20"/>
      <c r="L940" s="20"/>
      <c r="M940" s="20"/>
    </row>
    <row r="941" spans="2:13" ht="13" x14ac:dyDescent="0.15">
      <c r="B941" s="25"/>
      <c r="C941" s="25"/>
      <c r="E941" s="25"/>
      <c r="J941" s="20"/>
      <c r="L941" s="20"/>
      <c r="M941" s="20"/>
    </row>
    <row r="942" spans="2:13" ht="13" x14ac:dyDescent="0.15">
      <c r="B942" s="25"/>
      <c r="C942" s="25"/>
      <c r="E942" s="25"/>
      <c r="J942" s="20"/>
      <c r="L942" s="20"/>
      <c r="M942" s="20"/>
    </row>
    <row r="943" spans="2:13" ht="13" x14ac:dyDescent="0.15">
      <c r="B943" s="25"/>
      <c r="C943" s="25"/>
      <c r="E943" s="25"/>
      <c r="J943" s="20"/>
      <c r="L943" s="20"/>
      <c r="M943" s="20"/>
    </row>
    <row r="944" spans="2:13" ht="13" x14ac:dyDescent="0.15">
      <c r="B944" s="25"/>
      <c r="C944" s="25"/>
      <c r="E944" s="25"/>
      <c r="J944" s="20"/>
      <c r="L944" s="20"/>
      <c r="M944" s="20"/>
    </row>
    <row r="945" spans="2:13" ht="13" x14ac:dyDescent="0.15">
      <c r="B945" s="25"/>
      <c r="C945" s="25"/>
      <c r="E945" s="25"/>
      <c r="J945" s="20"/>
      <c r="L945" s="20"/>
      <c r="M945" s="20"/>
    </row>
    <row r="946" spans="2:13" ht="13" x14ac:dyDescent="0.15">
      <c r="B946" s="25"/>
      <c r="C946" s="25"/>
      <c r="E946" s="25"/>
      <c r="J946" s="20"/>
      <c r="L946" s="20"/>
      <c r="M946" s="20"/>
    </row>
    <row r="947" spans="2:13" ht="13" x14ac:dyDescent="0.15">
      <c r="B947" s="25"/>
      <c r="C947" s="25"/>
      <c r="E947" s="25"/>
      <c r="J947" s="20"/>
      <c r="L947" s="20"/>
      <c r="M947" s="20"/>
    </row>
    <row r="948" spans="2:13" ht="13" x14ac:dyDescent="0.15">
      <c r="B948" s="25"/>
      <c r="C948" s="25"/>
      <c r="E948" s="25"/>
      <c r="J948" s="20"/>
      <c r="L948" s="20"/>
      <c r="M948" s="20"/>
    </row>
    <row r="949" spans="2:13" ht="13" x14ac:dyDescent="0.15">
      <c r="B949" s="25"/>
      <c r="C949" s="25"/>
      <c r="E949" s="25"/>
      <c r="J949" s="20"/>
      <c r="L949" s="20"/>
      <c r="M949" s="20"/>
    </row>
    <row r="950" spans="2:13" ht="13" x14ac:dyDescent="0.15">
      <c r="B950" s="25"/>
      <c r="C950" s="25"/>
      <c r="E950" s="25"/>
      <c r="J950" s="20"/>
      <c r="L950" s="20"/>
      <c r="M950" s="20"/>
    </row>
    <row r="951" spans="2:13" ht="13" x14ac:dyDescent="0.15">
      <c r="B951" s="25"/>
      <c r="C951" s="25"/>
      <c r="E951" s="25"/>
      <c r="J951" s="20"/>
      <c r="L951" s="20"/>
      <c r="M951" s="20"/>
    </row>
    <row r="952" spans="2:13" ht="13" x14ac:dyDescent="0.15">
      <c r="B952" s="25"/>
      <c r="C952" s="25"/>
      <c r="E952" s="25"/>
      <c r="J952" s="20"/>
      <c r="L952" s="20"/>
      <c r="M952" s="20"/>
    </row>
    <row r="953" spans="2:13" ht="13" x14ac:dyDescent="0.15">
      <c r="B953" s="25"/>
      <c r="C953" s="25"/>
      <c r="E953" s="25"/>
      <c r="J953" s="20"/>
      <c r="L953" s="20"/>
      <c r="M953" s="20"/>
    </row>
    <row r="954" spans="2:13" ht="13" x14ac:dyDescent="0.15">
      <c r="B954" s="25"/>
      <c r="C954" s="25"/>
      <c r="E954" s="25"/>
      <c r="J954" s="20"/>
      <c r="L954" s="20"/>
      <c r="M954" s="20"/>
    </row>
    <row r="955" spans="2:13" ht="13" x14ac:dyDescent="0.15">
      <c r="B955" s="25"/>
      <c r="C955" s="25"/>
      <c r="E955" s="25"/>
      <c r="J955" s="20"/>
      <c r="L955" s="20"/>
      <c r="M955" s="20"/>
    </row>
    <row r="956" spans="2:13" ht="13" x14ac:dyDescent="0.15">
      <c r="B956" s="25"/>
      <c r="C956" s="25"/>
      <c r="E956" s="25"/>
      <c r="J956" s="20"/>
      <c r="L956" s="20"/>
      <c r="M956" s="20"/>
    </row>
    <row r="957" spans="2:13" ht="13" x14ac:dyDescent="0.15">
      <c r="B957" s="25"/>
      <c r="C957" s="25"/>
      <c r="E957" s="25"/>
      <c r="J957" s="20"/>
      <c r="L957" s="20"/>
      <c r="M957" s="20"/>
    </row>
    <row r="958" spans="2:13" ht="13" x14ac:dyDescent="0.15">
      <c r="B958" s="25"/>
      <c r="C958" s="25"/>
      <c r="E958" s="25"/>
      <c r="J958" s="20"/>
      <c r="L958" s="20"/>
      <c r="M958" s="20"/>
    </row>
    <row r="959" spans="2:13" ht="13" x14ac:dyDescent="0.15">
      <c r="B959" s="25"/>
      <c r="C959" s="25"/>
      <c r="E959" s="25"/>
      <c r="J959" s="20"/>
      <c r="L959" s="20"/>
      <c r="M959" s="20"/>
    </row>
    <row r="960" spans="2:13" ht="13" x14ac:dyDescent="0.15">
      <c r="B960" s="25"/>
      <c r="C960" s="25"/>
      <c r="E960" s="25"/>
      <c r="J960" s="20"/>
      <c r="L960" s="20"/>
      <c r="M960" s="20"/>
    </row>
    <row r="961" spans="2:13" ht="13" x14ac:dyDescent="0.15">
      <c r="B961" s="25"/>
      <c r="C961" s="25"/>
      <c r="E961" s="25"/>
      <c r="J961" s="20"/>
      <c r="L961" s="20"/>
      <c r="M961" s="20"/>
    </row>
    <row r="962" spans="2:13" ht="13" x14ac:dyDescent="0.15">
      <c r="B962" s="25"/>
      <c r="C962" s="25"/>
      <c r="E962" s="25"/>
      <c r="J962" s="20"/>
      <c r="L962" s="20"/>
      <c r="M962" s="20"/>
    </row>
    <row r="963" spans="2:13" ht="13" x14ac:dyDescent="0.15">
      <c r="B963" s="25"/>
      <c r="C963" s="25"/>
      <c r="E963" s="25"/>
      <c r="J963" s="20"/>
      <c r="L963" s="20"/>
      <c r="M963" s="20"/>
    </row>
    <row r="964" spans="2:13" ht="13" x14ac:dyDescent="0.15">
      <c r="B964" s="25"/>
      <c r="C964" s="25"/>
      <c r="E964" s="25"/>
      <c r="J964" s="20"/>
      <c r="L964" s="20"/>
      <c r="M964" s="20"/>
    </row>
    <row r="965" spans="2:13" ht="13" x14ac:dyDescent="0.15">
      <c r="B965" s="25"/>
      <c r="C965" s="25"/>
      <c r="E965" s="25"/>
      <c r="J965" s="20"/>
      <c r="L965" s="20"/>
      <c r="M965" s="20"/>
    </row>
    <row r="966" spans="2:13" ht="13" x14ac:dyDescent="0.15">
      <c r="B966" s="25"/>
      <c r="C966" s="25"/>
      <c r="E966" s="25"/>
      <c r="J966" s="20"/>
      <c r="L966" s="20"/>
      <c r="M966" s="20"/>
    </row>
    <row r="967" spans="2:13" ht="13" x14ac:dyDescent="0.15">
      <c r="B967" s="25"/>
      <c r="C967" s="25"/>
      <c r="E967" s="25"/>
      <c r="J967" s="20"/>
      <c r="L967" s="20"/>
      <c r="M967" s="20"/>
    </row>
    <row r="968" spans="2:13" ht="13" x14ac:dyDescent="0.15">
      <c r="B968" s="25"/>
      <c r="C968" s="25"/>
      <c r="E968" s="25"/>
      <c r="J968" s="20"/>
      <c r="L968" s="20"/>
      <c r="M968" s="20"/>
    </row>
    <row r="969" spans="2:13" ht="13" x14ac:dyDescent="0.15">
      <c r="B969" s="25"/>
      <c r="C969" s="25"/>
      <c r="E969" s="25"/>
      <c r="J969" s="20"/>
      <c r="L969" s="20"/>
      <c r="M969" s="20"/>
    </row>
    <row r="970" spans="2:13" ht="13" x14ac:dyDescent="0.15">
      <c r="B970" s="25"/>
      <c r="C970" s="25"/>
      <c r="E970" s="25"/>
      <c r="J970" s="20"/>
      <c r="L970" s="20"/>
      <c r="M970" s="20"/>
    </row>
    <row r="971" spans="2:13" ht="13" x14ac:dyDescent="0.15">
      <c r="B971" s="25"/>
      <c r="C971" s="25"/>
      <c r="E971" s="25"/>
      <c r="J971" s="20"/>
      <c r="L971" s="20"/>
      <c r="M971" s="20"/>
    </row>
    <row r="972" spans="2:13" ht="13" x14ac:dyDescent="0.15">
      <c r="B972" s="25"/>
      <c r="C972" s="25"/>
      <c r="E972" s="25"/>
      <c r="J972" s="20"/>
      <c r="L972" s="20"/>
      <c r="M972" s="20"/>
    </row>
    <row r="973" spans="2:13" ht="13" x14ac:dyDescent="0.15">
      <c r="B973" s="25"/>
      <c r="C973" s="25"/>
      <c r="E973" s="25"/>
      <c r="J973" s="20"/>
      <c r="L973" s="20"/>
      <c r="M973" s="20"/>
    </row>
    <row r="974" spans="2:13" ht="13" x14ac:dyDescent="0.15">
      <c r="B974" s="25"/>
      <c r="C974" s="25"/>
      <c r="E974" s="25"/>
      <c r="J974" s="20"/>
      <c r="L974" s="20"/>
      <c r="M974" s="20"/>
    </row>
    <row r="975" spans="2:13" ht="13" x14ac:dyDescent="0.15">
      <c r="B975" s="25"/>
      <c r="C975" s="25"/>
      <c r="E975" s="25"/>
      <c r="J975" s="20"/>
      <c r="L975" s="20"/>
      <c r="M975" s="20"/>
    </row>
    <row r="976" spans="2:13" ht="13" x14ac:dyDescent="0.15">
      <c r="B976" s="25"/>
      <c r="C976" s="25"/>
      <c r="E976" s="25"/>
      <c r="J976" s="20"/>
      <c r="L976" s="20"/>
      <c r="M976" s="20"/>
    </row>
    <row r="977" spans="2:13" ht="13" x14ac:dyDescent="0.15">
      <c r="B977" s="25"/>
      <c r="C977" s="25"/>
      <c r="E977" s="25"/>
      <c r="J977" s="20"/>
      <c r="L977" s="20"/>
      <c r="M977" s="20"/>
    </row>
    <row r="978" spans="2:13" ht="13" x14ac:dyDescent="0.15">
      <c r="B978" s="25"/>
      <c r="C978" s="25"/>
      <c r="E978" s="25"/>
      <c r="J978" s="20"/>
      <c r="L978" s="20"/>
      <c r="M978" s="20"/>
    </row>
    <row r="979" spans="2:13" ht="13" x14ac:dyDescent="0.15">
      <c r="B979" s="25"/>
      <c r="C979" s="25"/>
      <c r="E979" s="25"/>
      <c r="J979" s="20"/>
      <c r="L979" s="20"/>
      <c r="M979" s="20"/>
    </row>
    <row r="980" spans="2:13" ht="13" x14ac:dyDescent="0.15">
      <c r="B980" s="25"/>
      <c r="C980" s="25"/>
      <c r="E980" s="25"/>
      <c r="J980" s="20"/>
      <c r="L980" s="20"/>
      <c r="M980" s="20"/>
    </row>
    <row r="981" spans="2:13" ht="13" x14ac:dyDescent="0.15">
      <c r="B981" s="25"/>
      <c r="C981" s="25"/>
      <c r="E981" s="25"/>
      <c r="J981" s="20"/>
      <c r="L981" s="20"/>
      <c r="M981" s="20"/>
    </row>
    <row r="982" spans="2:13" ht="13" x14ac:dyDescent="0.15">
      <c r="B982" s="25"/>
      <c r="C982" s="25"/>
      <c r="E982" s="25"/>
      <c r="J982" s="20"/>
      <c r="L982" s="20"/>
      <c r="M982" s="20"/>
    </row>
    <row r="983" spans="2:13" ht="13" x14ac:dyDescent="0.15">
      <c r="B983" s="25"/>
      <c r="C983" s="25"/>
      <c r="E983" s="25"/>
      <c r="J983" s="20"/>
      <c r="L983" s="20"/>
      <c r="M983" s="20"/>
    </row>
    <row r="984" spans="2:13" ht="13" x14ac:dyDescent="0.15">
      <c r="B984" s="25"/>
      <c r="C984" s="25"/>
      <c r="E984" s="25"/>
      <c r="J984" s="20"/>
      <c r="L984" s="20"/>
      <c r="M984" s="20"/>
    </row>
    <row r="985" spans="2:13" ht="13" x14ac:dyDescent="0.15">
      <c r="B985" s="25"/>
      <c r="C985" s="25"/>
      <c r="E985" s="25"/>
      <c r="J985" s="20"/>
      <c r="L985" s="20"/>
      <c r="M985" s="20"/>
    </row>
    <row r="986" spans="2:13" ht="13" x14ac:dyDescent="0.15">
      <c r="B986" s="25"/>
      <c r="C986" s="25"/>
      <c r="E986" s="25"/>
      <c r="J986" s="20"/>
      <c r="L986" s="20"/>
      <c r="M986" s="20"/>
    </row>
    <row r="987" spans="2:13" ht="13" x14ac:dyDescent="0.15">
      <c r="B987" s="25"/>
      <c r="C987" s="25"/>
      <c r="E987" s="25"/>
      <c r="J987" s="20"/>
      <c r="L987" s="20"/>
      <c r="M987" s="20"/>
    </row>
    <row r="988" spans="2:13" ht="13" x14ac:dyDescent="0.15">
      <c r="B988" s="25"/>
      <c r="C988" s="25"/>
      <c r="E988" s="25"/>
      <c r="J988" s="20"/>
      <c r="L988" s="20"/>
      <c r="M988" s="20"/>
    </row>
    <row r="989" spans="2:13" ht="13" x14ac:dyDescent="0.15">
      <c r="B989" s="25"/>
      <c r="C989" s="25"/>
      <c r="E989" s="25"/>
      <c r="J989" s="20"/>
      <c r="L989" s="20"/>
      <c r="M989" s="20"/>
    </row>
    <row r="990" spans="2:13" ht="13" x14ac:dyDescent="0.15">
      <c r="B990" s="25"/>
      <c r="C990" s="25"/>
      <c r="E990" s="25"/>
      <c r="J990" s="20"/>
      <c r="L990" s="20"/>
      <c r="M990" s="20"/>
    </row>
    <row r="991" spans="2:13" ht="13" x14ac:dyDescent="0.15">
      <c r="B991" s="25"/>
      <c r="C991" s="25"/>
      <c r="E991" s="25"/>
      <c r="J991" s="20"/>
      <c r="L991" s="20"/>
      <c r="M991" s="20"/>
    </row>
    <row r="992" spans="2:13" ht="13" x14ac:dyDescent="0.15">
      <c r="B992" s="25"/>
      <c r="C992" s="25"/>
      <c r="E992" s="25"/>
      <c r="J992" s="20"/>
      <c r="L992" s="20"/>
      <c r="M992" s="20"/>
    </row>
    <row r="993" spans="2:13" ht="13" x14ac:dyDescent="0.15">
      <c r="B993" s="25"/>
      <c r="C993" s="25"/>
      <c r="E993" s="25"/>
      <c r="J993" s="20"/>
      <c r="L993" s="20"/>
      <c r="M993" s="20"/>
    </row>
    <row r="994" spans="2:13" ht="13" x14ac:dyDescent="0.15">
      <c r="B994" s="25"/>
      <c r="C994" s="25"/>
      <c r="E994" s="25"/>
      <c r="J994" s="20"/>
      <c r="L994" s="20"/>
      <c r="M994" s="20"/>
    </row>
    <row r="995" spans="2:13" ht="13" x14ac:dyDescent="0.15">
      <c r="B995" s="25"/>
      <c r="C995" s="25"/>
      <c r="E995" s="25"/>
      <c r="J995" s="20"/>
      <c r="L995" s="20"/>
      <c r="M995" s="20"/>
    </row>
    <row r="996" spans="2:13" ht="13" x14ac:dyDescent="0.15">
      <c r="B996" s="25"/>
      <c r="C996" s="25"/>
      <c r="E996" s="25"/>
      <c r="J996" s="20"/>
      <c r="L996" s="20"/>
      <c r="M996" s="20"/>
    </row>
    <row r="997" spans="2:13" ht="13" x14ac:dyDescent="0.15">
      <c r="B997" s="25"/>
      <c r="C997" s="25"/>
      <c r="E997" s="25"/>
      <c r="J997" s="20"/>
      <c r="L997" s="20"/>
      <c r="M997" s="20"/>
    </row>
    <row r="998" spans="2:13" ht="13" x14ac:dyDescent="0.15">
      <c r="B998" s="25"/>
      <c r="C998" s="25"/>
      <c r="E998" s="25"/>
      <c r="J998" s="20"/>
      <c r="L998" s="20"/>
      <c r="M998" s="20"/>
    </row>
    <row r="999" spans="2:13" ht="13" x14ac:dyDescent="0.15">
      <c r="B999" s="25"/>
      <c r="C999" s="25"/>
      <c r="E999" s="25"/>
      <c r="J999" s="20"/>
      <c r="L999" s="20"/>
      <c r="M999" s="20"/>
    </row>
    <row r="1000" spans="2:13" ht="13" x14ac:dyDescent="0.15">
      <c r="B1000" s="25"/>
      <c r="C1000" s="25"/>
      <c r="E1000" s="25"/>
      <c r="J1000" s="20"/>
      <c r="L1000" s="20"/>
      <c r="M1000" s="20"/>
    </row>
    <row r="1001" spans="2:13" ht="13" x14ac:dyDescent="0.15">
      <c r="B1001" s="25"/>
      <c r="C1001" s="25"/>
      <c r="E1001" s="25"/>
      <c r="J1001" s="20"/>
      <c r="L1001" s="20"/>
      <c r="M1001" s="20"/>
    </row>
    <row r="1002" spans="2:13" ht="13" x14ac:dyDescent="0.15">
      <c r="B1002" s="25"/>
      <c r="C1002" s="25"/>
      <c r="E1002" s="25"/>
      <c r="J1002" s="20"/>
      <c r="L1002" s="20"/>
      <c r="M1002" s="20"/>
    </row>
    <row r="1003" spans="2:13" ht="13" x14ac:dyDescent="0.15">
      <c r="B1003" s="25"/>
      <c r="C1003" s="25"/>
      <c r="E1003" s="25"/>
      <c r="J1003" s="20"/>
      <c r="L1003" s="20"/>
      <c r="M1003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30"/>
  <sheetViews>
    <sheetView tabSelected="1" workbookViewId="0"/>
  </sheetViews>
  <sheetFormatPr baseColWidth="10" defaultColWidth="12.6640625" defaultRowHeight="15.75" customHeight="1" x14ac:dyDescent="0.15"/>
  <cols>
    <col min="1" max="1" width="64.1640625" customWidth="1"/>
  </cols>
  <sheetData>
    <row r="1" spans="1:3" ht="13" x14ac:dyDescent="0.15">
      <c r="A1" s="6" t="s">
        <v>28</v>
      </c>
      <c r="B1" s="6" t="s">
        <v>17</v>
      </c>
      <c r="C1" s="6" t="s">
        <v>26</v>
      </c>
    </row>
    <row r="2" spans="1:3" ht="13" x14ac:dyDescent="0.15">
      <c r="A2" s="8" t="s">
        <v>29</v>
      </c>
      <c r="B2" s="19">
        <v>624905</v>
      </c>
      <c r="C2" s="19">
        <v>510905</v>
      </c>
    </row>
    <row r="3" spans="1:3" ht="13" x14ac:dyDescent="0.15">
      <c r="A3" s="8" t="s">
        <v>30</v>
      </c>
      <c r="B3" s="24">
        <v>418340</v>
      </c>
      <c r="C3" s="24">
        <v>527974</v>
      </c>
    </row>
    <row r="4" spans="1:3" ht="13" x14ac:dyDescent="0.15">
      <c r="A4" s="8" t="s">
        <v>31</v>
      </c>
      <c r="B4" s="25">
        <v>20736514</v>
      </c>
      <c r="C4" s="25">
        <v>25126402</v>
      </c>
    </row>
    <row r="5" spans="1:3" ht="13" x14ac:dyDescent="0.15">
      <c r="A5" s="8" t="s">
        <v>32</v>
      </c>
      <c r="B5" s="9">
        <v>1.51</v>
      </c>
      <c r="C5" s="9">
        <v>0.97</v>
      </c>
    </row>
    <row r="6" spans="1:3" ht="13" x14ac:dyDescent="0.15">
      <c r="A6" s="8" t="s">
        <v>33</v>
      </c>
      <c r="B6" s="9">
        <v>30.111912752547052</v>
      </c>
      <c r="C6" s="9">
        <v>20.38</v>
      </c>
    </row>
    <row r="7" spans="1:3" ht="13" x14ac:dyDescent="0.15">
      <c r="A7" s="8" t="s">
        <v>34</v>
      </c>
      <c r="B7" s="8">
        <v>7777</v>
      </c>
      <c r="C7" s="8">
        <v>9870</v>
      </c>
    </row>
    <row r="8" spans="1:3" ht="13" x14ac:dyDescent="0.15">
      <c r="A8" s="8" t="s">
        <v>35</v>
      </c>
      <c r="B8" s="9">
        <v>80.349999999999994</v>
      </c>
      <c r="C8" s="9">
        <v>51.81</v>
      </c>
    </row>
    <row r="9" spans="1:3" ht="13" x14ac:dyDescent="0.15">
      <c r="A9" s="8" t="s">
        <v>36</v>
      </c>
      <c r="B9" s="19">
        <v>1213255</v>
      </c>
      <c r="C9" s="9">
        <v>1522890</v>
      </c>
    </row>
    <row r="10" spans="1:3" ht="13" x14ac:dyDescent="0.15">
      <c r="A10" s="8" t="s">
        <v>37</v>
      </c>
      <c r="B10" s="8">
        <v>1.94</v>
      </c>
      <c r="C10" s="8">
        <v>2.98</v>
      </c>
    </row>
    <row r="11" spans="1:3" ht="13" x14ac:dyDescent="0.15">
      <c r="A11" s="8" t="s">
        <v>38</v>
      </c>
      <c r="B11" s="8" t="s">
        <v>39</v>
      </c>
      <c r="C11" s="8" t="s">
        <v>39</v>
      </c>
    </row>
    <row r="12" spans="1:3" ht="13" x14ac:dyDescent="0.15">
      <c r="A12" s="8" t="s">
        <v>40</v>
      </c>
      <c r="B12" s="8" t="s">
        <v>39</v>
      </c>
      <c r="C12" s="8" t="s">
        <v>39</v>
      </c>
    </row>
    <row r="13" spans="1:3" ht="13" x14ac:dyDescent="0.15">
      <c r="A13" s="8" t="s">
        <v>41</v>
      </c>
      <c r="B13" s="8" t="s">
        <v>39</v>
      </c>
      <c r="C13" s="8" t="s">
        <v>42</v>
      </c>
    </row>
    <row r="14" spans="1:3" ht="13" x14ac:dyDescent="0.15">
      <c r="A14" s="8" t="s">
        <v>43</v>
      </c>
      <c r="B14" s="9">
        <v>1.49</v>
      </c>
      <c r="C14" s="9">
        <v>0.87</v>
      </c>
    </row>
    <row r="15" spans="1:3" ht="13" x14ac:dyDescent="0.15">
      <c r="A15" s="8" t="s">
        <v>44</v>
      </c>
      <c r="B15" s="9">
        <v>30.09</v>
      </c>
      <c r="C15" s="9">
        <v>19.62</v>
      </c>
    </row>
    <row r="16" spans="1:3" ht="13" x14ac:dyDescent="0.15">
      <c r="A16" s="8" t="s">
        <v>45</v>
      </c>
      <c r="B16" s="9">
        <v>160.28</v>
      </c>
      <c r="C16" s="9">
        <v>156.12</v>
      </c>
    </row>
    <row r="18" spans="1:2" ht="13" x14ac:dyDescent="0.15">
      <c r="A18" s="8" t="s">
        <v>46</v>
      </c>
      <c r="B18" s="8" t="s">
        <v>47</v>
      </c>
    </row>
    <row r="19" spans="1:2" ht="13" x14ac:dyDescent="0.15">
      <c r="A19" s="8" t="s">
        <v>48</v>
      </c>
      <c r="B19" s="8" t="s">
        <v>49</v>
      </c>
    </row>
    <row r="20" spans="1:2" ht="13" x14ac:dyDescent="0.15">
      <c r="A20" s="8" t="s">
        <v>50</v>
      </c>
      <c r="B20" s="8" t="s">
        <v>51</v>
      </c>
    </row>
    <row r="21" spans="1:2" ht="13" x14ac:dyDescent="0.15">
      <c r="A21" s="8"/>
    </row>
    <row r="22" spans="1:2" ht="40.5" customHeight="1" x14ac:dyDescent="0.15">
      <c r="A22" s="8" t="s">
        <v>52</v>
      </c>
      <c r="B22" s="8" t="s">
        <v>53</v>
      </c>
    </row>
    <row r="23" spans="1:2" ht="13" x14ac:dyDescent="0.15">
      <c r="B23" s="8" t="s">
        <v>54</v>
      </c>
    </row>
    <row r="25" spans="1:2" ht="13" x14ac:dyDescent="0.15">
      <c r="B25" s="8" t="s">
        <v>55</v>
      </c>
    </row>
    <row r="26" spans="1:2" ht="13" x14ac:dyDescent="0.15">
      <c r="B26" s="8" t="s">
        <v>56</v>
      </c>
    </row>
    <row r="28" spans="1:2" ht="13" x14ac:dyDescent="0.15">
      <c r="B28" s="8" t="s">
        <v>57</v>
      </c>
    </row>
    <row r="29" spans="1:2" ht="13" x14ac:dyDescent="0.15">
      <c r="B29" s="8" t="s">
        <v>58</v>
      </c>
    </row>
    <row r="30" spans="1:2" ht="13" x14ac:dyDescent="0.15">
      <c r="B30" s="8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Instagram Ads Raw Data</vt:lpstr>
      <vt:lpstr>TikTok Ads Raw Data</vt:lpstr>
      <vt:lpstr>Instagram Ads Performance Metri</vt:lpstr>
      <vt:lpstr>Tiktok Ads Performance Metrics</vt:lpstr>
      <vt:lpstr>Tiktok Ads Monthly</vt:lpstr>
      <vt:lpstr>Instagram Ads Monthly</vt:lpstr>
      <vt:lpstr>Pivot Tables</vt:lpstr>
      <vt:lpstr>Summary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merve solmaz</cp:lastModifiedBy>
  <dcterms:modified xsi:type="dcterms:W3CDTF">2026-05-19T11:11:10Z</dcterms:modified>
</cp:coreProperties>
</file>